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로한2 ROI" sheetId="1" r:id="rId5"/>
    <sheet state="visible" name="씰M ROI" sheetId="2" r:id="rId6"/>
  </sheets>
  <definedNames/>
  <calcPr/>
</workbook>
</file>

<file path=xl/sharedStrings.xml><?xml version="1.0" encoding="utf-8"?>
<sst xmlns="http://schemas.openxmlformats.org/spreadsheetml/2006/main" count="110" uniqueCount="59">
  <si>
    <t>로한2_ROI</t>
  </si>
  <si>
    <t>매출 지표</t>
  </si>
  <si>
    <t>Total</t>
  </si>
  <si>
    <t>26년 1월(확정)</t>
  </si>
  <si>
    <t>26년 2월</t>
  </si>
  <si>
    <t>26년 3월</t>
  </si>
  <si>
    <t>26년 4월</t>
  </si>
  <si>
    <t>26년 5월</t>
  </si>
  <si>
    <t>26년 6월</t>
  </si>
  <si>
    <t>26년 7월</t>
  </si>
  <si>
    <t>26년 8월</t>
  </si>
  <si>
    <t>26년 9월</t>
  </si>
  <si>
    <t>26년 10월</t>
  </si>
  <si>
    <t>26년 11월</t>
  </si>
  <si>
    <t>26년 12월</t>
  </si>
  <si>
    <t>순이익</t>
  </si>
  <si>
    <t>총 비용 (로열티 포함)</t>
  </si>
  <si>
    <t xml:space="preserve">ROI </t>
  </si>
  <si>
    <t>세부 지표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</si>
  <si>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</si>
  <si>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</si>
  <si>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</si>
  <si>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</si>
  <si>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</si>
  <si>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</si>
  <si>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</si>
  <si>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</si>
  <si>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</si>
  <si>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</si>
  <si>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</si>
  <si>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</si>
  <si>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APP 매출(Gross)</t>
  </si>
  <si>
    <t>비용</t>
  </si>
  <si>
    <t>- 인프라</t>
  </si>
  <si>
    <t>- 개발/운영 인건비</t>
  </si>
  <si>
    <t>- 번역</t>
  </si>
  <si>
    <t>- 운영툴</t>
  </si>
  <si>
    <t>- 보안툴</t>
  </si>
  <si>
    <t>- 마켓수수료</t>
  </si>
  <si>
    <t>- 라이브 마케팅비 (전월매출 n%)</t>
  </si>
  <si>
    <t>-</t>
  </si>
  <si>
    <t>로열티</t>
  </si>
  <si>
    <t>- 개발사 R/S</t>
  </si>
  <si>
    <t>수익</t>
  </si>
  <si>
    <t>APP 매출(NET)</t>
  </si>
  <si>
    <t>DEX 수수료 매출</t>
  </si>
  <si>
    <t>*참고: 2027년 게임사업부 사업 계획_Draft</t>
  </si>
  <si>
    <t>매출 - 총판매액</t>
  </si>
  <si>
    <t>Net 매출 - 총판매액 - 수수료</t>
  </si>
  <si>
    <t>순익 - 총판매액 - 수수료 - RS</t>
  </si>
  <si>
    <t>순수익 - 총판매액 - 수수료 - RS - 비용</t>
  </si>
  <si>
    <t>LF</t>
  </si>
  <si>
    <t>MF</t>
  </si>
  <si>
    <t>씰M_ROI</t>
  </si>
  <si>
    <t>27년 1월</t>
  </si>
  <si>
    <t>27년 2월</t>
  </si>
  <si>
    <t>순익</t>
  </si>
  <si>
    <t>PW 순익</t>
  </si>
  <si>
    <t>- Nexus R/S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</si>
</sst>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b/>
      <sz val="9.0"/>
      <color rgb="FF0000FF"/>
      <name val="Arial"/>
      <scheme val="minor"/>
    </font>
    <font>
      <b/>
      <sz val="9.0"/>
      <color rgb="FFFF0000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0" fontId="3" numFmtId="3" xfId="0" applyAlignment="1" applyBorder="1" applyFont="1" applyNumberFormat="1">
      <alignment vertical="center"/>
    </xf>
    <xf borderId="1" fillId="0" fontId="2" numFmtId="3" xfId="0" applyAlignment="1" applyBorder="1" applyFont="1" applyNumberFormat="1">
      <alignment vertical="center"/>
    </xf>
    <xf borderId="1" fillId="3" fontId="3" numFmtId="10" xfId="0" applyAlignment="1" applyBorder="1" applyFill="1" applyFont="1" applyNumberFormat="1">
      <alignment vertical="center"/>
    </xf>
    <xf borderId="1" fillId="4" fontId="4" numFmtId="10" xfId="0" applyAlignment="1" applyBorder="1" applyFill="1" applyFont="1" applyNumberFormat="1">
      <alignment vertical="center"/>
    </xf>
    <xf borderId="1" fillId="5" fontId="5" numFmtId="10" xfId="0" applyAlignment="1" applyBorder="1" applyFill="1" applyFont="1" applyNumberFormat="1">
      <alignment vertical="center"/>
    </xf>
    <xf borderId="1" fillId="2" fontId="2" numFmtId="0" xfId="0" applyAlignment="1" applyBorder="1" applyFont="1">
      <alignment readingOrder="0" vertical="center"/>
    </xf>
    <xf borderId="1" fillId="6" fontId="2" numFmtId="3" xfId="0" applyAlignment="1" applyBorder="1" applyFill="1" applyFont="1" applyNumberFormat="1">
      <alignment readingOrder="0" vertical="center"/>
    </xf>
    <xf borderId="0" fillId="7" fontId="2" numFmtId="0" xfId="0" applyAlignment="1" applyFill="1" applyFont="1">
      <alignment horizontal="center" readingOrder="0" vertical="center"/>
    </xf>
    <xf borderId="1" fillId="0" fontId="2" numFmtId="3" xfId="0" applyAlignment="1" applyBorder="1" applyFont="1" applyNumberFormat="1">
      <alignment readingOrder="0" vertical="center"/>
    </xf>
    <xf borderId="1" fillId="8" fontId="2" numFmtId="0" xfId="0" applyAlignment="1" applyBorder="1" applyFill="1" applyFont="1">
      <alignment readingOrder="0" vertical="center"/>
    </xf>
    <xf borderId="1" fillId="0" fontId="2" numFmtId="9" xfId="0" applyAlignment="1" applyBorder="1" applyFont="1" applyNumberFormat="1">
      <alignment readingOrder="0" vertical="center"/>
    </xf>
    <xf borderId="0" fillId="4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0" fillId="0" fontId="6" numFmtId="0" xfId="0" applyAlignment="1" applyFont="1">
      <alignment readingOrder="0" vertical="center"/>
    </xf>
    <xf borderId="0" fillId="0" fontId="1" numFmtId="10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0" fillId="0" fontId="1" numFmtId="3" xfId="0" applyAlignment="1" applyFont="1" applyNumberFormat="1">
      <alignment vertical="center"/>
    </xf>
    <xf borderId="0" fillId="0" fontId="7" numFmtId="0" xfId="0" applyAlignment="1" applyFont="1">
      <alignment readingOrder="0" vertical="center"/>
    </xf>
    <xf borderId="0" fillId="0" fontId="2" numFmtId="0" xfId="0" applyFont="1"/>
    <xf borderId="0" fillId="0" fontId="3" numFmtId="0" xfId="0" applyAlignment="1" applyFont="1">
      <alignment readingOrder="0"/>
    </xf>
    <xf borderId="1" fillId="2" fontId="2" numFmtId="0" xfId="0" applyAlignment="1" applyBorder="1" applyFont="1">
      <alignment readingOrder="0"/>
    </xf>
    <xf borderId="1" fillId="0" fontId="3" numFmtId="3" xfId="0" applyBorder="1" applyFont="1" applyNumberFormat="1"/>
    <xf borderId="1" fillId="0" fontId="2" numFmtId="3" xfId="0" applyBorder="1" applyFont="1" applyNumberFormat="1"/>
    <xf borderId="1" fillId="4" fontId="4" numFmtId="3" xfId="0" applyBorder="1" applyFont="1" applyNumberFormat="1"/>
    <xf borderId="1" fillId="3" fontId="3" numFmtId="10" xfId="0" applyBorder="1" applyFont="1" applyNumberFormat="1"/>
    <xf borderId="1" fillId="4" fontId="4" numFmtId="10" xfId="0" applyBorder="1" applyFont="1" applyNumberFormat="1"/>
    <xf borderId="1" fillId="5" fontId="5" numFmtId="10" xfId="0" applyBorder="1" applyFont="1" applyNumberFormat="1"/>
    <xf borderId="1" fillId="0" fontId="2" numFmtId="0" xfId="0" applyAlignment="1" applyBorder="1" applyFont="1">
      <alignment readingOrder="0"/>
    </xf>
    <xf borderId="1" fillId="6" fontId="2" numFmtId="3" xfId="0" applyAlignment="1" applyBorder="1" applyFont="1" applyNumberFormat="1">
      <alignment readingOrder="0"/>
    </xf>
    <xf borderId="1" fillId="0" fontId="2" numFmtId="3" xfId="0" applyAlignment="1" applyBorder="1" applyFont="1" applyNumberFormat="1">
      <alignment readingOrder="0"/>
    </xf>
    <xf borderId="1" fillId="9" fontId="2" numFmtId="3" xfId="0" applyAlignment="1" applyBorder="1" applyFill="1" applyFont="1" applyNumberFormat="1">
      <alignment readingOrder="0"/>
    </xf>
    <xf borderId="1" fillId="8" fontId="2" numFmtId="0" xfId="0" applyAlignment="1" applyBorder="1" applyFont="1">
      <alignment readingOrder="0"/>
    </xf>
    <xf borderId="1" fillId="9" fontId="2" numFmtId="9" xfId="0" applyAlignment="1" applyBorder="1" applyFont="1" applyNumberFormat="1">
      <alignment readingOrder="0"/>
    </xf>
    <xf borderId="1" fillId="0" fontId="2" numFmtId="9" xfId="0" applyAlignment="1" applyBorder="1" applyFont="1" applyNumberFormat="1">
      <alignment readingOrder="0"/>
    </xf>
    <xf borderId="0" fillId="0" fontId="8" numFmtId="0" xfId="0" applyAlignment="1" applyFont="1">
      <alignment readingOrder="0"/>
    </xf>
    <xf borderId="0" fillId="0" fontId="1" numFmtId="10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3" xfId="0" applyFont="1" applyNumberForma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gBytlK0Ek8W25gMnouYV6ekBe19oI6WBy1nl-sNSvE/edit?gid=796357169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gBytlK0Ek8W25gMnouYV6ekBe19oI6WBy1nl-sNSvE/edit?gid=796357169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22.75"/>
    <col customWidth="1" min="3" max="3" width="12.5"/>
    <col customWidth="1" min="4" max="7" width="10.25"/>
    <col customWidth="1" min="8" max="13" width="11.63"/>
    <col customWidth="1" min="14" max="15" width="10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2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</row>
    <row r="4">
      <c r="A4" s="2"/>
      <c r="B4" s="4" t="s">
        <v>15</v>
      </c>
      <c r="C4" s="5">
        <f t="shared" ref="C4:C5" si="2">sum(D4:O4)</f>
        <v>4126066265</v>
      </c>
      <c r="D4" s="6">
        <f t="shared" ref="D4:O4" si="1">(D20+D21)*45%</f>
        <v>136111522.5</v>
      </c>
      <c r="E4" s="6">
        <f t="shared" si="1"/>
        <v>109309522.5</v>
      </c>
      <c r="F4" s="6">
        <f t="shared" si="1"/>
        <v>271009827</v>
      </c>
      <c r="G4" s="6">
        <f t="shared" si="1"/>
        <v>338657792.4</v>
      </c>
      <c r="H4" s="6">
        <f t="shared" si="1"/>
        <v>406389350.7</v>
      </c>
      <c r="I4" s="6">
        <f t="shared" si="1"/>
        <v>474221221.2</v>
      </c>
      <c r="J4" s="6">
        <f t="shared" si="1"/>
        <v>450690721.2</v>
      </c>
      <c r="K4" s="6">
        <f t="shared" si="1"/>
        <v>428336746.2</v>
      </c>
      <c r="L4" s="6">
        <f t="shared" si="1"/>
        <v>407100470</v>
      </c>
      <c r="M4" s="6">
        <f t="shared" si="1"/>
        <v>386926007.5</v>
      </c>
      <c r="N4" s="6">
        <f t="shared" si="1"/>
        <v>367760268.1</v>
      </c>
      <c r="O4" s="6">
        <f t="shared" si="1"/>
        <v>349552815.8</v>
      </c>
    </row>
    <row r="5">
      <c r="A5" s="2"/>
      <c r="B5" s="4" t="s">
        <v>16</v>
      </c>
      <c r="C5" s="5">
        <f t="shared" si="2"/>
        <v>1302094409</v>
      </c>
      <c r="D5" s="6">
        <f t="shared" ref="D5:O5" si="3">sum(D11:D15)+D18</f>
        <v>136630392</v>
      </c>
      <c r="E5" s="6">
        <f t="shared" si="3"/>
        <v>105951274.3</v>
      </c>
      <c r="F5" s="6">
        <f t="shared" si="3"/>
        <v>105951274.3</v>
      </c>
      <c r="G5" s="6">
        <f t="shared" si="3"/>
        <v>105951274.3</v>
      </c>
      <c r="H5" s="6">
        <f t="shared" si="3"/>
        <v>105951274.3</v>
      </c>
      <c r="I5" s="6">
        <f t="shared" si="3"/>
        <v>105951274.3</v>
      </c>
      <c r="J5" s="6">
        <f t="shared" si="3"/>
        <v>105951274.3</v>
      </c>
      <c r="K5" s="6">
        <f t="shared" si="3"/>
        <v>105951274.3</v>
      </c>
      <c r="L5" s="6">
        <f t="shared" si="3"/>
        <v>105951274.3</v>
      </c>
      <c r="M5" s="6">
        <f t="shared" si="3"/>
        <v>105951274.3</v>
      </c>
      <c r="N5" s="6">
        <f t="shared" si="3"/>
        <v>105951274.3</v>
      </c>
      <c r="O5" s="6">
        <f t="shared" si="3"/>
        <v>105951274.3</v>
      </c>
    </row>
    <row r="6">
      <c r="A6" s="2"/>
      <c r="B6" s="4" t="s">
        <v>17</v>
      </c>
      <c r="C6" s="7">
        <f t="shared" ref="C6:O6" si="4">(C4-C5)/C5</f>
        <v>2.168791937</v>
      </c>
      <c r="D6" s="8">
        <f t="shared" si="4"/>
        <v>-0.003797614077</v>
      </c>
      <c r="E6" s="8">
        <f t="shared" si="4"/>
        <v>0.03169615677</v>
      </c>
      <c r="F6" s="9">
        <f t="shared" si="4"/>
        <v>1.557872275</v>
      </c>
      <c r="G6" s="9">
        <f t="shared" si="4"/>
        <v>2.196354123</v>
      </c>
      <c r="H6" s="9">
        <f t="shared" si="4"/>
        <v>2.835624945</v>
      </c>
      <c r="I6" s="9">
        <f t="shared" si="4"/>
        <v>3.475842545</v>
      </c>
      <c r="J6" s="9">
        <f t="shared" si="4"/>
        <v>3.253754607</v>
      </c>
      <c r="K6" s="9">
        <f t="shared" si="4"/>
        <v>3.042771067</v>
      </c>
      <c r="L6" s="9">
        <f t="shared" si="4"/>
        <v>2.842336703</v>
      </c>
      <c r="M6" s="9">
        <f t="shared" si="4"/>
        <v>2.651924057</v>
      </c>
      <c r="N6" s="9">
        <f t="shared" si="4"/>
        <v>2.471032043</v>
      </c>
      <c r="O6" s="9">
        <f t="shared" si="4"/>
        <v>2.299184631</v>
      </c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>
      <c r="A8" s="2"/>
      <c r="B8" s="3" t="s">
        <v>18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2"/>
      <c r="B9" s="10" t="s">
        <v>1</v>
      </c>
      <c r="C9" s="10" t="s">
        <v>2</v>
      </c>
      <c r="D9" s="10" t="s">
        <v>19</v>
      </c>
      <c r="E9" s="10" t="s">
        <v>20</v>
      </c>
      <c r="F9" s="10" t="s">
        <v>21</v>
      </c>
      <c r="G9" s="10" t="s">
        <v>22</v>
      </c>
      <c r="H9" s="10" t="s">
        <v>23</v>
      </c>
      <c r="I9" s="10" t="s">
        <v>24</v>
      </c>
      <c r="J9" s="10" t="s">
        <v>25</v>
      </c>
      <c r="K9" s="10" t="s">
        <v>26</v>
      </c>
      <c r="L9" s="10" t="s">
        <v>27</v>
      </c>
      <c r="M9" s="10" t="s">
        <v>28</v>
      </c>
      <c r="N9" s="10" t="s">
        <v>29</v>
      </c>
      <c r="O9" s="10" t="s">
        <v>30</v>
      </c>
    </row>
    <row r="10">
      <c r="A10" s="2"/>
      <c r="B10" s="10" t="s">
        <v>31</v>
      </c>
      <c r="C10" s="11">
        <v>1.1021900138E10</v>
      </c>
      <c r="D10" s="11">
        <v>3.6E8</v>
      </c>
      <c r="E10" s="11">
        <v>2.88E8</v>
      </c>
      <c r="F10" s="11">
        <v>7.2E8</v>
      </c>
      <c r="G10" s="11">
        <v>9.0E8</v>
      </c>
      <c r="H10" s="11">
        <v>1.08E9</v>
      </c>
      <c r="I10" s="11">
        <v>1.26E9</v>
      </c>
      <c r="J10" s="11">
        <v>1.197E9</v>
      </c>
      <c r="K10" s="11">
        <v>1.13715E9</v>
      </c>
      <c r="L10" s="11">
        <v>1.0802925E9</v>
      </c>
      <c r="M10" s="11">
        <v>1.026277875E9</v>
      </c>
      <c r="N10" s="11">
        <v>9.74963981E8</v>
      </c>
      <c r="O10" s="11">
        <v>9.26215782E8</v>
      </c>
    </row>
    <row r="11">
      <c r="A11" s="12" t="s">
        <v>32</v>
      </c>
      <c r="B11" s="10" t="s">
        <v>33</v>
      </c>
      <c r="C11" s="13">
        <f>sum(D11:O11)</f>
        <v>744694413.3</v>
      </c>
      <c r="D11" s="13">
        <v>8.5597059E7</v>
      </c>
      <c r="E11" s="13">
        <f>D11*70%</f>
        <v>59917941.3</v>
      </c>
      <c r="F11" s="13">
        <f t="shared" ref="F11:O11" si="5">E11</f>
        <v>59917941.3</v>
      </c>
      <c r="G11" s="13">
        <f t="shared" si="5"/>
        <v>59917941.3</v>
      </c>
      <c r="H11" s="13">
        <f t="shared" si="5"/>
        <v>59917941.3</v>
      </c>
      <c r="I11" s="13">
        <f t="shared" si="5"/>
        <v>59917941.3</v>
      </c>
      <c r="J11" s="13">
        <f t="shared" si="5"/>
        <v>59917941.3</v>
      </c>
      <c r="K11" s="13">
        <f t="shared" si="5"/>
        <v>59917941.3</v>
      </c>
      <c r="L11" s="13">
        <f t="shared" si="5"/>
        <v>59917941.3</v>
      </c>
      <c r="M11" s="13">
        <f t="shared" si="5"/>
        <v>59917941.3</v>
      </c>
      <c r="N11" s="13">
        <f t="shared" si="5"/>
        <v>59917941.3</v>
      </c>
      <c r="O11" s="13">
        <f t="shared" si="5"/>
        <v>59917941.3</v>
      </c>
    </row>
    <row r="12">
      <c r="B12" s="10" t="s">
        <v>34</v>
      </c>
      <c r="C12" s="13">
        <v>3.65E8</v>
      </c>
      <c r="D12" s="13">
        <v>3.5E7</v>
      </c>
      <c r="E12" s="13">
        <v>3.0E7</v>
      </c>
      <c r="F12" s="13">
        <v>3.0E7</v>
      </c>
      <c r="G12" s="13">
        <v>3.0E7</v>
      </c>
      <c r="H12" s="13">
        <v>3.0E7</v>
      </c>
      <c r="I12" s="13">
        <v>3.0E7</v>
      </c>
      <c r="J12" s="13">
        <v>3.0E7</v>
      </c>
      <c r="K12" s="13">
        <v>3.0E7</v>
      </c>
      <c r="L12" s="13">
        <v>3.0E7</v>
      </c>
      <c r="M12" s="13">
        <v>3.0E7</v>
      </c>
      <c r="N12" s="13">
        <v>3.0E7</v>
      </c>
      <c r="O12" s="13">
        <v>3.0E7</v>
      </c>
    </row>
    <row r="13">
      <c r="B13" s="10" t="s">
        <v>35</v>
      </c>
      <c r="C13" s="13">
        <v>6000000.0</v>
      </c>
      <c r="D13" s="13">
        <v>500000.0</v>
      </c>
      <c r="E13" s="13">
        <v>500000.0</v>
      </c>
      <c r="F13" s="13">
        <v>500000.0</v>
      </c>
      <c r="G13" s="13">
        <v>500000.0</v>
      </c>
      <c r="H13" s="13">
        <v>500000.0</v>
      </c>
      <c r="I13" s="13">
        <v>500000.0</v>
      </c>
      <c r="J13" s="13">
        <v>500000.0</v>
      </c>
      <c r="K13" s="13">
        <v>500000.0</v>
      </c>
      <c r="L13" s="13">
        <v>500000.0</v>
      </c>
      <c r="M13" s="13">
        <v>500000.0</v>
      </c>
      <c r="N13" s="13">
        <v>500000.0</v>
      </c>
      <c r="O13" s="13">
        <v>500000.0</v>
      </c>
    </row>
    <row r="14">
      <c r="B14" s="10" t="s">
        <v>36</v>
      </c>
      <c r="C14" s="13">
        <v>6.0E7</v>
      </c>
      <c r="D14" s="13">
        <v>5000000.0</v>
      </c>
      <c r="E14" s="13">
        <v>5000000.0</v>
      </c>
      <c r="F14" s="13">
        <v>5000000.0</v>
      </c>
      <c r="G14" s="13">
        <v>5000000.0</v>
      </c>
      <c r="H14" s="13">
        <v>5000000.0</v>
      </c>
      <c r="I14" s="13">
        <v>5000000.0</v>
      </c>
      <c r="J14" s="13">
        <v>5000000.0</v>
      </c>
      <c r="K14" s="13">
        <v>5000000.0</v>
      </c>
      <c r="L14" s="13">
        <v>5000000.0</v>
      </c>
      <c r="M14" s="13">
        <v>5000000.0</v>
      </c>
      <c r="N14" s="13">
        <v>5000000.0</v>
      </c>
      <c r="O14" s="13">
        <v>5000000.0</v>
      </c>
    </row>
    <row r="15">
      <c r="B15" s="10" t="s">
        <v>37</v>
      </c>
      <c r="C15" s="13">
        <v>2.64E7</v>
      </c>
      <c r="D15" s="13">
        <v>2200000.0</v>
      </c>
      <c r="E15" s="13">
        <v>2200000.0</v>
      </c>
      <c r="F15" s="13">
        <v>2200000.0</v>
      </c>
      <c r="G15" s="13">
        <v>2200000.0</v>
      </c>
      <c r="H15" s="13">
        <v>2200000.0</v>
      </c>
      <c r="I15" s="13">
        <v>2200000.0</v>
      </c>
      <c r="J15" s="13">
        <v>2200000.0</v>
      </c>
      <c r="K15" s="13">
        <v>2200000.0</v>
      </c>
      <c r="L15" s="13">
        <v>2200000.0</v>
      </c>
      <c r="M15" s="13">
        <v>2200000.0</v>
      </c>
      <c r="N15" s="13">
        <v>2200000.0</v>
      </c>
      <c r="O15" s="13">
        <v>2200000.0</v>
      </c>
    </row>
    <row r="16">
      <c r="B16" s="10" t="s">
        <v>38</v>
      </c>
      <c r="C16" s="13">
        <v>1.983942025E9</v>
      </c>
      <c r="D16" s="13">
        <v>6.14E7</v>
      </c>
      <c r="E16" s="13">
        <f t="shared" ref="E16:O16" si="6">E10*17%</f>
        <v>48960000</v>
      </c>
      <c r="F16" s="13">
        <f t="shared" si="6"/>
        <v>122400000</v>
      </c>
      <c r="G16" s="13">
        <f t="shared" si="6"/>
        <v>153000000</v>
      </c>
      <c r="H16" s="13">
        <f t="shared" si="6"/>
        <v>183600000</v>
      </c>
      <c r="I16" s="13">
        <f t="shared" si="6"/>
        <v>214200000</v>
      </c>
      <c r="J16" s="13">
        <f t="shared" si="6"/>
        <v>203490000</v>
      </c>
      <c r="K16" s="13">
        <f t="shared" si="6"/>
        <v>193315500</v>
      </c>
      <c r="L16" s="13">
        <f t="shared" si="6"/>
        <v>183649725</v>
      </c>
      <c r="M16" s="13">
        <f t="shared" si="6"/>
        <v>174467238.8</v>
      </c>
      <c r="N16" s="13">
        <f t="shared" si="6"/>
        <v>165743876.8</v>
      </c>
      <c r="O16" s="13">
        <f t="shared" si="6"/>
        <v>157456682.9</v>
      </c>
    </row>
    <row r="17">
      <c r="B17" s="10" t="s">
        <v>39</v>
      </c>
      <c r="C17" s="14" t="s">
        <v>40</v>
      </c>
      <c r="D17" s="14">
        <v>0.0</v>
      </c>
      <c r="E17" s="14">
        <v>0.0</v>
      </c>
      <c r="F17" s="14">
        <v>0.0</v>
      </c>
      <c r="G17" s="14">
        <v>0.0</v>
      </c>
      <c r="H17" s="14">
        <v>0.0</v>
      </c>
      <c r="I17" s="14">
        <v>0.0</v>
      </c>
      <c r="J17" s="14">
        <v>0.0</v>
      </c>
      <c r="K17" s="14">
        <v>0.0</v>
      </c>
      <c r="L17" s="14">
        <v>0.0</v>
      </c>
      <c r="M17" s="14">
        <v>0.0</v>
      </c>
      <c r="N17" s="14">
        <v>0.0</v>
      </c>
      <c r="O17" s="14">
        <v>0.0</v>
      </c>
    </row>
    <row r="18">
      <c r="B18" s="10" t="s">
        <v>41</v>
      </c>
      <c r="C18" s="15"/>
      <c r="D18" s="13">
        <v>8333333.0</v>
      </c>
      <c r="E18" s="13">
        <v>8333333.0</v>
      </c>
      <c r="F18" s="13">
        <v>8333333.0</v>
      </c>
      <c r="G18" s="13">
        <v>8333333.0</v>
      </c>
      <c r="H18" s="13">
        <v>8333333.0</v>
      </c>
      <c r="I18" s="13">
        <v>8333333.0</v>
      </c>
      <c r="J18" s="13">
        <v>8333333.0</v>
      </c>
      <c r="K18" s="13">
        <v>8333333.0</v>
      </c>
      <c r="L18" s="13">
        <v>8333333.0</v>
      </c>
      <c r="M18" s="13">
        <v>8333333.0</v>
      </c>
      <c r="N18" s="13">
        <v>8333333.0</v>
      </c>
      <c r="O18" s="13">
        <v>8333333.0</v>
      </c>
    </row>
    <row r="19">
      <c r="B19" s="10" t="s">
        <v>42</v>
      </c>
      <c r="C19" s="15">
        <v>0.5</v>
      </c>
      <c r="D19" s="13">
        <f t="shared" ref="D19:O19" si="7">(D20+D21)*45%</f>
        <v>136111522.5</v>
      </c>
      <c r="E19" s="13">
        <f t="shared" si="7"/>
        <v>109309522.5</v>
      </c>
      <c r="F19" s="13">
        <f t="shared" si="7"/>
        <v>271009827</v>
      </c>
      <c r="G19" s="13">
        <f t="shared" si="7"/>
        <v>338657792.4</v>
      </c>
      <c r="H19" s="13">
        <f t="shared" si="7"/>
        <v>406389350.7</v>
      </c>
      <c r="I19" s="13">
        <f t="shared" si="7"/>
        <v>474221221.2</v>
      </c>
      <c r="J19" s="13">
        <f t="shared" si="7"/>
        <v>450690721.2</v>
      </c>
      <c r="K19" s="13">
        <f t="shared" si="7"/>
        <v>428336746.2</v>
      </c>
      <c r="L19" s="13">
        <f t="shared" si="7"/>
        <v>407100470</v>
      </c>
      <c r="M19" s="13">
        <f t="shared" si="7"/>
        <v>386926007.5</v>
      </c>
      <c r="N19" s="13">
        <f t="shared" si="7"/>
        <v>367760268.1</v>
      </c>
      <c r="O19" s="13">
        <f t="shared" si="7"/>
        <v>349552815.8</v>
      </c>
    </row>
    <row r="20">
      <c r="A20" s="16" t="s">
        <v>43</v>
      </c>
      <c r="B20" s="10" t="s">
        <v>44</v>
      </c>
      <c r="C20" s="11">
        <v>9.037958114E9</v>
      </c>
      <c r="D20" s="11">
        <f t="shared" ref="D20:O20" si="8">D10-D16</f>
        <v>298600000</v>
      </c>
      <c r="E20" s="11">
        <f t="shared" si="8"/>
        <v>239040000</v>
      </c>
      <c r="F20" s="11">
        <f t="shared" si="8"/>
        <v>597600000</v>
      </c>
      <c r="G20" s="11">
        <f t="shared" si="8"/>
        <v>747000000</v>
      </c>
      <c r="H20" s="11">
        <f t="shared" si="8"/>
        <v>896400000</v>
      </c>
      <c r="I20" s="11">
        <f t="shared" si="8"/>
        <v>1045800000</v>
      </c>
      <c r="J20" s="11">
        <f t="shared" si="8"/>
        <v>993510000</v>
      </c>
      <c r="K20" s="11">
        <f t="shared" si="8"/>
        <v>943834500</v>
      </c>
      <c r="L20" s="11">
        <f t="shared" si="8"/>
        <v>896642775</v>
      </c>
      <c r="M20" s="11">
        <f t="shared" si="8"/>
        <v>851810636.3</v>
      </c>
      <c r="N20" s="11">
        <f t="shared" si="8"/>
        <v>809220104.2</v>
      </c>
      <c r="O20" s="11">
        <f t="shared" si="8"/>
        <v>768759099.1</v>
      </c>
    </row>
    <row r="21">
      <c r="B21" s="10" t="s">
        <v>45</v>
      </c>
      <c r="C21" s="17"/>
      <c r="D21" s="13">
        <v>3870050.0</v>
      </c>
      <c r="E21" s="13">
        <v>3870050.0</v>
      </c>
      <c r="F21" s="13">
        <v>4644060.0</v>
      </c>
      <c r="G21" s="13">
        <v>5572872.0</v>
      </c>
      <c r="H21" s="13">
        <v>6687446.0</v>
      </c>
      <c r="I21" s="13">
        <v>8024936.0</v>
      </c>
      <c r="J21" s="13">
        <v>8024936.0</v>
      </c>
      <c r="K21" s="13">
        <v>8024936.0</v>
      </c>
      <c r="L21" s="13">
        <v>8024936.0</v>
      </c>
      <c r="M21" s="13">
        <v>8024936.0</v>
      </c>
      <c r="N21" s="13">
        <v>8024936.0</v>
      </c>
      <c r="O21" s="13">
        <v>8024936.0</v>
      </c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>
      <c r="A23" s="1"/>
      <c r="B23" s="18" t="s">
        <v>46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>
      <c r="A24" s="1"/>
      <c r="B24" s="1"/>
      <c r="C24" s="1"/>
      <c r="D24" s="19">
        <f>D5/D20</f>
        <v>0.4575699665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">
        <f>D16/D10</f>
        <v>0.1705555556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idden="1">
      <c r="A26" s="1"/>
      <c r="B26" s="20" t="s">
        <v>47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idden="1">
      <c r="A27" s="1"/>
      <c r="B27" s="20" t="s">
        <v>48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idden="1">
      <c r="A28" s="1"/>
      <c r="B28" s="20" t="s">
        <v>49</v>
      </c>
      <c r="C28" s="1"/>
      <c r="D28" s="1"/>
      <c r="E28" s="21">
        <f>D10-E16</f>
        <v>311040000</v>
      </c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idden="1">
      <c r="A29" s="1"/>
      <c r="B29" s="22" t="s">
        <v>50</v>
      </c>
      <c r="C29" s="1"/>
      <c r="D29" s="1"/>
      <c r="E29" s="1">
        <f>E28*50%</f>
        <v>155520000</v>
      </c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idden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idden="1">
      <c r="A31" s="1"/>
      <c r="B31" s="1"/>
      <c r="C31" s="1"/>
      <c r="D31" s="1"/>
      <c r="E31" s="20" t="s">
        <v>51</v>
      </c>
      <c r="F31" s="20">
        <v>5.0E8</v>
      </c>
      <c r="G31" s="1">
        <f>F31/60</f>
        <v>8333333.333</v>
      </c>
      <c r="H31" s="1"/>
      <c r="I31" s="1"/>
      <c r="J31" s="1"/>
      <c r="K31" s="1"/>
      <c r="L31" s="1"/>
      <c r="M31" s="1"/>
      <c r="N31" s="1"/>
      <c r="O31" s="1"/>
    </row>
    <row r="32" hidden="1">
      <c r="A32" s="1"/>
      <c r="B32" s="1"/>
      <c r="C32" s="1"/>
      <c r="D32" s="1"/>
      <c r="E32" s="20" t="s">
        <v>52</v>
      </c>
      <c r="F32" s="20">
        <v>5.0E8</v>
      </c>
      <c r="G32" s="1"/>
      <c r="H32" s="1"/>
      <c r="I32" s="1"/>
      <c r="J32" s="1"/>
      <c r="K32" s="1"/>
      <c r="L32" s="1"/>
      <c r="M32" s="1"/>
      <c r="N32" s="1"/>
      <c r="O32" s="1"/>
    </row>
    <row r="33" hidden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</sheetData>
  <mergeCells count="3">
    <mergeCell ref="A11:A19"/>
    <mergeCell ref="A20:A21"/>
    <mergeCell ref="B23:C23"/>
  </mergeCells>
  <hyperlinks>
    <hyperlink r:id="rId1" location="gid=796357169" ref="B2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22.75"/>
    <col customWidth="1" min="3" max="3" width="12.5"/>
    <col customWidth="1" min="4" max="15" width="10.75"/>
  </cols>
  <sheetData>
    <row r="2">
      <c r="A2" s="23"/>
      <c r="B2" s="24" t="s">
        <v>53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>
      <c r="A3" s="23"/>
      <c r="B3" s="25" t="s">
        <v>1</v>
      </c>
      <c r="C3" s="25" t="s">
        <v>2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54</v>
      </c>
      <c r="O3" s="10" t="s">
        <v>55</v>
      </c>
    </row>
    <row r="4">
      <c r="A4" s="23"/>
      <c r="B4" s="25" t="s">
        <v>56</v>
      </c>
      <c r="C4" s="26">
        <f t="shared" ref="C4:C6" si="2">sum(D4:O4)</f>
        <v>3934995996</v>
      </c>
      <c r="D4" s="27">
        <f t="shared" ref="D4:O4" si="1">D21</f>
        <v>855972877</v>
      </c>
      <c r="E4" s="27">
        <f t="shared" si="1"/>
        <v>1676785148</v>
      </c>
      <c r="F4" s="27">
        <f t="shared" si="1"/>
        <v>231624376</v>
      </c>
      <c r="G4" s="27">
        <f t="shared" si="1"/>
        <v>244544252.7</v>
      </c>
      <c r="H4" s="27">
        <f t="shared" si="1"/>
        <v>137466940.9</v>
      </c>
      <c r="I4" s="27">
        <f t="shared" si="1"/>
        <v>173466914.6</v>
      </c>
      <c r="J4" s="27">
        <f t="shared" si="1"/>
        <v>137644547.7</v>
      </c>
      <c r="K4" s="27">
        <f t="shared" si="1"/>
        <v>128869243.2</v>
      </c>
      <c r="L4" s="27">
        <f t="shared" si="1"/>
        <v>80584767.49</v>
      </c>
      <c r="M4" s="27">
        <f t="shared" si="1"/>
        <v>110715673.6</v>
      </c>
      <c r="N4" s="27">
        <f t="shared" si="1"/>
        <v>67536316.16</v>
      </c>
      <c r="O4" s="27">
        <f t="shared" si="1"/>
        <v>89784939.01</v>
      </c>
    </row>
    <row r="5">
      <c r="A5" s="23"/>
      <c r="B5" s="25" t="s">
        <v>32</v>
      </c>
      <c r="C5" s="26">
        <f t="shared" si="2"/>
        <v>545220232</v>
      </c>
      <c r="D5" s="27">
        <f t="shared" ref="D5:O5" si="3">sum(D13:D17)+D20</f>
        <v>121410192</v>
      </c>
      <c r="E5" s="27">
        <f t="shared" si="3"/>
        <v>113410192</v>
      </c>
      <c r="F5" s="27">
        <f t="shared" si="3"/>
        <v>112410192</v>
      </c>
      <c r="G5" s="27">
        <f t="shared" si="3"/>
        <v>112410192</v>
      </c>
      <c r="H5" s="27">
        <f t="shared" si="3"/>
        <v>12118673</v>
      </c>
      <c r="I5" s="27">
        <f t="shared" si="3"/>
        <v>12118673</v>
      </c>
      <c r="J5" s="27">
        <f t="shared" si="3"/>
        <v>12118673</v>
      </c>
      <c r="K5" s="27">
        <f t="shared" si="3"/>
        <v>12118673</v>
      </c>
      <c r="L5" s="27">
        <f t="shared" si="3"/>
        <v>9276193</v>
      </c>
      <c r="M5" s="27">
        <f t="shared" si="3"/>
        <v>9276193</v>
      </c>
      <c r="N5" s="27">
        <f t="shared" si="3"/>
        <v>9276193</v>
      </c>
      <c r="O5" s="27">
        <f t="shared" si="3"/>
        <v>9276193</v>
      </c>
    </row>
    <row r="6" hidden="1">
      <c r="A6" s="23"/>
      <c r="B6" s="25"/>
      <c r="C6" s="26">
        <f t="shared" si="2"/>
        <v>3389775764</v>
      </c>
      <c r="D6" s="28">
        <f t="shared" ref="D6:O6" si="4">D4-D5</f>
        <v>734562685</v>
      </c>
      <c r="E6" s="28">
        <f t="shared" si="4"/>
        <v>1563374956</v>
      </c>
      <c r="F6" s="28">
        <f t="shared" si="4"/>
        <v>119214184</v>
      </c>
      <c r="G6" s="28">
        <f t="shared" si="4"/>
        <v>132134060.7</v>
      </c>
      <c r="H6" s="28">
        <f t="shared" si="4"/>
        <v>125348267.9</v>
      </c>
      <c r="I6" s="28">
        <f t="shared" si="4"/>
        <v>161348241.6</v>
      </c>
      <c r="J6" s="28">
        <f t="shared" si="4"/>
        <v>125525874.7</v>
      </c>
      <c r="K6" s="28">
        <f t="shared" si="4"/>
        <v>116750570.2</v>
      </c>
      <c r="L6" s="28">
        <f t="shared" si="4"/>
        <v>71308574.49</v>
      </c>
      <c r="M6" s="28">
        <f t="shared" si="4"/>
        <v>101439480.6</v>
      </c>
      <c r="N6" s="28">
        <f t="shared" si="4"/>
        <v>58260123.16</v>
      </c>
      <c r="O6" s="28">
        <f t="shared" si="4"/>
        <v>80508746.01</v>
      </c>
    </row>
    <row r="7">
      <c r="A7" s="23"/>
      <c r="B7" s="25" t="s">
        <v>17</v>
      </c>
      <c r="C7" s="29">
        <f t="shared" ref="C7:O7" si="5">(C4-C5)/C5</f>
        <v>6.217259678</v>
      </c>
      <c r="D7" s="30">
        <f t="shared" si="5"/>
        <v>6.050255525</v>
      </c>
      <c r="E7" s="30">
        <f t="shared" si="5"/>
        <v>13.78513631</v>
      </c>
      <c r="F7" s="31">
        <f t="shared" si="5"/>
        <v>1.060528248</v>
      </c>
      <c r="G7" s="31">
        <f t="shared" si="5"/>
        <v>1.175463348</v>
      </c>
      <c r="H7" s="31">
        <f t="shared" si="5"/>
        <v>10.34339881</v>
      </c>
      <c r="I7" s="31">
        <f t="shared" si="5"/>
        <v>13.31401892</v>
      </c>
      <c r="J7" s="31">
        <f t="shared" si="5"/>
        <v>10.35805445</v>
      </c>
      <c r="K7" s="31">
        <f t="shared" si="5"/>
        <v>9.633940134</v>
      </c>
      <c r="L7" s="31">
        <f t="shared" si="5"/>
        <v>7.687267233</v>
      </c>
      <c r="M7" s="31">
        <f t="shared" si="5"/>
        <v>10.93546464</v>
      </c>
      <c r="N7" s="31">
        <f t="shared" si="5"/>
        <v>6.280607051</v>
      </c>
      <c r="O7" s="31">
        <f t="shared" si="5"/>
        <v>8.679071901</v>
      </c>
    </row>
    <row r="8" hidden="1">
      <c r="A8" s="23"/>
      <c r="B8" s="32" t="s">
        <v>57</v>
      </c>
      <c r="C8" s="26">
        <f>sum(D8:O8)</f>
        <v>9060428779</v>
      </c>
      <c r="D8" s="27">
        <f t="shared" ref="D8:O8" si="6">D22-D21</f>
        <v>1991464971</v>
      </c>
      <c r="E8" s="27">
        <f t="shared" si="6"/>
        <v>3906693603</v>
      </c>
      <c r="F8" s="27">
        <f t="shared" si="6"/>
        <v>533490787.3</v>
      </c>
      <c r="G8" s="27">
        <f t="shared" si="6"/>
        <v>562243948.2</v>
      </c>
      <c r="H8" s="27">
        <f t="shared" si="6"/>
        <v>310725026.4</v>
      </c>
      <c r="I8" s="27">
        <f t="shared" si="6"/>
        <v>392718730</v>
      </c>
      <c r="J8" s="27">
        <f t="shared" si="6"/>
        <v>309133207.4</v>
      </c>
      <c r="K8" s="27">
        <f t="shared" si="6"/>
        <v>288657496.8</v>
      </c>
      <c r="L8" s="27">
        <f t="shared" si="6"/>
        <v>175993720.1</v>
      </c>
      <c r="M8" s="27">
        <f t="shared" si="6"/>
        <v>246299167.7</v>
      </c>
      <c r="N8" s="27">
        <f t="shared" si="6"/>
        <v>145547333.7</v>
      </c>
      <c r="O8" s="27">
        <f t="shared" si="6"/>
        <v>197460787</v>
      </c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>
      <c r="A10" s="23"/>
      <c r="B10" s="24" t="s">
        <v>18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</row>
    <row r="11">
      <c r="A11" s="23"/>
      <c r="B11" s="25" t="s">
        <v>1</v>
      </c>
      <c r="C11" s="25" t="s">
        <v>2</v>
      </c>
      <c r="D11" s="25" t="s">
        <v>19</v>
      </c>
      <c r="E11" s="25" t="s">
        <v>20</v>
      </c>
      <c r="F11" s="25" t="s">
        <v>21</v>
      </c>
      <c r="G11" s="25" t="s">
        <v>22</v>
      </c>
      <c r="H11" s="25" t="s">
        <v>23</v>
      </c>
      <c r="I11" s="25" t="s">
        <v>24</v>
      </c>
      <c r="J11" s="25" t="s">
        <v>25</v>
      </c>
      <c r="K11" s="25" t="s">
        <v>26</v>
      </c>
      <c r="L11" s="25" t="s">
        <v>27</v>
      </c>
      <c r="M11" s="25" t="s">
        <v>28</v>
      </c>
      <c r="N11" s="25" t="s">
        <v>29</v>
      </c>
      <c r="O11" s="25" t="s">
        <v>30</v>
      </c>
    </row>
    <row r="12">
      <c r="A12" s="23"/>
      <c r="B12" s="25" t="s">
        <v>31</v>
      </c>
      <c r="C12" s="33">
        <f>SUM(D12:O12)</f>
        <v>15657138283</v>
      </c>
      <c r="D12" s="33">
        <v>3.43064801E9</v>
      </c>
      <c r="E12" s="33">
        <v>6.727082832E9</v>
      </c>
      <c r="F12" s="33">
        <v>9.21825498E8</v>
      </c>
      <c r="G12" s="33">
        <v>9.72033977E8</v>
      </c>
      <c r="H12" s="33">
        <v>5.39990322E8</v>
      </c>
      <c r="I12" s="33">
        <v>6.82151379E8</v>
      </c>
      <c r="J12" s="33">
        <v>5.38286452E8</v>
      </c>
      <c r="K12" s="33">
        <v>5.03044265E8</v>
      </c>
      <c r="L12" s="33">
        <v>3.09130708E8</v>
      </c>
      <c r="M12" s="33">
        <v>4.30138363E8</v>
      </c>
      <c r="N12" s="33">
        <v>2.56727289E8</v>
      </c>
      <c r="O12" s="33">
        <v>3.46079188E8</v>
      </c>
    </row>
    <row r="13">
      <c r="A13" s="12" t="s">
        <v>32</v>
      </c>
      <c r="B13" s="25" t="s">
        <v>33</v>
      </c>
      <c r="C13" s="34">
        <f>sum(D13:O13)</f>
        <v>523220232</v>
      </c>
      <c r="D13" s="34">
        <v>1.11410192E8</v>
      </c>
      <c r="E13" s="34">
        <v>1.11410192E8</v>
      </c>
      <c r="F13" s="34">
        <v>1.11410192E8</v>
      </c>
      <c r="G13" s="34">
        <v>1.11410192E8</v>
      </c>
      <c r="H13" s="34">
        <v>1.1118673E7</v>
      </c>
      <c r="I13" s="34">
        <v>1.1118673E7</v>
      </c>
      <c r="J13" s="34">
        <v>1.1118673E7</v>
      </c>
      <c r="K13" s="34">
        <v>1.1118673E7</v>
      </c>
      <c r="L13" s="34">
        <v>8276193.0</v>
      </c>
      <c r="M13" s="34">
        <v>8276193.0</v>
      </c>
      <c r="N13" s="34">
        <v>8276193.0</v>
      </c>
      <c r="O13" s="34">
        <v>8276193.0</v>
      </c>
    </row>
    <row r="14">
      <c r="B14" s="25" t="s">
        <v>34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</row>
    <row r="15">
      <c r="B15" s="25" t="s">
        <v>35</v>
      </c>
      <c r="C15" s="34">
        <f>sum(D15:O15)</f>
        <v>22000000</v>
      </c>
      <c r="D15" s="34">
        <v>1.0E7</v>
      </c>
      <c r="E15" s="34">
        <v>2000000.0</v>
      </c>
      <c r="F15" s="34">
        <v>1000000.0</v>
      </c>
      <c r="G15" s="34">
        <v>1000000.0</v>
      </c>
      <c r="H15" s="34">
        <v>1000000.0</v>
      </c>
      <c r="I15" s="34">
        <v>1000000.0</v>
      </c>
      <c r="J15" s="34">
        <v>1000000.0</v>
      </c>
      <c r="K15" s="34">
        <v>1000000.0</v>
      </c>
      <c r="L15" s="34">
        <v>1000000.0</v>
      </c>
      <c r="M15" s="34">
        <v>1000000.0</v>
      </c>
      <c r="N15" s="34">
        <v>1000000.0</v>
      </c>
      <c r="O15" s="34">
        <v>1000000.0</v>
      </c>
    </row>
    <row r="16">
      <c r="B16" s="25" t="s">
        <v>36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7">
      <c r="B17" s="25" t="s">
        <v>37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</row>
    <row r="18">
      <c r="B18" s="25" t="s">
        <v>38</v>
      </c>
      <c r="C18" s="34">
        <v>1.983942025E9</v>
      </c>
      <c r="D18" s="34">
        <f t="shared" ref="D18:O18" si="7">D12*17%</f>
        <v>583210161.7</v>
      </c>
      <c r="E18" s="34">
        <f t="shared" si="7"/>
        <v>1143604081</v>
      </c>
      <c r="F18" s="34">
        <f t="shared" si="7"/>
        <v>156710334.7</v>
      </c>
      <c r="G18" s="34">
        <f t="shared" si="7"/>
        <v>165245776.1</v>
      </c>
      <c r="H18" s="34">
        <f t="shared" si="7"/>
        <v>91798354.74</v>
      </c>
      <c r="I18" s="34">
        <f t="shared" si="7"/>
        <v>115965734.4</v>
      </c>
      <c r="J18" s="34">
        <f t="shared" si="7"/>
        <v>91508696.84</v>
      </c>
      <c r="K18" s="34">
        <f t="shared" si="7"/>
        <v>85517525.05</v>
      </c>
      <c r="L18" s="34">
        <f t="shared" si="7"/>
        <v>52552220.36</v>
      </c>
      <c r="M18" s="34">
        <f t="shared" si="7"/>
        <v>73123521.71</v>
      </c>
      <c r="N18" s="34">
        <f t="shared" si="7"/>
        <v>43643639.13</v>
      </c>
      <c r="O18" s="34">
        <f t="shared" si="7"/>
        <v>58833461.96</v>
      </c>
    </row>
    <row r="19">
      <c r="B19" s="25" t="s">
        <v>39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</row>
    <row r="20">
      <c r="B20" s="25" t="s">
        <v>41</v>
      </c>
      <c r="C20" s="37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</row>
    <row r="21">
      <c r="B21" s="25" t="s">
        <v>58</v>
      </c>
      <c r="C21" s="38">
        <v>0.3</v>
      </c>
      <c r="D21" s="34">
        <f t="shared" ref="D21:O21" si="8">(D22*30%)+(D23*45%)</f>
        <v>855972877</v>
      </c>
      <c r="E21" s="34">
        <f t="shared" si="8"/>
        <v>1676785148</v>
      </c>
      <c r="F21" s="34">
        <f t="shared" si="8"/>
        <v>231624376</v>
      </c>
      <c r="G21" s="34">
        <f t="shared" si="8"/>
        <v>244544252.7</v>
      </c>
      <c r="H21" s="34">
        <f t="shared" si="8"/>
        <v>137466940.9</v>
      </c>
      <c r="I21" s="34">
        <f t="shared" si="8"/>
        <v>173466914.6</v>
      </c>
      <c r="J21" s="34">
        <f t="shared" si="8"/>
        <v>137644547.7</v>
      </c>
      <c r="K21" s="34">
        <f t="shared" si="8"/>
        <v>128869243.2</v>
      </c>
      <c r="L21" s="34">
        <f t="shared" si="8"/>
        <v>80584767.49</v>
      </c>
      <c r="M21" s="34">
        <f t="shared" si="8"/>
        <v>110715673.6</v>
      </c>
      <c r="N21" s="34">
        <f t="shared" si="8"/>
        <v>67536316.16</v>
      </c>
      <c r="O21" s="34">
        <f t="shared" si="8"/>
        <v>89784939.01</v>
      </c>
    </row>
    <row r="22">
      <c r="A22" s="16" t="s">
        <v>43</v>
      </c>
      <c r="B22" s="25" t="s">
        <v>44</v>
      </c>
      <c r="C22" s="33">
        <f>SUM(D22:O22)</f>
        <v>12995424775</v>
      </c>
      <c r="D22" s="33">
        <f t="shared" ref="D22:O22" si="9">D12-D18</f>
        <v>2847437848</v>
      </c>
      <c r="E22" s="33">
        <f t="shared" si="9"/>
        <v>5583478751</v>
      </c>
      <c r="F22" s="33">
        <f t="shared" si="9"/>
        <v>765115163.3</v>
      </c>
      <c r="G22" s="33">
        <f t="shared" si="9"/>
        <v>806788200.9</v>
      </c>
      <c r="H22" s="33">
        <f t="shared" si="9"/>
        <v>448191967.3</v>
      </c>
      <c r="I22" s="33">
        <f t="shared" si="9"/>
        <v>566185644.6</v>
      </c>
      <c r="J22" s="33">
        <f t="shared" si="9"/>
        <v>446777755.2</v>
      </c>
      <c r="K22" s="33">
        <f t="shared" si="9"/>
        <v>417526740</v>
      </c>
      <c r="L22" s="33">
        <f t="shared" si="9"/>
        <v>256578487.6</v>
      </c>
      <c r="M22" s="33">
        <f t="shared" si="9"/>
        <v>357014841.3</v>
      </c>
      <c r="N22" s="33">
        <f t="shared" si="9"/>
        <v>213083649.9</v>
      </c>
      <c r="O22" s="33">
        <f t="shared" si="9"/>
        <v>287245726</v>
      </c>
    </row>
    <row r="23">
      <c r="B23" s="25" t="s">
        <v>45</v>
      </c>
      <c r="C23" s="34">
        <f>sum(D23:O23)</f>
        <v>80819030</v>
      </c>
      <c r="D23" s="34">
        <v>3870050.0</v>
      </c>
      <c r="E23" s="34">
        <v>3870050.0</v>
      </c>
      <c r="F23" s="34">
        <v>4644060.0</v>
      </c>
      <c r="G23" s="34">
        <v>5572872.0</v>
      </c>
      <c r="H23" s="34">
        <v>6687446.0</v>
      </c>
      <c r="I23" s="34">
        <v>8024936.0</v>
      </c>
      <c r="J23" s="34">
        <v>8024936.0</v>
      </c>
      <c r="K23" s="34">
        <v>8024936.0</v>
      </c>
      <c r="L23" s="34">
        <v>8024936.0</v>
      </c>
      <c r="M23" s="34">
        <v>8024936.0</v>
      </c>
      <c r="N23" s="34">
        <v>8024936.0</v>
      </c>
      <c r="O23" s="34">
        <v>8024936.0</v>
      </c>
    </row>
    <row r="25">
      <c r="B25" s="39" t="s">
        <v>46</v>
      </c>
    </row>
    <row r="26">
      <c r="D26" s="40">
        <f>D5/D22</f>
        <v>0.04263839931</v>
      </c>
    </row>
    <row r="27">
      <c r="D27" s="41">
        <f>D18/D12</f>
        <v>0.17</v>
      </c>
    </row>
    <row r="28" hidden="1">
      <c r="B28" s="42" t="s">
        <v>47</v>
      </c>
    </row>
    <row r="29" hidden="1">
      <c r="B29" s="42" t="s">
        <v>48</v>
      </c>
    </row>
    <row r="30" hidden="1">
      <c r="B30" s="42" t="s">
        <v>49</v>
      </c>
      <c r="E30" s="43">
        <f>D12-E18</f>
        <v>2287043929</v>
      </c>
    </row>
    <row r="31" hidden="1">
      <c r="B31" s="44" t="s">
        <v>50</v>
      </c>
      <c r="E31" s="41">
        <f>E30*50%</f>
        <v>1143521964</v>
      </c>
    </row>
    <row r="32" hidden="1"/>
    <row r="33" hidden="1">
      <c r="E33" s="42" t="s">
        <v>51</v>
      </c>
      <c r="F33" s="42">
        <v>5.0E8</v>
      </c>
      <c r="G33" s="41">
        <f>F33/60</f>
        <v>8333333.333</v>
      </c>
    </row>
    <row r="34" hidden="1">
      <c r="E34" s="42" t="s">
        <v>52</v>
      </c>
      <c r="F34" s="42">
        <v>5.0E8</v>
      </c>
    </row>
    <row r="35" hidden="1"/>
  </sheetData>
  <mergeCells count="3">
    <mergeCell ref="A13:A21"/>
    <mergeCell ref="A22:A23"/>
    <mergeCell ref="B25:C25"/>
  </mergeCells>
  <hyperlinks>
    <hyperlink r:id="rId1" location="gid=796357169" ref="B25"/>
  </hyperlinks>
  <drawing r:id="rId2"/>
</worksheet>
</file>