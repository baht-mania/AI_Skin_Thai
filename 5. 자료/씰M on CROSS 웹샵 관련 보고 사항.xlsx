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W 이메일 전문" sheetId="1" r:id="rId5"/>
    <sheet state="visible" name="2. 라인넥스트 조건" sheetId="2" r:id="rId6"/>
    <sheet state="visible" name="3. 조건 반영 매출 시뮬레이션" sheetId="3" r:id="rId7"/>
    <sheet state="visible" name="4. 기존 버전 실 매출데이터" sheetId="4" r:id="rId8"/>
  </sheets>
  <definedNames/>
  <calcPr/>
</workbook>
</file>

<file path=xl/sharedStrings.xml><?xml version="1.0" encoding="utf-8"?>
<sst xmlns="http://schemas.openxmlformats.org/spreadsheetml/2006/main" count="86" uniqueCount="73">
  <si>
    <t>LINE NEXT → PlayWith 제안 요약</t>
  </si>
  <si>
    <t>SEAL M on CROSS 관련 파트너십 제안 내용 정리 | 📄 CONFIDENTIAL — 내부 검토용</t>
  </si>
  <si>
    <t>📋 1. 마케팅 지원사항</t>
  </si>
  <si>
    <t>#</t>
  </si>
  <si>
    <t>지원 항목</t>
  </si>
  <si>
    <t>유형</t>
  </si>
  <si>
    <t>비고</t>
  </si>
  <si>
    <t>현금 마케팅 지원 ₩ 3억원</t>
  </si>
  <si>
    <t>💰 현금 지원</t>
  </si>
  <si>
    <t>최종 조율 단계</t>
  </si>
  <si>
    <t>타이베이 게임쇼(Taipei Game Show) 부스 지원</t>
  </si>
  <si>
    <t>🎮 전시·이벤트</t>
  </si>
  <si>
    <t>확정</t>
  </si>
  <si>
    <t>마이카드 사전예약 지원</t>
  </si>
  <si>
    <t>📱 유저 모객</t>
  </si>
  <si>
    <t>마이카드(Mycard) 웹사이트 메인 페이지 노출</t>
  </si>
  <si>
    <t>🌐 온라인 광고</t>
  </si>
  <si>
    <t>오프라인 홍보 지원 (마이카드 판매 매장)</t>
  </si>
  <si>
    <t>🏪 오프라인</t>
  </si>
  <si>
    <t>오프라인 영상 홍보 지원 (마이카드 판매 매장)</t>
  </si>
  <si>
    <t>📺 오프라인</t>
  </si>
  <si>
    <t>팬페이지, Facebook / Instagram / LINE / 보도자료 배포 지원</t>
  </si>
  <si>
    <t>📣 미디어·SNS</t>
  </si>
  <si>
    <t>각종 온/오프라인 관계사 미디어 지원</t>
  </si>
  <si>
    <t>🏪 오프라인 / 📺 오프라인</t>
  </si>
  <si>
    <t>💡 참고: 현금 2억원 외 나머지 항목은 Mycard/LINE NEXT 보유 채널·인프라 활용으로, 별도 현금 가치 환산이 필요합니다. 최초 이메일에서 언급된
"10억원+α"와 위 항목들로 계산시 7억원+ 이상의 마케팅 효과라고 제안한 것으로 생각 됩니다.</t>
  </si>
  <si>
    <t>🔄 2. 웹샵 운영 타임라인</t>
  </si>
  <si>
    <t>단계</t>
  </si>
  <si>
    <t>일자 / 시점</t>
  </si>
  <si>
    <t>CROSS Shop</t>
  </si>
  <si>
    <t>NEXT Market</t>
  </si>
  <si>
    <t>1단계</t>
  </si>
  <si>
    <t>3월 19일
 (런칭)</t>
  </si>
  <si>
    <t>글로벌 오픈
 (일본·대만·태국 차단)</t>
  </si>
  <si>
    <t>미오픈</t>
  </si>
  <si>
    <t>2단계</t>
  </si>
  <si>
    <t>4월 19일
 (런칭 +4주)</t>
  </si>
  <si>
    <t>글로벌 (3국 제외)
 변동 없음</t>
  </si>
  <si>
    <t>일본/대만/태국
 독점 오픈</t>
  </si>
  <si>
    <t>3단계</t>
  </si>
  <si>
    <t>6월 19일
 (런칭 +3개월)</t>
  </si>
  <si>
    <t>글로벌 (3국 제외)
 차단 상태 유지</t>
  </si>
  <si>
    <t>글로벌 전체
 확장</t>
  </si>
  <si>
    <t>⚠️ 주의: 최종 구조(6/19~)에서 NEXT Market은 글로벌 전체를 커버하지만, CROSS Shop은 핵심 3국이 영구 차단된 상태로 고정됩니다.
크로스샵의 차단 해제 시점에 대한 언급이 없으며, 조건부 독점 해제 조항이 있어도 크로스샵이 해당 지역에서 열리지 않으면 실효성이 없습니다.</t>
  </si>
  <si>
    <t>2개 지역 총 매출액 합계: 약 295.5억원</t>
  </si>
  <si>
    <t>구분</t>
  </si>
  <si>
    <t>동남아시아</t>
  </si>
  <si>
    <t>대만/홍콩/마카오</t>
  </si>
  <si>
    <t>기대 매출 합계</t>
  </si>
  <si>
    <t>조건값</t>
  </si>
  <si>
    <t>총 매출</t>
  </si>
  <si>
    <t xml:space="preserve"> - 10억원+@ 마케팅 비용 지원
 - 넥스트마켓 수수료 10% (CROSS SHOP 7%)
 - 재런칭 감안해서 기존 매출의 70%로 조정한 매출</t>
  </si>
  <si>
    <t>웹샵 40% 매출</t>
  </si>
  <si>
    <t>웹샵 50% 매출</t>
  </si>
  <si>
    <t>점유율 40% 시나리오</t>
  </si>
  <si>
    <t>점유율 50% 시나리오</t>
  </si>
  <si>
    <t>동남아시아 씰M - 월별 매출 및 웹샵 수익 분석</t>
  </si>
  <si>
    <t>대만/홍콩/마카오 씰M - 월별 매출 및 웹샵 수익 분석</t>
  </si>
  <si>
    <t>월</t>
  </si>
  <si>
    <t>총 매출액 (KRW)</t>
  </si>
  <si>
    <t>웹샵 점유율 40%</t>
  </si>
  <si>
    <t>40% 기준 기대 매출</t>
  </si>
  <si>
    <t>50% 기준 기대 매출</t>
  </si>
  <si>
    <t>웹샵 점유율 50%</t>
  </si>
  <si>
    <t>합계</t>
  </si>
  <si>
    <t>동남아시아 씰M KPI</t>
  </si>
  <si>
    <t>대만/홍콩/마카오 (재런칭) 씰M KPI</t>
  </si>
  <si>
    <t>매출액</t>
  </si>
  <si>
    <t>MAU</t>
  </si>
  <si>
    <t>NRU</t>
  </si>
  <si>
    <t>MCU</t>
  </si>
  <si>
    <t>P.Rate</t>
  </si>
  <si>
    <t>ARPPU</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</si>
</sst>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
    <numFmt numFmtId="165" formatCode="yyyy년mm월"/>
    <numFmt numFmtId="166" formatCode="yyyy년m월"/>
  </numFmts>
  <fonts count="22">
    <font>
      <sz val="10.0"/>
      <color rgb="FF000000"/>
      <name val="Arial"/>
      <scheme val="minor"/>
    </font>
    <font>
      <b/>
      <sz val="14.0"/>
      <color rgb="FFFFFFFF"/>
      <name val="Arial"/>
    </font>
    <font>
      <color rgb="FFA0AEC0"/>
      <name val="Arial"/>
    </font>
    <font>
      <sz val="11.0"/>
      <color rgb="FF000000"/>
      <name val="&quot;맑은 고딕&quot;"/>
    </font>
    <font>
      <b/>
      <sz val="12.0"/>
      <color theme="1"/>
      <name val="Arial"/>
    </font>
    <font>
      <b/>
      <sz val="11.0"/>
      <color rgb="FFFFFFFF"/>
      <name val="Arial"/>
    </font>
    <font>
      <b/>
      <color rgb="FF2B6CB0"/>
      <name val="Arial"/>
    </font>
    <font>
      <b/>
      <color theme="1"/>
      <name val="Arial"/>
    </font>
    <font>
      <color theme="1"/>
      <name val="Arial"/>
    </font>
    <font/>
    <font>
      <color rgb="FF2A4365"/>
      <name val="Arial"/>
    </font>
    <font>
      <color rgb="FFCC0000"/>
      <name val="Arial"/>
    </font>
    <font>
      <color rgb="FF9B2C2C"/>
      <name val="Arial"/>
    </font>
    <font>
      <color theme="1"/>
      <name val="Google Sans Text"/>
    </font>
    <font>
      <b/>
      <sz val="14.0"/>
      <color theme="1"/>
      <name val="Google Sans Text"/>
    </font>
    <font>
      <b/>
      <color theme="1"/>
      <name val="Google Sans Text"/>
    </font>
    <font>
      <color theme="1"/>
      <name val="Arial"/>
      <scheme val="minor"/>
    </font>
    <font>
      <b/>
      <color rgb="FFFFFFFF"/>
      <name val="Google Sans Text"/>
    </font>
    <font>
      <b/>
      <sz val="10.0"/>
      <color theme="1"/>
      <name val="Google Sans Text"/>
    </font>
    <font>
      <sz val="11.0"/>
      <color rgb="FF000000"/>
      <name val="Google Sans Text"/>
    </font>
    <font>
      <color rgb="FF0000FF"/>
      <name val="Google Sans Text"/>
    </font>
    <font>
      <b/>
      <sz val="11.0"/>
      <color rgb="FF000000"/>
      <name val="&quot;맑은 고딕&quot;"/>
    </font>
  </fonts>
  <fills count="17">
    <fill>
      <patternFill patternType="none"/>
    </fill>
    <fill>
      <patternFill patternType="lightGray"/>
    </fill>
    <fill>
      <patternFill patternType="solid">
        <fgColor rgb="FF1A1A2E"/>
        <bgColor rgb="FF1A1A2E"/>
      </patternFill>
    </fill>
    <fill>
      <patternFill patternType="solid">
        <fgColor rgb="FF2F5496"/>
        <bgColor rgb="FF2F5496"/>
      </patternFill>
    </fill>
    <fill>
      <patternFill patternType="solid">
        <fgColor rgb="FFFFFBEB"/>
        <bgColor rgb="FFFFFBEB"/>
      </patternFill>
    </fill>
    <fill>
      <patternFill patternType="solid">
        <fgColor rgb="FFF7FAFC"/>
        <bgColor rgb="FFF7FAFC"/>
      </patternFill>
    </fill>
    <fill>
      <patternFill patternType="solid">
        <fgColor rgb="FFFFFFFF"/>
        <bgColor rgb="FFFFFFFF"/>
      </patternFill>
    </fill>
    <fill>
      <patternFill patternType="solid">
        <fgColor rgb="FFEBF8FF"/>
        <bgColor rgb="FFEBF8FF"/>
      </patternFill>
    </fill>
    <fill>
      <patternFill patternType="solid">
        <fgColor rgb="FF548235"/>
        <bgColor rgb="FF548235"/>
      </patternFill>
    </fill>
    <fill>
      <patternFill patternType="solid">
        <fgColor rgb="FFEBF5FF"/>
        <bgColor rgb="FFEBF5FF"/>
      </patternFill>
    </fill>
    <fill>
      <patternFill patternType="solid">
        <fgColor rgb="FFFFF5F5"/>
        <bgColor rgb="FFFFF5F5"/>
      </patternFill>
    </fill>
    <fill>
      <patternFill patternType="solid">
        <fgColor rgb="FFFFFF00"/>
        <bgColor rgb="FFFFFF00"/>
      </patternFill>
    </fill>
    <fill>
      <patternFill patternType="solid">
        <fgColor rgb="FFF3F3F3"/>
        <bgColor rgb="FFF3F3F3"/>
      </patternFill>
    </fill>
    <fill>
      <patternFill patternType="solid">
        <fgColor rgb="FF3D85C6"/>
        <bgColor rgb="FF3D85C6"/>
      </patternFill>
    </fill>
    <fill>
      <patternFill patternType="solid">
        <fgColor rgb="FFD6E4F0"/>
        <bgColor rgb="FFD6E4F0"/>
      </patternFill>
    </fill>
    <fill>
      <patternFill patternType="solid">
        <fgColor rgb="FFC5E0B4"/>
        <bgColor rgb="FFC5E0B4"/>
      </patternFill>
    </fill>
    <fill>
      <patternFill patternType="solid">
        <fgColor rgb="FFE8E8E8"/>
        <bgColor rgb="FFE8E8E8"/>
      </patternFill>
    </fill>
  </fills>
  <borders count="41">
    <border/>
    <border>
      <left style="thin">
        <color rgb="FFD0D0D0"/>
      </left>
      <right style="thin">
        <color rgb="FFD0D0D0"/>
      </right>
      <top style="thin">
        <color rgb="FFD0D0D0"/>
      </top>
      <bottom style="thin">
        <color rgb="FFD0D0D0"/>
      </bottom>
    </border>
    <border>
      <left style="thin">
        <color rgb="FFD0D0D0"/>
      </left>
      <right style="thin">
        <color rgb="FFD0D0D0"/>
      </right>
      <top style="thin">
        <color rgb="FFD0D0D0"/>
      </top>
    </border>
    <border>
      <left style="thin">
        <color rgb="FFD0D0D0"/>
      </left>
      <right style="thin">
        <color rgb="FFD0D0D0"/>
      </right>
    </border>
    <border>
      <left style="thin">
        <color rgb="FFD0D0D0"/>
      </left>
      <right style="thin">
        <color rgb="FFD0D0D0"/>
      </right>
      <bottom style="thin">
        <color rgb="FFD0D0D0"/>
      </bottom>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medium">
        <color rgb="FF0000FF"/>
      </left>
      <right style="thin">
        <color rgb="FF000000"/>
      </right>
      <top style="medium">
        <color rgb="FF0000FF"/>
      </top>
      <bottom style="thin">
        <color rgb="FF000000"/>
      </bottom>
    </border>
    <border>
      <left style="thin">
        <color rgb="FF000000"/>
      </left>
      <right style="thin">
        <color rgb="FF000000"/>
      </right>
      <top style="medium">
        <color rgb="FF0000FF"/>
      </top>
      <bottom style="thin">
        <color rgb="FF000000"/>
      </bottom>
    </border>
    <border>
      <left style="thin">
        <color rgb="FF000000"/>
      </left>
      <right style="medium">
        <color rgb="FF0000FF"/>
      </right>
      <top style="medium">
        <color rgb="FF0000FF"/>
      </top>
      <bottom style="thin">
        <color rgb="FF000000"/>
      </bottom>
    </border>
    <border>
      <left style="medium">
        <color rgb="FF0000FF"/>
      </left>
      <right style="thin">
        <color rgb="FF000000"/>
      </right>
      <top style="thin">
        <color rgb="FF000000"/>
      </top>
      <bottom style="medium">
        <color rgb="FF0000FF"/>
      </bottom>
    </border>
    <border>
      <left style="thin">
        <color rgb="FF000000"/>
      </left>
      <right style="thin">
        <color rgb="FF000000"/>
      </right>
      <top style="thin">
        <color rgb="FF000000"/>
      </top>
      <bottom style="medium">
        <color rgb="FF0000FF"/>
      </bottom>
    </border>
    <border>
      <left style="thin">
        <color rgb="FF000000"/>
      </left>
      <right style="medium">
        <color rgb="FF0000FF"/>
      </right>
      <top style="thin">
        <color rgb="FF000000"/>
      </top>
      <bottom style="medium">
        <color rgb="FF0000FF"/>
      </bottom>
    </border>
    <border>
      <left style="thin">
        <color rgb="FF000000"/>
      </left>
      <bottom style="thin">
        <color rgb="FF000000"/>
      </bottom>
    </border>
    <border>
      <right style="thin">
        <color rgb="FF000000"/>
      </right>
      <bottom style="thin">
        <color rgb="FF000000"/>
      </bottom>
    </border>
    <border>
      <left style="thick">
        <color rgb="FFFF0000"/>
      </left>
      <right style="thin">
        <color rgb="FF000000"/>
      </right>
      <top style="thick">
        <color rgb="FFFF0000"/>
      </top>
      <bottom style="thin">
        <color rgb="FF000000"/>
      </bottom>
    </border>
    <border>
      <left style="thin">
        <color rgb="FF000000"/>
      </left>
      <right style="thick">
        <color rgb="FFFF0000"/>
      </right>
      <top style="thick">
        <color rgb="FFFF0000"/>
      </top>
      <bottom style="thin">
        <color rgb="FF000000"/>
      </bottom>
    </border>
    <border>
      <left style="thick">
        <color rgb="FFFF0000"/>
      </left>
      <right style="thin">
        <color rgb="FF000000"/>
      </right>
      <top style="thin">
        <color rgb="FF000000"/>
      </top>
      <bottom style="thin">
        <color rgb="FF000000"/>
      </bottom>
    </border>
    <border>
      <left style="thin">
        <color rgb="FF000000"/>
      </left>
      <right style="thick">
        <color rgb="FFFF0000"/>
      </right>
      <top style="thin">
        <color rgb="FF000000"/>
      </top>
      <bottom style="thin">
        <color rgb="FF000000"/>
      </bottom>
    </border>
    <border>
      <left style="thick">
        <color rgb="FFFF0000"/>
      </left>
      <right style="thin">
        <color rgb="FF000000"/>
      </right>
      <top style="thin">
        <color rgb="FF000000"/>
      </top>
      <bottom style="thick">
        <color rgb="FFFF0000"/>
      </bottom>
    </border>
    <border>
      <left style="thin">
        <color rgb="FF000000"/>
      </left>
      <right style="thick">
        <color rgb="FFFF0000"/>
      </right>
      <top style="thin">
        <color rgb="FF000000"/>
      </top>
      <bottom style="thick">
        <color rgb="FFFF0000"/>
      </bottom>
    </border>
    <border>
      <bottom style="thin">
        <color rgb="FF000000"/>
      </bottom>
    </border>
    <border>
      <left style="thin">
        <color rgb="FF000000"/>
      </left>
      <right style="thin">
        <color rgb="FFBFBFBF"/>
      </right>
      <top style="thin">
        <color rgb="FF000000"/>
      </top>
    </border>
    <border>
      <left style="thin">
        <color rgb="FFBFBFBF"/>
      </left>
      <right style="thin">
        <color rgb="FFBFBFBF"/>
      </right>
      <top style="thin">
        <color rgb="FF000000"/>
      </top>
    </border>
    <border>
      <left style="thin">
        <color rgb="FFBFBFBF"/>
      </left>
      <right style="thin">
        <color rgb="FF000000"/>
      </right>
      <top style="thin">
        <color rgb="FF000000"/>
      </top>
    </border>
    <border>
      <left style="thin">
        <color rgb="FF000000"/>
      </left>
      <right style="thin">
        <color rgb="FFBFBFBF"/>
      </right>
      <bottom style="thin">
        <color rgb="FFBFBFBF"/>
      </bottom>
    </border>
    <border>
      <left style="thin">
        <color rgb="FFBFBFBF"/>
      </left>
      <right style="thin">
        <color rgb="FFBFBFBF"/>
      </right>
      <bottom style="thin">
        <color rgb="FFBFBFBF"/>
      </bottom>
    </border>
    <border>
      <left style="thin">
        <color rgb="FFBFBFBF"/>
      </left>
      <right style="thin">
        <color rgb="FF000000"/>
      </right>
      <bottom style="thin">
        <color rgb="FFBFBFBF"/>
      </bottom>
    </border>
    <border>
      <left style="thin">
        <color rgb="FFBFBFBF"/>
      </left>
      <right style="thin">
        <color rgb="FFBFBFBF"/>
      </right>
      <top style="thin">
        <color rgb="FFBFBFBF"/>
      </top>
      <bottom style="thin">
        <color rgb="FFBFBFBF"/>
      </bottom>
    </border>
    <border>
      <right style="thin">
        <color rgb="FF000000"/>
      </right>
      <bottom style="thin">
        <color rgb="FFBFBFBF"/>
      </bottom>
    </border>
    <border>
      <left style="thin">
        <color rgb="FF000000"/>
      </left>
      <right style="thin">
        <color rgb="FFBFBFBF"/>
      </right>
      <bottom style="thin">
        <color rgb="FF000000"/>
      </bottom>
    </border>
    <border>
      <right style="thin">
        <color rgb="FFBFBFBF"/>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2" numFmtId="0" xfId="0" applyAlignment="1" applyFont="1">
      <alignment horizontal="left" readingOrder="0" shrinkToFit="0" vertical="center" wrapText="0"/>
    </xf>
    <xf borderId="0" fillId="0" fontId="3" numFmtId="0" xfId="0" applyAlignment="1" applyFont="1">
      <alignment shrinkToFit="0" vertical="center" wrapText="0"/>
    </xf>
    <xf borderId="0" fillId="0" fontId="4" numFmtId="0" xfId="0" applyAlignment="1" applyFont="1">
      <alignment horizontal="left" readingOrder="0" shrinkToFit="0" vertical="center" wrapText="0"/>
    </xf>
    <xf borderId="1" fillId="3" fontId="5" numFmtId="0" xfId="0" applyAlignment="1" applyBorder="1" applyFill="1" applyFont="1">
      <alignment horizontal="center" readingOrder="0" vertical="center"/>
    </xf>
    <xf borderId="1" fillId="4" fontId="6" numFmtId="0" xfId="0" applyAlignment="1" applyBorder="1" applyFill="1" applyFont="1">
      <alignment horizontal="center" readingOrder="0" vertical="center"/>
    </xf>
    <xf borderId="1" fillId="4" fontId="7" numFmtId="0" xfId="0" applyAlignment="1" applyBorder="1" applyFont="1">
      <alignment horizontal="left" readingOrder="0" vertical="center"/>
    </xf>
    <xf borderId="1" fillId="4" fontId="8" numFmtId="0" xfId="0" applyAlignment="1" applyBorder="1" applyFont="1">
      <alignment horizontal="center" readingOrder="0" vertical="center"/>
    </xf>
    <xf borderId="1" fillId="5" fontId="6" numFmtId="0" xfId="0" applyAlignment="1" applyBorder="1" applyFill="1" applyFont="1">
      <alignment horizontal="center" readingOrder="0" vertical="center"/>
    </xf>
    <xf borderId="1" fillId="6" fontId="8" numFmtId="0" xfId="0" applyAlignment="1" applyBorder="1" applyFill="1" applyFont="1">
      <alignment horizontal="left" readingOrder="0" vertical="center"/>
    </xf>
    <xf borderId="1" fillId="6" fontId="8" numFmtId="0" xfId="0" applyAlignment="1" applyBorder="1" applyFont="1">
      <alignment horizontal="center" readingOrder="0" vertical="center"/>
    </xf>
    <xf borderId="2" fillId="0" fontId="8" numFmtId="0" xfId="0" applyAlignment="1" applyBorder="1" applyFont="1">
      <alignment horizontal="center" readingOrder="0" vertical="center"/>
    </xf>
    <xf borderId="1" fillId="6" fontId="6" numFmtId="0" xfId="0" applyAlignment="1" applyBorder="1" applyFont="1">
      <alignment horizontal="center" readingOrder="0" vertical="center"/>
    </xf>
    <xf borderId="3" fillId="0" fontId="9" numFmtId="0" xfId="0" applyBorder="1" applyFont="1"/>
    <xf borderId="1" fillId="5" fontId="8" numFmtId="0" xfId="0" applyAlignment="1" applyBorder="1" applyFont="1">
      <alignment horizontal="left" readingOrder="0" vertical="center"/>
    </xf>
    <xf borderId="1" fillId="5" fontId="8" numFmtId="0" xfId="0" applyAlignment="1" applyBorder="1" applyFont="1">
      <alignment horizontal="center" readingOrder="0" vertical="center"/>
    </xf>
    <xf borderId="4" fillId="0" fontId="9" numFmtId="0" xfId="0" applyBorder="1" applyFont="1"/>
    <xf borderId="5" fillId="7" fontId="10" numFmtId="0" xfId="0" applyAlignment="1" applyBorder="1" applyFill="1" applyFont="1">
      <alignment horizontal="left" readingOrder="0" vertical="center"/>
    </xf>
    <xf borderId="6" fillId="0" fontId="9" numFmtId="0" xfId="0" applyBorder="1" applyFont="1"/>
    <xf borderId="7" fillId="0" fontId="9" numFmtId="0" xfId="0" applyBorder="1" applyFont="1"/>
    <xf borderId="0" fillId="0" fontId="3" numFmtId="0" xfId="0" applyAlignment="1" applyFont="1">
      <alignment shrinkToFit="0" vertical="bottom" wrapText="0"/>
    </xf>
    <xf borderId="0" fillId="0" fontId="4" numFmtId="0" xfId="0" applyAlignment="1" applyFont="1">
      <alignment horizontal="left" readingOrder="0" shrinkToFit="0" vertical="bottom" wrapText="0"/>
    </xf>
    <xf borderId="1" fillId="8" fontId="5" numFmtId="0" xfId="0" applyAlignment="1" applyBorder="1" applyFill="1" applyFont="1">
      <alignment horizontal="center" readingOrder="0" vertical="center"/>
    </xf>
    <xf borderId="1" fillId="9" fontId="7" numFmtId="0" xfId="0" applyAlignment="1" applyBorder="1" applyFill="1" applyFont="1">
      <alignment horizontal="center" readingOrder="0" vertical="center"/>
    </xf>
    <xf borderId="1" fillId="9" fontId="8" numFmtId="0" xfId="0" applyAlignment="1" applyBorder="1" applyFont="1">
      <alignment horizontal="center" readingOrder="0" vertical="center"/>
    </xf>
    <xf borderId="1" fillId="4" fontId="7" numFmtId="0" xfId="0" applyAlignment="1" applyBorder="1" applyFont="1">
      <alignment horizontal="center" readingOrder="0" vertical="center"/>
    </xf>
    <xf borderId="1" fillId="10" fontId="7" numFmtId="0" xfId="0" applyAlignment="1" applyBorder="1" applyFill="1" applyFont="1">
      <alignment horizontal="center" readingOrder="0" vertical="center"/>
    </xf>
    <xf borderId="1" fillId="10" fontId="8" numFmtId="0" xfId="0" applyAlignment="1" applyBorder="1" applyFont="1">
      <alignment horizontal="center" readingOrder="0" vertical="center"/>
    </xf>
    <xf borderId="1" fillId="10" fontId="11" numFmtId="0" xfId="0" applyAlignment="1" applyBorder="1" applyFont="1">
      <alignment horizontal="center" readingOrder="0" vertical="center"/>
    </xf>
    <xf borderId="5" fillId="10" fontId="12" numFmtId="0" xfId="0" applyAlignment="1" applyBorder="1" applyFont="1">
      <alignment horizontal="left" readingOrder="0"/>
    </xf>
    <xf borderId="0" fillId="0" fontId="13" numFmtId="0" xfId="0" applyFont="1"/>
    <xf borderId="0" fillId="0" fontId="14" numFmtId="0" xfId="0" applyAlignment="1" applyFont="1">
      <alignment readingOrder="0" shrinkToFit="0" vertical="bottom" wrapText="0"/>
    </xf>
    <xf borderId="0" fillId="0" fontId="13" numFmtId="0" xfId="0" applyAlignment="1" applyFont="1">
      <alignment readingOrder="0"/>
    </xf>
    <xf borderId="0" fillId="0" fontId="13" numFmtId="0" xfId="0" applyFont="1"/>
    <xf borderId="8" fillId="11" fontId="15" numFmtId="0" xfId="0" applyAlignment="1" applyBorder="1" applyFill="1" applyFont="1">
      <alignment horizontal="center" readingOrder="0" vertical="center"/>
    </xf>
    <xf borderId="9" fillId="11" fontId="15" numFmtId="0" xfId="0" applyAlignment="1" applyBorder="1" applyFont="1">
      <alignment horizontal="center" readingOrder="0" vertical="center"/>
    </xf>
    <xf borderId="10" fillId="0" fontId="9" numFmtId="0" xfId="0" applyBorder="1" applyFont="1"/>
    <xf borderId="8" fillId="12" fontId="13" numFmtId="0" xfId="0" applyAlignment="1" applyBorder="1" applyFill="1" applyFont="1">
      <alignment horizontal="center" readingOrder="0" vertical="center"/>
    </xf>
    <xf borderId="8" fillId="12" fontId="13" numFmtId="3" xfId="0" applyAlignment="1" applyBorder="1" applyFont="1" applyNumberFormat="1">
      <alignment horizontal="center" readingOrder="0" vertical="center"/>
    </xf>
    <xf borderId="11" fillId="0" fontId="16" numFmtId="0" xfId="0" applyAlignment="1" applyBorder="1" applyFont="1">
      <alignment horizontal="left" readingOrder="0" vertical="center"/>
    </xf>
    <xf borderId="12" fillId="0" fontId="9" numFmtId="0" xfId="0" applyBorder="1" applyFont="1"/>
    <xf borderId="13" fillId="0" fontId="9" numFmtId="0" xfId="0" applyBorder="1" applyFont="1"/>
    <xf borderId="14" fillId="0" fontId="9" numFmtId="0" xfId="0" applyBorder="1" applyFont="1"/>
    <xf borderId="15" fillId="12" fontId="13" numFmtId="0" xfId="0" applyAlignment="1" applyBorder="1" applyFont="1">
      <alignment horizontal="center" readingOrder="0" vertical="center"/>
    </xf>
    <xf borderId="15" fillId="12" fontId="13" numFmtId="3" xfId="0" applyAlignment="1" applyBorder="1" applyFont="1" applyNumberFormat="1">
      <alignment horizontal="center" readingOrder="0" vertical="center"/>
    </xf>
    <xf borderId="16" fillId="13" fontId="17" numFmtId="0" xfId="0" applyAlignment="1" applyBorder="1" applyFill="1" applyFont="1">
      <alignment horizontal="center" readingOrder="0" vertical="center"/>
    </xf>
    <xf borderId="17" fillId="13" fontId="17" numFmtId="3" xfId="0" applyAlignment="1" applyBorder="1" applyFont="1" applyNumberFormat="1">
      <alignment horizontal="center" readingOrder="0" vertical="center"/>
    </xf>
    <xf borderId="18" fillId="13" fontId="17" numFmtId="3" xfId="0" applyAlignment="1" applyBorder="1" applyFont="1" applyNumberFormat="1">
      <alignment horizontal="center" readingOrder="0" vertical="center"/>
    </xf>
    <xf borderId="19" fillId="13" fontId="17" numFmtId="0" xfId="0" applyAlignment="1" applyBorder="1" applyFont="1">
      <alignment horizontal="center" readingOrder="0" vertical="center"/>
    </xf>
    <xf borderId="20" fillId="13" fontId="17" numFmtId="3" xfId="0" applyAlignment="1" applyBorder="1" applyFont="1" applyNumberFormat="1">
      <alignment horizontal="center" readingOrder="0" vertical="center"/>
    </xf>
    <xf borderId="21" fillId="13" fontId="17" numFmtId="3" xfId="0" applyAlignment="1" applyBorder="1" applyFont="1" applyNumberFormat="1">
      <alignment horizontal="center" readingOrder="0" vertical="center"/>
    </xf>
    <xf borderId="22" fillId="0" fontId="9" numFmtId="0" xfId="0" applyBorder="1" applyFont="1"/>
    <xf borderId="23" fillId="0" fontId="9" numFmtId="0" xfId="0" applyBorder="1" applyFont="1"/>
    <xf borderId="0" fillId="0" fontId="18" numFmtId="0" xfId="0" applyAlignment="1" applyFont="1">
      <alignment readingOrder="0" shrinkToFit="0" vertical="bottom" wrapText="0"/>
    </xf>
    <xf borderId="0" fillId="0" fontId="19" numFmtId="0" xfId="0" applyAlignment="1" applyFont="1">
      <alignment shrinkToFit="0" vertical="bottom" wrapText="0"/>
    </xf>
    <xf borderId="8" fillId="3" fontId="17" numFmtId="0" xfId="0" applyAlignment="1" applyBorder="1" applyFont="1">
      <alignment horizontal="center" readingOrder="0" vertical="center"/>
    </xf>
    <xf borderId="24" fillId="3" fontId="17" numFmtId="0" xfId="0" applyAlignment="1" applyBorder="1" applyFont="1">
      <alignment horizontal="center" readingOrder="0" vertical="center"/>
    </xf>
    <xf borderId="25" fillId="3" fontId="17" numFmtId="0" xfId="0" applyAlignment="1" applyBorder="1" applyFont="1">
      <alignment horizontal="center" readingOrder="0" vertical="center"/>
    </xf>
    <xf borderId="8" fillId="8" fontId="17" numFmtId="0" xfId="0" applyAlignment="1" applyBorder="1" applyFont="1">
      <alignment horizontal="center" readingOrder="0" vertical="center"/>
    </xf>
    <xf borderId="9" fillId="8" fontId="17" numFmtId="0" xfId="0" applyAlignment="1" applyBorder="1" applyFont="1">
      <alignment horizontal="center" readingOrder="0" vertical="center"/>
    </xf>
    <xf borderId="24" fillId="8" fontId="17" numFmtId="0" xfId="0" applyAlignment="1" applyBorder="1" applyFont="1">
      <alignment horizontal="center" readingOrder="0" vertical="center"/>
    </xf>
    <xf borderId="25" fillId="8" fontId="17" numFmtId="0" xfId="0" applyAlignment="1" applyBorder="1" applyFont="1">
      <alignment horizontal="center" readingOrder="0" vertical="center"/>
    </xf>
    <xf borderId="8" fillId="0" fontId="13" numFmtId="164" xfId="0" applyAlignment="1" applyBorder="1" applyFont="1" applyNumberFormat="1">
      <alignment horizontal="center" readingOrder="0" shrinkToFit="0" vertical="center" wrapText="0"/>
    </xf>
    <xf borderId="8" fillId="0" fontId="20" numFmtId="3" xfId="0" applyAlignment="1" applyBorder="1" applyFont="1" applyNumberFormat="1">
      <alignment horizontal="right" readingOrder="0" shrinkToFit="0" vertical="center" wrapText="0"/>
    </xf>
    <xf borderId="8" fillId="0" fontId="19" numFmtId="3" xfId="0" applyAlignment="1" applyBorder="1" applyFont="1" applyNumberFormat="1">
      <alignment horizontal="right" readingOrder="0" shrinkToFit="0" vertical="center" wrapText="0"/>
    </xf>
    <xf borderId="9" fillId="0" fontId="19" numFmtId="3" xfId="0" applyAlignment="1" applyBorder="1" applyFont="1" applyNumberFormat="1">
      <alignment horizontal="right" readingOrder="0" shrinkToFit="0" vertical="center" wrapText="0"/>
    </xf>
    <xf borderId="26" fillId="0" fontId="19" numFmtId="3" xfId="0" applyAlignment="1" applyBorder="1" applyFont="1" applyNumberFormat="1">
      <alignment horizontal="right" readingOrder="0" shrinkToFit="0" vertical="center" wrapText="0"/>
    </xf>
    <xf borderId="27" fillId="0" fontId="19" numFmtId="3" xfId="0" applyAlignment="1" applyBorder="1" applyFont="1" applyNumberFormat="1">
      <alignment horizontal="right" readingOrder="0" shrinkToFit="0" vertical="center" wrapText="0"/>
    </xf>
    <xf borderId="8" fillId="14" fontId="15" numFmtId="0" xfId="0" applyAlignment="1" applyBorder="1" applyFill="1" applyFont="1">
      <alignment horizontal="center" readingOrder="0" shrinkToFit="0" vertical="center" wrapText="0"/>
    </xf>
    <xf borderId="8" fillId="14" fontId="15" numFmtId="3" xfId="0" applyAlignment="1" applyBorder="1" applyFont="1" applyNumberFormat="1">
      <alignment horizontal="right" readingOrder="0" shrinkToFit="0" vertical="center" wrapText="0"/>
    </xf>
    <xf borderId="28" fillId="14" fontId="15" numFmtId="3" xfId="0" applyAlignment="1" applyBorder="1" applyFont="1" applyNumberFormat="1">
      <alignment horizontal="right" readingOrder="0" shrinkToFit="0" vertical="center" wrapText="0"/>
    </xf>
    <xf borderId="29" fillId="14" fontId="15" numFmtId="3" xfId="0" applyAlignment="1" applyBorder="1" applyFont="1" applyNumberFormat="1">
      <alignment horizontal="right" readingOrder="0" shrinkToFit="0" vertical="center" wrapText="0"/>
    </xf>
    <xf borderId="8" fillId="15" fontId="15" numFmtId="0" xfId="0" applyAlignment="1" applyBorder="1" applyFill="1" applyFont="1">
      <alignment horizontal="center" readingOrder="0" shrinkToFit="0" vertical="center" wrapText="0"/>
    </xf>
    <xf borderId="8" fillId="15" fontId="15" numFmtId="3" xfId="0" applyAlignment="1" applyBorder="1" applyFont="1" applyNumberFormat="1">
      <alignment horizontal="right" readingOrder="0" shrinkToFit="0" vertical="center" wrapText="0"/>
    </xf>
    <xf borderId="9" fillId="15" fontId="15" numFmtId="3" xfId="0" applyAlignment="1" applyBorder="1" applyFont="1" applyNumberFormat="1">
      <alignment horizontal="right" readingOrder="0" shrinkToFit="0" vertical="center" wrapText="0"/>
    </xf>
    <xf borderId="28" fillId="15" fontId="15" numFmtId="3" xfId="0" applyAlignment="1" applyBorder="1" applyFont="1" applyNumberFormat="1">
      <alignment horizontal="right" readingOrder="0" shrinkToFit="0" vertical="center" wrapText="0"/>
    </xf>
    <xf borderId="29" fillId="15" fontId="15" numFmtId="3" xfId="0" applyAlignment="1" applyBorder="1" applyFont="1" applyNumberFormat="1">
      <alignment horizontal="right" readingOrder="0" shrinkToFit="0" vertical="center" wrapText="0"/>
    </xf>
    <xf borderId="30" fillId="6" fontId="21" numFmtId="0" xfId="0" applyAlignment="1" applyBorder="1" applyFont="1">
      <alignment readingOrder="0" shrinkToFit="0" wrapText="0"/>
    </xf>
    <xf borderId="30" fillId="0" fontId="9" numFmtId="0" xfId="0" applyBorder="1" applyFont="1"/>
    <xf borderId="0" fillId="6" fontId="3" numFmtId="0" xfId="0" applyAlignment="1" applyFont="1">
      <alignment shrinkToFit="0" wrapText="0"/>
    </xf>
    <xf borderId="31" fillId="16" fontId="21" numFmtId="0" xfId="0" applyAlignment="1" applyBorder="1" applyFill="1" applyFont="1">
      <alignment horizontal="center" readingOrder="0" shrinkToFit="0" wrapText="0"/>
    </xf>
    <xf borderId="32" fillId="16" fontId="21" numFmtId="0" xfId="0" applyAlignment="1" applyBorder="1" applyFont="1">
      <alignment horizontal="center" readingOrder="0"/>
    </xf>
    <xf borderId="32" fillId="16" fontId="21" numFmtId="0" xfId="0" applyAlignment="1" applyBorder="1" applyFont="1">
      <alignment horizontal="center" readingOrder="0" shrinkToFit="0" wrapText="0"/>
    </xf>
    <xf borderId="33" fillId="16" fontId="21" numFmtId="0" xfId="0" applyAlignment="1" applyBorder="1" applyFont="1">
      <alignment horizontal="center" readingOrder="0" shrinkToFit="0" wrapText="0"/>
    </xf>
    <xf borderId="34" fillId="0" fontId="9" numFmtId="0" xfId="0" applyBorder="1" applyFont="1"/>
    <xf borderId="35" fillId="0" fontId="9" numFmtId="0" xfId="0" applyBorder="1" applyFont="1"/>
    <xf borderId="36" fillId="0" fontId="9" numFmtId="0" xfId="0" applyBorder="1" applyFont="1"/>
    <xf borderId="34" fillId="6" fontId="3" numFmtId="165" xfId="0" applyAlignment="1" applyBorder="1" applyFont="1" applyNumberFormat="1">
      <alignment horizontal="center" readingOrder="0" shrinkToFit="0" wrapText="0"/>
    </xf>
    <xf borderId="37" fillId="6" fontId="3" numFmtId="3" xfId="0" applyAlignment="1" applyBorder="1" applyFont="1" applyNumberFormat="1">
      <alignment horizontal="center" readingOrder="0" shrinkToFit="0" wrapText="0"/>
    </xf>
    <xf borderId="37" fillId="0" fontId="3" numFmtId="3" xfId="0" applyAlignment="1" applyBorder="1" applyFont="1" applyNumberFormat="1">
      <alignment horizontal="right" readingOrder="0" shrinkToFit="0" wrapText="0"/>
    </xf>
    <xf borderId="37" fillId="0" fontId="3" numFmtId="10" xfId="0" applyAlignment="1" applyBorder="1" applyFont="1" applyNumberFormat="1">
      <alignment horizontal="right" readingOrder="0" shrinkToFit="0" wrapText="0"/>
    </xf>
    <xf borderId="38" fillId="0" fontId="3" numFmtId="3" xfId="0" applyAlignment="1" applyBorder="1" applyFont="1" applyNumberFormat="1">
      <alignment horizontal="right" readingOrder="0" shrinkToFit="0" wrapText="0"/>
    </xf>
    <xf borderId="37" fillId="6" fontId="3" numFmtId="3" xfId="0" applyAlignment="1" applyBorder="1" applyFont="1" applyNumberFormat="1">
      <alignment readingOrder="0" shrinkToFit="0" wrapText="0"/>
    </xf>
    <xf borderId="38" fillId="6" fontId="3" numFmtId="3" xfId="0" applyAlignment="1" applyBorder="1" applyFont="1" applyNumberFormat="1">
      <alignment readingOrder="0" shrinkToFit="0" wrapText="0"/>
    </xf>
    <xf borderId="34" fillId="6" fontId="3" numFmtId="166" xfId="0" applyAlignment="1" applyBorder="1" applyFont="1" applyNumberFormat="1">
      <alignment horizontal="center" readingOrder="0" shrinkToFit="0" wrapText="0"/>
    </xf>
    <xf borderId="37" fillId="6" fontId="3" numFmtId="0" xfId="0" applyAlignment="1" applyBorder="1" applyFont="1">
      <alignment readingOrder="0" shrinkToFit="0" wrapText="0"/>
    </xf>
    <xf borderId="39" fillId="6" fontId="3" numFmtId="165" xfId="0" applyAlignment="1" applyBorder="1" applyFont="1" applyNumberFormat="1">
      <alignment horizontal="center" readingOrder="0" shrinkToFit="0" wrapText="0"/>
    </xf>
    <xf borderId="40" fillId="6" fontId="3" numFmtId="3" xfId="0" applyAlignment="1" applyBorder="1" applyFont="1" applyNumberFormat="1">
      <alignment horizontal="center" readingOrder="0" shrinkToFit="0" wrapText="0"/>
    </xf>
    <xf borderId="40" fillId="0" fontId="3" numFmtId="3" xfId="0" applyAlignment="1" applyBorder="1" applyFont="1" applyNumberFormat="1">
      <alignment horizontal="right" readingOrder="0" shrinkToFit="0" wrapText="0"/>
    </xf>
    <xf borderId="40" fillId="0" fontId="3" numFmtId="10" xfId="0" applyAlignment="1" applyBorder="1" applyFont="1" applyNumberFormat="1">
      <alignment horizontal="right" readingOrder="0" shrinkToFit="0" wrapText="0"/>
    </xf>
    <xf borderId="23" fillId="0" fontId="3" numFmtId="3" xfId="0" applyAlignment="1" applyBorder="1" applyFont="1" applyNumberFormat="1">
      <alignment horizontal="right" readingOrder="0" shrinkToFit="0" wrapText="0"/>
    </xf>
    <xf borderId="40" fillId="6" fontId="3" numFmtId="3" xfId="0" applyAlignment="1" applyBorder="1" applyFont="1" applyNumberFormat="1">
      <alignment readingOrder="0" shrinkToFit="0" wrapText="0"/>
    </xf>
    <xf borderId="40" fillId="6" fontId="3" numFmtId="0" xfId="0" applyAlignment="1" applyBorder="1" applyFont="1">
      <alignment readingOrder="0" shrinkToFit="0" wrapText="0"/>
    </xf>
    <xf borderId="23" fillId="6" fontId="3" numFmtId="3" xfId="0" applyAlignment="1" applyBorder="1" applyFont="1" applyNumberForma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409575</xdr:colOff>
      <xdr:row>0</xdr:row>
      <xdr:rowOff>123825</xdr:rowOff>
    </xdr:from>
    <xdr:ext cx="9372600" cy="830580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180975</xdr:rowOff>
    </xdr:from>
    <xdr:ext cx="7743825" cy="439102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88"/>
    <col customWidth="1" min="3" max="3" width="46.38"/>
    <col customWidth="1" min="4" max="4" width="22.38"/>
    <col customWidth="1" min="5" max="5" width="21.63"/>
    <col customWidth="1" min="6" max="6" width="10.88"/>
  </cols>
  <sheetData>
    <row r="2">
      <c r="B2" s="1" t="s">
        <v>0</v>
      </c>
    </row>
    <row r="3">
      <c r="B3" s="2" t="s">
        <v>1</v>
      </c>
    </row>
    <row r="4">
      <c r="B4" s="3"/>
      <c r="C4" s="3"/>
      <c r="D4" s="3"/>
      <c r="E4" s="3"/>
    </row>
    <row r="5">
      <c r="B5" s="4" t="s">
        <v>2</v>
      </c>
    </row>
    <row r="6">
      <c r="B6" s="5" t="s">
        <v>3</v>
      </c>
      <c r="C6" s="5" t="s">
        <v>4</v>
      </c>
      <c r="D6" s="5" t="s">
        <v>5</v>
      </c>
      <c r="E6" s="5" t="s">
        <v>6</v>
      </c>
    </row>
    <row r="7" ht="18.75" customHeight="1">
      <c r="B7" s="6">
        <v>1.0</v>
      </c>
      <c r="C7" s="7" t="s">
        <v>7</v>
      </c>
      <c r="D7" s="8" t="s">
        <v>8</v>
      </c>
      <c r="E7" s="8" t="s">
        <v>9</v>
      </c>
    </row>
    <row r="8" ht="18.75" customHeight="1">
      <c r="B8" s="9">
        <v>2.0</v>
      </c>
      <c r="C8" s="10" t="s">
        <v>10</v>
      </c>
      <c r="D8" s="11" t="s">
        <v>11</v>
      </c>
      <c r="E8" s="12" t="s">
        <v>12</v>
      </c>
    </row>
    <row r="9" ht="18.75" customHeight="1">
      <c r="B9" s="13">
        <v>3.0</v>
      </c>
      <c r="C9" s="10" t="s">
        <v>13</v>
      </c>
      <c r="D9" s="11" t="s">
        <v>14</v>
      </c>
      <c r="E9" s="14"/>
    </row>
    <row r="10" ht="18.75" customHeight="1">
      <c r="B10" s="9">
        <v>4.0</v>
      </c>
      <c r="C10" s="15" t="s">
        <v>15</v>
      </c>
      <c r="D10" s="16" t="s">
        <v>16</v>
      </c>
      <c r="E10" s="14"/>
    </row>
    <row r="11" ht="18.75" customHeight="1">
      <c r="B11" s="13">
        <v>5.0</v>
      </c>
      <c r="C11" s="10" t="s">
        <v>17</v>
      </c>
      <c r="D11" s="11" t="s">
        <v>18</v>
      </c>
      <c r="E11" s="14"/>
    </row>
    <row r="12" ht="18.75" customHeight="1">
      <c r="B12" s="9">
        <v>6.0</v>
      </c>
      <c r="C12" s="15" t="s">
        <v>19</v>
      </c>
      <c r="D12" s="16" t="s">
        <v>20</v>
      </c>
      <c r="E12" s="14"/>
    </row>
    <row r="13" ht="18.75" customHeight="1">
      <c r="B13" s="13">
        <v>7.0</v>
      </c>
      <c r="C13" s="15" t="s">
        <v>21</v>
      </c>
      <c r="D13" s="16" t="s">
        <v>22</v>
      </c>
      <c r="E13" s="14"/>
    </row>
    <row r="14" ht="18.75" customHeight="1">
      <c r="B14" s="9">
        <v>8.0</v>
      </c>
      <c r="C14" s="15" t="s">
        <v>23</v>
      </c>
      <c r="D14" s="16" t="s">
        <v>24</v>
      </c>
      <c r="E14" s="17"/>
    </row>
    <row r="15" ht="33.0" customHeight="1">
      <c r="B15" s="18" t="s">
        <v>25</v>
      </c>
      <c r="C15" s="19"/>
      <c r="D15" s="19"/>
      <c r="E15" s="20"/>
    </row>
    <row r="16">
      <c r="B16" s="21"/>
      <c r="C16" s="21"/>
      <c r="D16" s="21"/>
      <c r="E16" s="21"/>
    </row>
    <row r="17">
      <c r="B17" s="22" t="s">
        <v>26</v>
      </c>
    </row>
    <row r="18">
      <c r="B18" s="23" t="s">
        <v>27</v>
      </c>
      <c r="C18" s="23" t="s">
        <v>28</v>
      </c>
      <c r="D18" s="23" t="s">
        <v>29</v>
      </c>
      <c r="E18" s="23" t="s">
        <v>30</v>
      </c>
    </row>
    <row r="19" ht="30.0" customHeight="1">
      <c r="B19" s="24" t="s">
        <v>31</v>
      </c>
      <c r="C19" s="24" t="s">
        <v>32</v>
      </c>
      <c r="D19" s="25" t="s">
        <v>33</v>
      </c>
      <c r="E19" s="25" t="s">
        <v>34</v>
      </c>
    </row>
    <row r="20" ht="30.0" customHeight="1">
      <c r="B20" s="26" t="s">
        <v>35</v>
      </c>
      <c r="C20" s="26" t="s">
        <v>36</v>
      </c>
      <c r="D20" s="8" t="s">
        <v>37</v>
      </c>
      <c r="E20" s="8" t="s">
        <v>38</v>
      </c>
    </row>
    <row r="21" ht="30.0" customHeight="1">
      <c r="B21" s="27" t="s">
        <v>39</v>
      </c>
      <c r="C21" s="27" t="s">
        <v>40</v>
      </c>
      <c r="D21" s="28" t="s">
        <v>41</v>
      </c>
      <c r="E21" s="29" t="s">
        <v>42</v>
      </c>
    </row>
    <row r="22">
      <c r="B22" s="21"/>
      <c r="C22" s="21"/>
      <c r="D22" s="21"/>
      <c r="E22" s="21"/>
    </row>
    <row r="23" ht="33.0" customHeight="1">
      <c r="B23" s="30" t="s">
        <v>43</v>
      </c>
      <c r="C23" s="19"/>
      <c r="D23" s="19"/>
      <c r="E23" s="20"/>
    </row>
  </sheetData>
  <mergeCells count="7">
    <mergeCell ref="B2:E2"/>
    <mergeCell ref="B3:E3"/>
    <mergeCell ref="B5:E5"/>
    <mergeCell ref="B15:E15"/>
    <mergeCell ref="B17:E17"/>
    <mergeCell ref="B23:E23"/>
    <mergeCell ref="E8:E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7.88"/>
    <col customWidth="1" min="3" max="7" width="18.88"/>
    <col customWidth="1" min="9" max="9" width="12.63"/>
    <col customWidth="1" min="10" max="14" width="18.88"/>
  </cols>
  <sheetData>
    <row r="1">
      <c r="A1" s="31"/>
      <c r="B1" s="31"/>
      <c r="C1" s="31"/>
      <c r="D1" s="31"/>
      <c r="E1" s="31"/>
      <c r="F1" s="31"/>
      <c r="G1" s="31"/>
      <c r="H1" s="31"/>
      <c r="I1" s="31"/>
      <c r="J1" s="31"/>
      <c r="K1" s="31"/>
      <c r="L1" s="31"/>
      <c r="M1" s="31"/>
      <c r="N1" s="31"/>
      <c r="O1" s="31"/>
      <c r="P1" s="31"/>
      <c r="Q1" s="31"/>
      <c r="R1" s="31"/>
      <c r="S1" s="31"/>
      <c r="T1" s="31"/>
      <c r="U1" s="31"/>
      <c r="V1" s="31"/>
      <c r="W1" s="31"/>
      <c r="X1" s="31"/>
      <c r="Y1" s="31"/>
      <c r="Z1" s="31"/>
    </row>
    <row r="2">
      <c r="A2" s="31"/>
      <c r="B2" s="32"/>
      <c r="C2" s="32"/>
      <c r="D2" s="32"/>
      <c r="E2" s="32"/>
      <c r="F2" s="32"/>
      <c r="G2" s="32"/>
      <c r="H2" s="32"/>
      <c r="I2" s="32"/>
      <c r="J2" s="32"/>
      <c r="K2" s="32"/>
      <c r="L2" s="32"/>
      <c r="M2" s="32"/>
      <c r="N2" s="32"/>
      <c r="O2" s="32"/>
      <c r="P2" s="31"/>
      <c r="Q2" s="31"/>
      <c r="R2" s="31"/>
      <c r="S2" s="31"/>
      <c r="T2" s="31"/>
      <c r="U2" s="31"/>
      <c r="V2" s="31"/>
      <c r="W2" s="31"/>
      <c r="X2" s="31"/>
      <c r="Y2" s="31"/>
      <c r="Z2" s="31"/>
    </row>
    <row r="3">
      <c r="A3" s="31"/>
      <c r="B3" s="33" t="s">
        <v>44</v>
      </c>
      <c r="C3" s="32"/>
      <c r="D3" s="32"/>
      <c r="E3" s="32"/>
      <c r="F3" s="32"/>
      <c r="G3" s="32"/>
      <c r="H3" s="32"/>
      <c r="I3" s="32"/>
      <c r="J3" s="32"/>
      <c r="K3" s="32"/>
      <c r="L3" s="32"/>
      <c r="M3" s="32"/>
      <c r="N3" s="32"/>
      <c r="O3" s="32"/>
      <c r="P3" s="31"/>
      <c r="Q3" s="31"/>
      <c r="R3" s="31"/>
      <c r="S3" s="31"/>
      <c r="T3" s="31"/>
      <c r="U3" s="31"/>
      <c r="V3" s="31"/>
      <c r="W3" s="31"/>
      <c r="X3" s="31"/>
      <c r="Y3" s="31"/>
      <c r="Z3" s="31"/>
    </row>
    <row r="4">
      <c r="A4" s="31"/>
      <c r="B4" s="34"/>
      <c r="C4" s="32"/>
      <c r="D4" s="32"/>
      <c r="E4" s="32"/>
      <c r="F4" s="32"/>
      <c r="G4" s="32"/>
      <c r="H4" s="32"/>
      <c r="I4" s="32"/>
      <c r="J4" s="32"/>
      <c r="K4" s="32"/>
      <c r="L4" s="32"/>
      <c r="M4" s="32"/>
      <c r="N4" s="32"/>
      <c r="O4" s="32"/>
      <c r="P4" s="31"/>
      <c r="Q4" s="31"/>
      <c r="R4" s="31"/>
      <c r="S4" s="31"/>
      <c r="T4" s="31"/>
      <c r="U4" s="31"/>
      <c r="V4" s="31"/>
      <c r="W4" s="31"/>
      <c r="X4" s="31"/>
      <c r="Y4" s="31"/>
      <c r="Z4" s="31"/>
    </row>
    <row r="5" ht="23.25" customHeight="1">
      <c r="A5" s="31"/>
      <c r="B5" s="35" t="s">
        <v>45</v>
      </c>
      <c r="C5" s="35" t="s">
        <v>46</v>
      </c>
      <c r="D5" s="35" t="s">
        <v>47</v>
      </c>
      <c r="E5" s="35" t="s">
        <v>48</v>
      </c>
      <c r="F5" s="36" t="s">
        <v>49</v>
      </c>
      <c r="G5" s="37"/>
      <c r="H5" s="32"/>
      <c r="I5" s="32"/>
      <c r="J5" s="32"/>
      <c r="K5" s="32"/>
      <c r="L5" s="32"/>
      <c r="M5" s="32"/>
      <c r="N5" s="32"/>
      <c r="O5" s="32"/>
      <c r="P5" s="31"/>
      <c r="Q5" s="31"/>
      <c r="R5" s="31"/>
      <c r="S5" s="31"/>
      <c r="T5" s="31"/>
      <c r="U5" s="31"/>
      <c r="V5" s="31"/>
      <c r="W5" s="31"/>
      <c r="X5" s="31"/>
      <c r="Y5" s="31"/>
      <c r="Z5" s="31"/>
    </row>
    <row r="6" ht="18.75" customHeight="1">
      <c r="A6" s="31"/>
      <c r="B6" s="38" t="s">
        <v>50</v>
      </c>
      <c r="C6" s="39">
        <f>C28</f>
        <v>13173968636</v>
      </c>
      <c r="D6" s="39">
        <f>J28</f>
        <v>8992510172</v>
      </c>
      <c r="E6" s="39">
        <f t="shared" ref="E6:E10" si="1">C6+D6</f>
        <v>22166478808</v>
      </c>
      <c r="F6" s="40" t="s">
        <v>51</v>
      </c>
      <c r="G6" s="41"/>
      <c r="H6" s="32"/>
      <c r="I6" s="32"/>
      <c r="J6" s="32"/>
      <c r="K6" s="32"/>
      <c r="L6" s="32"/>
      <c r="M6" s="32"/>
      <c r="N6" s="32"/>
      <c r="O6" s="32"/>
      <c r="P6" s="31"/>
      <c r="Q6" s="31"/>
      <c r="R6" s="31"/>
      <c r="S6" s="31"/>
      <c r="T6" s="31"/>
      <c r="U6" s="31"/>
      <c r="V6" s="31"/>
      <c r="W6" s="31"/>
      <c r="X6" s="31"/>
      <c r="Y6" s="31"/>
      <c r="Z6" s="31"/>
    </row>
    <row r="7" ht="18.75" customHeight="1">
      <c r="A7" s="31"/>
      <c r="B7" s="38" t="s">
        <v>52</v>
      </c>
      <c r="C7" s="39">
        <f>D28</f>
        <v>5269587455</v>
      </c>
      <c r="D7" s="39">
        <f>K28</f>
        <v>3597004069</v>
      </c>
      <c r="E7" s="39">
        <f t="shared" si="1"/>
        <v>8866591523</v>
      </c>
      <c r="F7" s="42"/>
      <c r="G7" s="43"/>
      <c r="H7" s="32"/>
      <c r="I7" s="32"/>
      <c r="J7" s="32"/>
      <c r="K7" s="32"/>
      <c r="L7" s="32"/>
      <c r="M7" s="32"/>
      <c r="N7" s="32"/>
      <c r="O7" s="32"/>
      <c r="P7" s="31"/>
      <c r="Q7" s="31"/>
      <c r="R7" s="31"/>
      <c r="S7" s="31"/>
      <c r="T7" s="31"/>
      <c r="U7" s="31"/>
      <c r="V7" s="31"/>
      <c r="W7" s="31"/>
      <c r="X7" s="31"/>
      <c r="Y7" s="31"/>
      <c r="Z7" s="31"/>
    </row>
    <row r="8" ht="18.75" customHeight="1">
      <c r="A8" s="31"/>
      <c r="B8" s="44" t="s">
        <v>53</v>
      </c>
      <c r="C8" s="45">
        <f>E28</f>
        <v>6586984318</v>
      </c>
      <c r="D8" s="45">
        <f>L28</f>
        <v>4496255086</v>
      </c>
      <c r="E8" s="45">
        <f t="shared" si="1"/>
        <v>11083239404</v>
      </c>
      <c r="F8" s="42"/>
      <c r="G8" s="43"/>
      <c r="H8" s="32"/>
      <c r="I8" s="32"/>
      <c r="J8" s="32"/>
      <c r="K8" s="32"/>
      <c r="L8" s="32"/>
      <c r="M8" s="32"/>
      <c r="N8" s="32"/>
      <c r="O8" s="32"/>
      <c r="P8" s="31"/>
      <c r="Q8" s="31"/>
      <c r="R8" s="31"/>
      <c r="S8" s="31"/>
      <c r="T8" s="31"/>
      <c r="U8" s="31"/>
      <c r="V8" s="31"/>
      <c r="W8" s="31"/>
      <c r="X8" s="31"/>
      <c r="Y8" s="31"/>
      <c r="Z8" s="31"/>
    </row>
    <row r="9" ht="18.75" customHeight="1">
      <c r="A9" s="31"/>
      <c r="B9" s="46" t="s">
        <v>54</v>
      </c>
      <c r="C9" s="47">
        <f>F28</f>
        <v>526958745.5</v>
      </c>
      <c r="D9" s="47">
        <f>M28</f>
        <v>359700406.9</v>
      </c>
      <c r="E9" s="48">
        <f t="shared" si="1"/>
        <v>886659152.3</v>
      </c>
      <c r="F9" s="42"/>
      <c r="G9" s="43"/>
      <c r="H9" s="32"/>
      <c r="I9" s="32"/>
      <c r="J9" s="32"/>
      <c r="K9" s="32"/>
      <c r="L9" s="32"/>
      <c r="M9" s="32"/>
      <c r="N9" s="32"/>
      <c r="O9" s="32"/>
      <c r="P9" s="31"/>
      <c r="Q9" s="31"/>
      <c r="R9" s="31"/>
      <c r="S9" s="31"/>
      <c r="T9" s="31"/>
      <c r="U9" s="31"/>
      <c r="V9" s="31"/>
      <c r="W9" s="31"/>
      <c r="X9" s="31"/>
      <c r="Y9" s="31"/>
      <c r="Z9" s="31"/>
    </row>
    <row r="10" ht="18.75" customHeight="1">
      <c r="A10" s="31"/>
      <c r="B10" s="49" t="s">
        <v>55</v>
      </c>
      <c r="C10" s="50">
        <f>G28</f>
        <v>658698431.8</v>
      </c>
      <c r="D10" s="50">
        <f>N28</f>
        <v>449625508.6</v>
      </c>
      <c r="E10" s="51">
        <f t="shared" si="1"/>
        <v>1108323940</v>
      </c>
      <c r="F10" s="52"/>
      <c r="G10" s="53"/>
      <c r="H10" s="32"/>
      <c r="I10" s="32"/>
      <c r="J10" s="32"/>
      <c r="K10" s="32"/>
      <c r="L10" s="32"/>
      <c r="M10" s="32"/>
      <c r="N10" s="32"/>
      <c r="O10" s="32"/>
      <c r="P10" s="31"/>
      <c r="Q10" s="31"/>
      <c r="R10" s="31"/>
      <c r="S10" s="31"/>
      <c r="T10" s="31"/>
      <c r="U10" s="31"/>
      <c r="V10" s="31"/>
      <c r="W10" s="31"/>
      <c r="X10" s="31"/>
      <c r="Y10" s="31"/>
      <c r="Z10" s="31"/>
    </row>
    <row r="11">
      <c r="A11" s="31"/>
      <c r="B11" s="32"/>
      <c r="C11" s="32"/>
      <c r="D11" s="32"/>
      <c r="E11" s="32"/>
      <c r="F11" s="32"/>
      <c r="G11" s="32"/>
      <c r="H11" s="32"/>
      <c r="I11" s="32"/>
      <c r="J11" s="32"/>
      <c r="K11" s="32"/>
      <c r="L11" s="32"/>
      <c r="M11" s="32"/>
      <c r="N11" s="32"/>
      <c r="O11" s="32"/>
      <c r="P11" s="31"/>
      <c r="Q11" s="31"/>
      <c r="R11" s="31"/>
      <c r="S11" s="31"/>
      <c r="T11" s="31"/>
      <c r="U11" s="31"/>
      <c r="V11" s="31"/>
      <c r="W11" s="31"/>
      <c r="X11" s="31"/>
      <c r="Y11" s="31"/>
      <c r="Z11" s="31"/>
    </row>
    <row r="12">
      <c r="A12" s="31"/>
      <c r="B12" s="54" t="s">
        <v>56</v>
      </c>
      <c r="I12" s="54" t="s">
        <v>57</v>
      </c>
      <c r="P12" s="31"/>
      <c r="Q12" s="31"/>
      <c r="R12" s="31"/>
      <c r="S12" s="31"/>
      <c r="T12" s="31"/>
      <c r="U12" s="31"/>
      <c r="V12" s="31"/>
      <c r="W12" s="31"/>
      <c r="X12" s="31"/>
      <c r="Y12" s="31"/>
      <c r="Z12" s="31"/>
    </row>
    <row r="13">
      <c r="A13" s="31"/>
      <c r="B13" s="55"/>
      <c r="C13" s="55"/>
      <c r="D13" s="55"/>
      <c r="E13" s="55"/>
      <c r="F13" s="55"/>
      <c r="G13" s="55"/>
      <c r="H13" s="55"/>
      <c r="I13" s="55"/>
      <c r="J13" s="55"/>
      <c r="K13" s="55"/>
      <c r="L13" s="55"/>
      <c r="M13" s="55"/>
      <c r="N13" s="55"/>
      <c r="O13" s="55"/>
      <c r="P13" s="31"/>
      <c r="Q13" s="31"/>
      <c r="R13" s="31"/>
      <c r="S13" s="31"/>
      <c r="T13" s="31"/>
      <c r="U13" s="31"/>
      <c r="V13" s="31"/>
      <c r="W13" s="31"/>
      <c r="X13" s="31"/>
      <c r="Y13" s="31"/>
      <c r="Z13" s="31"/>
    </row>
    <row r="14" ht="26.25" customHeight="1">
      <c r="A14" s="31"/>
      <c r="B14" s="56" t="s">
        <v>58</v>
      </c>
      <c r="C14" s="56" t="s">
        <v>59</v>
      </c>
      <c r="D14" s="56" t="s">
        <v>60</v>
      </c>
      <c r="E14" s="56" t="s">
        <v>60</v>
      </c>
      <c r="F14" s="57" t="s">
        <v>61</v>
      </c>
      <c r="G14" s="58" t="s">
        <v>62</v>
      </c>
      <c r="H14" s="55"/>
      <c r="I14" s="59" t="s">
        <v>58</v>
      </c>
      <c r="J14" s="59" t="s">
        <v>59</v>
      </c>
      <c r="K14" s="59" t="s">
        <v>60</v>
      </c>
      <c r="L14" s="60" t="s">
        <v>63</v>
      </c>
      <c r="M14" s="61" t="s">
        <v>61</v>
      </c>
      <c r="N14" s="62" t="s">
        <v>62</v>
      </c>
      <c r="O14" s="55"/>
      <c r="P14" s="31"/>
      <c r="Q14" s="31"/>
      <c r="R14" s="31"/>
      <c r="S14" s="31"/>
      <c r="T14" s="31"/>
      <c r="U14" s="31"/>
      <c r="V14" s="31"/>
      <c r="W14" s="31"/>
      <c r="X14" s="31"/>
      <c r="Y14" s="31"/>
      <c r="Z14" s="31"/>
    </row>
    <row r="15">
      <c r="A15" s="31"/>
      <c r="B15" s="63">
        <v>46082.0</v>
      </c>
      <c r="C15" s="64">
        <f>'4. 기존 버전 실 매출데이터'!C6*75%</f>
        <v>3998417165</v>
      </c>
      <c r="D15" s="65">
        <f t="shared" ref="D15:D27" si="4">C15*40%</f>
        <v>1599366866</v>
      </c>
      <c r="E15" s="66">
        <f t="shared" ref="E15:E27" si="5">C15*50%</f>
        <v>1999208582</v>
      </c>
      <c r="F15" s="67">
        <f t="shared" ref="F15:G15" si="2">D15*10%</f>
        <v>159936686.6</v>
      </c>
      <c r="G15" s="68">
        <f t="shared" si="2"/>
        <v>199920858.2</v>
      </c>
      <c r="H15" s="55"/>
      <c r="I15" s="63">
        <v>46082.0</v>
      </c>
      <c r="J15" s="64">
        <f>'4. 기존 버전 실 매출데이터'!K6*75%</f>
        <v>1876270309</v>
      </c>
      <c r="K15" s="65">
        <f t="shared" ref="K15:K27" si="7">J15*40%</f>
        <v>750508123.5</v>
      </c>
      <c r="L15" s="66">
        <f t="shared" ref="L15:L27" si="8">J15*50%</f>
        <v>938135154.4</v>
      </c>
      <c r="M15" s="67">
        <f t="shared" ref="M15:N15" si="3">K15*10%</f>
        <v>75050812.35</v>
      </c>
      <c r="N15" s="68">
        <f t="shared" si="3"/>
        <v>93813515.44</v>
      </c>
      <c r="O15" s="55"/>
      <c r="P15" s="31"/>
      <c r="Q15" s="31"/>
      <c r="R15" s="31"/>
      <c r="S15" s="31"/>
      <c r="T15" s="31"/>
      <c r="U15" s="31"/>
      <c r="V15" s="31"/>
      <c r="W15" s="31"/>
      <c r="X15" s="31"/>
      <c r="Y15" s="31"/>
      <c r="Z15" s="31"/>
    </row>
    <row r="16">
      <c r="A16" s="31"/>
      <c r="B16" s="63">
        <v>46113.0</v>
      </c>
      <c r="C16" s="64">
        <f>'4. 기존 버전 실 매출데이터'!C7*75%</f>
        <v>2904065124</v>
      </c>
      <c r="D16" s="65">
        <f t="shared" si="4"/>
        <v>1161626050</v>
      </c>
      <c r="E16" s="66">
        <f t="shared" si="5"/>
        <v>1452032562</v>
      </c>
      <c r="F16" s="67">
        <f t="shared" ref="F16:G16" si="6">D16*10%</f>
        <v>116162605</v>
      </c>
      <c r="G16" s="68">
        <f t="shared" si="6"/>
        <v>145203256.2</v>
      </c>
      <c r="H16" s="55"/>
      <c r="I16" s="63">
        <v>46113.0</v>
      </c>
      <c r="J16" s="64">
        <f>'4. 기존 버전 실 매출데이터'!K7*75%</f>
        <v>2553377864</v>
      </c>
      <c r="K16" s="65">
        <f t="shared" si="7"/>
        <v>1021351145</v>
      </c>
      <c r="L16" s="66">
        <f t="shared" si="8"/>
        <v>1276688932</v>
      </c>
      <c r="M16" s="67">
        <f t="shared" ref="M16:N16" si="9">K16*10%</f>
        <v>102135114.5</v>
      </c>
      <c r="N16" s="68">
        <f t="shared" si="9"/>
        <v>127668893.2</v>
      </c>
      <c r="O16" s="55"/>
      <c r="P16" s="31"/>
      <c r="Q16" s="31"/>
      <c r="R16" s="31"/>
      <c r="S16" s="31"/>
      <c r="T16" s="31"/>
      <c r="U16" s="31"/>
      <c r="V16" s="31"/>
      <c r="W16" s="31"/>
      <c r="X16" s="31"/>
      <c r="Y16" s="31"/>
      <c r="Z16" s="31"/>
    </row>
    <row r="17">
      <c r="A17" s="31"/>
      <c r="B17" s="63">
        <v>46143.0</v>
      </c>
      <c r="C17" s="64">
        <f>'4. 기존 버전 실 매출데이터'!C8*75%</f>
        <v>1662629070</v>
      </c>
      <c r="D17" s="65">
        <f t="shared" si="4"/>
        <v>665051628</v>
      </c>
      <c r="E17" s="66">
        <f t="shared" si="5"/>
        <v>831314535</v>
      </c>
      <c r="F17" s="67">
        <f t="shared" ref="F17:G17" si="10">D17*10%</f>
        <v>66505162.8</v>
      </c>
      <c r="G17" s="68">
        <f t="shared" si="10"/>
        <v>83131453.5</v>
      </c>
      <c r="H17" s="55"/>
      <c r="I17" s="63">
        <v>46143.0</v>
      </c>
      <c r="J17" s="64">
        <f>'4. 기존 버전 실 매출데이터'!K8*75%</f>
        <v>1069141558</v>
      </c>
      <c r="K17" s="65">
        <f t="shared" si="7"/>
        <v>427656623.1</v>
      </c>
      <c r="L17" s="66">
        <f t="shared" si="8"/>
        <v>534570778.9</v>
      </c>
      <c r="M17" s="67">
        <f t="shared" ref="M17:N17" si="11">K17*10%</f>
        <v>42765662.31</v>
      </c>
      <c r="N17" s="68">
        <f t="shared" si="11"/>
        <v>53457077.89</v>
      </c>
      <c r="O17" s="55"/>
      <c r="P17" s="31"/>
      <c r="Q17" s="31"/>
      <c r="R17" s="31"/>
      <c r="S17" s="31"/>
      <c r="T17" s="31"/>
      <c r="U17" s="31"/>
      <c r="V17" s="31"/>
      <c r="W17" s="31"/>
      <c r="X17" s="31"/>
      <c r="Y17" s="31"/>
      <c r="Z17" s="31"/>
    </row>
    <row r="18">
      <c r="A18" s="31"/>
      <c r="B18" s="63">
        <v>46174.0</v>
      </c>
      <c r="C18" s="64">
        <f>'4. 기존 버전 실 매출데이터'!C9*75%</f>
        <v>964497721.5</v>
      </c>
      <c r="D18" s="65">
        <f t="shared" si="4"/>
        <v>385799088.6</v>
      </c>
      <c r="E18" s="66">
        <f t="shared" si="5"/>
        <v>482248860.8</v>
      </c>
      <c r="F18" s="67">
        <f t="shared" ref="F18:G18" si="12">D18*10%</f>
        <v>38579908.86</v>
      </c>
      <c r="G18" s="68">
        <f t="shared" si="12"/>
        <v>48224886.08</v>
      </c>
      <c r="H18" s="55"/>
      <c r="I18" s="63">
        <v>46174.0</v>
      </c>
      <c r="J18" s="64">
        <f>'4. 기존 버전 실 매출데이터'!K9*75%</f>
        <v>629078988.8</v>
      </c>
      <c r="K18" s="65">
        <f t="shared" si="7"/>
        <v>251631595.5</v>
      </c>
      <c r="L18" s="66">
        <f t="shared" si="8"/>
        <v>314539494.4</v>
      </c>
      <c r="M18" s="67">
        <f t="shared" ref="M18:N18" si="13">K18*10%</f>
        <v>25163159.55</v>
      </c>
      <c r="N18" s="68">
        <f t="shared" si="13"/>
        <v>31453949.44</v>
      </c>
      <c r="O18" s="55"/>
      <c r="P18" s="31"/>
      <c r="Q18" s="31"/>
      <c r="R18" s="31"/>
      <c r="S18" s="31"/>
      <c r="T18" s="31"/>
      <c r="U18" s="31"/>
      <c r="V18" s="31"/>
      <c r="W18" s="31"/>
      <c r="X18" s="31"/>
      <c r="Y18" s="31"/>
      <c r="Z18" s="31"/>
    </row>
    <row r="19">
      <c r="A19" s="31"/>
      <c r="B19" s="63">
        <v>46204.0</v>
      </c>
      <c r="C19" s="64">
        <f>'4. 기존 버전 실 매출데이터'!C10*75%</f>
        <v>749523335.3</v>
      </c>
      <c r="D19" s="65">
        <f t="shared" si="4"/>
        <v>299809334.1</v>
      </c>
      <c r="E19" s="66">
        <f t="shared" si="5"/>
        <v>374761667.6</v>
      </c>
      <c r="F19" s="67">
        <f t="shared" ref="F19:G19" si="14">D19*10%</f>
        <v>29980933.41</v>
      </c>
      <c r="G19" s="68">
        <f t="shared" si="14"/>
        <v>37476166.76</v>
      </c>
      <c r="H19" s="55"/>
      <c r="I19" s="63">
        <v>46204.0</v>
      </c>
      <c r="J19" s="64">
        <f>'4. 기존 버전 실 매출데이터'!K10*75%</f>
        <v>473476880.3</v>
      </c>
      <c r="K19" s="65">
        <f t="shared" si="7"/>
        <v>189390752.1</v>
      </c>
      <c r="L19" s="66">
        <f t="shared" si="8"/>
        <v>236738440.1</v>
      </c>
      <c r="M19" s="67">
        <f t="shared" ref="M19:N19" si="15">K19*10%</f>
        <v>18939075.21</v>
      </c>
      <c r="N19" s="68">
        <f t="shared" si="15"/>
        <v>23673844.01</v>
      </c>
      <c r="O19" s="55"/>
      <c r="P19" s="31"/>
      <c r="Q19" s="31"/>
      <c r="R19" s="31"/>
      <c r="S19" s="31"/>
      <c r="T19" s="31"/>
      <c r="U19" s="31"/>
      <c r="V19" s="31"/>
      <c r="W19" s="31"/>
      <c r="X19" s="31"/>
      <c r="Y19" s="31"/>
      <c r="Z19" s="31"/>
    </row>
    <row r="20">
      <c r="A20" s="31"/>
      <c r="B20" s="63">
        <v>46235.0</v>
      </c>
      <c r="C20" s="64">
        <f>'4. 기존 버전 실 매출데이터'!C11*75%</f>
        <v>759342397.5</v>
      </c>
      <c r="D20" s="65">
        <f t="shared" si="4"/>
        <v>303736959</v>
      </c>
      <c r="E20" s="66">
        <f t="shared" si="5"/>
        <v>379671198.8</v>
      </c>
      <c r="F20" s="67">
        <f t="shared" ref="F20:G20" si="16">D20*10%</f>
        <v>30373695.9</v>
      </c>
      <c r="G20" s="68">
        <f t="shared" si="16"/>
        <v>37967119.88</v>
      </c>
      <c r="H20" s="55"/>
      <c r="I20" s="63">
        <v>46235.0</v>
      </c>
      <c r="J20" s="64">
        <f>'4. 기존 버전 실 매출데이터'!K11*75%</f>
        <v>391655877.8</v>
      </c>
      <c r="K20" s="65">
        <f t="shared" si="7"/>
        <v>156662351.1</v>
      </c>
      <c r="L20" s="66">
        <f t="shared" si="8"/>
        <v>195827938.9</v>
      </c>
      <c r="M20" s="67">
        <f t="shared" ref="M20:N20" si="17">K20*10%</f>
        <v>15666235.11</v>
      </c>
      <c r="N20" s="68">
        <f t="shared" si="17"/>
        <v>19582793.89</v>
      </c>
      <c r="O20" s="55"/>
      <c r="P20" s="31"/>
      <c r="Q20" s="31"/>
      <c r="R20" s="31"/>
      <c r="S20" s="31"/>
      <c r="T20" s="31"/>
      <c r="U20" s="31"/>
      <c r="V20" s="31"/>
      <c r="W20" s="31"/>
      <c r="X20" s="31"/>
      <c r="Y20" s="31"/>
      <c r="Z20" s="31"/>
    </row>
    <row r="21">
      <c r="A21" s="31"/>
      <c r="B21" s="63">
        <v>46266.0</v>
      </c>
      <c r="C21" s="64">
        <f>'4. 기존 버전 실 매출데이터'!C12*75%</f>
        <v>543770103</v>
      </c>
      <c r="D21" s="65">
        <f t="shared" si="4"/>
        <v>217508041.2</v>
      </c>
      <c r="E21" s="66">
        <f t="shared" si="5"/>
        <v>271885051.5</v>
      </c>
      <c r="F21" s="67">
        <f t="shared" ref="F21:G21" si="18">D21*10%</f>
        <v>21750804.12</v>
      </c>
      <c r="G21" s="68">
        <f t="shared" si="18"/>
        <v>27188505.15</v>
      </c>
      <c r="H21" s="55"/>
      <c r="I21" s="63">
        <v>46266.0</v>
      </c>
      <c r="J21" s="64">
        <f>'4. 기존 버전 실 매출데이터'!K12*75%</f>
        <v>355865022.8</v>
      </c>
      <c r="K21" s="65">
        <f t="shared" si="7"/>
        <v>142346009.1</v>
      </c>
      <c r="L21" s="66">
        <f t="shared" si="8"/>
        <v>177932511.4</v>
      </c>
      <c r="M21" s="67">
        <f t="shared" ref="M21:N21" si="19">K21*10%</f>
        <v>14234600.91</v>
      </c>
      <c r="N21" s="68">
        <f t="shared" si="19"/>
        <v>17793251.14</v>
      </c>
      <c r="O21" s="55"/>
      <c r="P21" s="31"/>
      <c r="Q21" s="31"/>
      <c r="R21" s="31"/>
      <c r="S21" s="31"/>
      <c r="T21" s="31"/>
      <c r="U21" s="31"/>
      <c r="V21" s="31"/>
      <c r="W21" s="31"/>
      <c r="X21" s="31"/>
      <c r="Y21" s="31"/>
      <c r="Z21" s="31"/>
    </row>
    <row r="22">
      <c r="A22" s="31"/>
      <c r="B22" s="63">
        <v>46296.0</v>
      </c>
      <c r="C22" s="64">
        <f>'4. 기존 버전 실 매출데이터'!C13*75%</f>
        <v>347734244.3</v>
      </c>
      <c r="D22" s="65">
        <f t="shared" si="4"/>
        <v>139093697.7</v>
      </c>
      <c r="E22" s="66">
        <f t="shared" si="5"/>
        <v>173867122.1</v>
      </c>
      <c r="F22" s="67">
        <f t="shared" ref="F22:G22" si="20">D22*10%</f>
        <v>13909369.77</v>
      </c>
      <c r="G22" s="68">
        <f t="shared" si="20"/>
        <v>17386712.21</v>
      </c>
      <c r="H22" s="55"/>
      <c r="I22" s="63">
        <v>46296.0</v>
      </c>
      <c r="J22" s="64">
        <f>'4. 기존 버전 실 매출데이터'!K13*75%</f>
        <v>394963193.3</v>
      </c>
      <c r="K22" s="65">
        <f t="shared" si="7"/>
        <v>157985277.3</v>
      </c>
      <c r="L22" s="66">
        <f t="shared" si="8"/>
        <v>197481596.6</v>
      </c>
      <c r="M22" s="67">
        <f t="shared" ref="M22:N22" si="21">K22*10%</f>
        <v>15798527.73</v>
      </c>
      <c r="N22" s="68">
        <f t="shared" si="21"/>
        <v>19748159.66</v>
      </c>
      <c r="O22" s="55"/>
      <c r="P22" s="31"/>
      <c r="Q22" s="31"/>
      <c r="R22" s="31"/>
      <c r="S22" s="31"/>
      <c r="T22" s="31"/>
      <c r="U22" s="31"/>
      <c r="V22" s="31"/>
      <c r="W22" s="31"/>
      <c r="X22" s="31"/>
      <c r="Y22" s="31"/>
      <c r="Z22" s="31"/>
    </row>
    <row r="23">
      <c r="A23" s="31"/>
      <c r="B23" s="63">
        <v>46327.0</v>
      </c>
      <c r="C23" s="64">
        <f>'4. 기존 버전 실 매출데이터'!C14*75%</f>
        <v>221853884.3</v>
      </c>
      <c r="D23" s="65">
        <f t="shared" si="4"/>
        <v>88741553.7</v>
      </c>
      <c r="E23" s="66">
        <f t="shared" si="5"/>
        <v>110926942.1</v>
      </c>
      <c r="F23" s="67">
        <f t="shared" ref="F23:G23" si="22">D23*10%</f>
        <v>8874155.37</v>
      </c>
      <c r="G23" s="68">
        <f t="shared" si="22"/>
        <v>11092694.21</v>
      </c>
      <c r="H23" s="55"/>
      <c r="I23" s="63">
        <v>46327.0</v>
      </c>
      <c r="J23" s="64">
        <f>'4. 기존 버전 실 매출데이터'!K14*75%</f>
        <v>283832352</v>
      </c>
      <c r="K23" s="65">
        <f t="shared" si="7"/>
        <v>113532940.8</v>
      </c>
      <c r="L23" s="66">
        <f t="shared" si="8"/>
        <v>141916176</v>
      </c>
      <c r="M23" s="67">
        <f t="shared" ref="M23:N23" si="23">K23*10%</f>
        <v>11353294.08</v>
      </c>
      <c r="N23" s="68">
        <f t="shared" si="23"/>
        <v>14191617.6</v>
      </c>
      <c r="O23" s="55"/>
      <c r="P23" s="31"/>
      <c r="Q23" s="31"/>
      <c r="R23" s="31"/>
      <c r="S23" s="31"/>
      <c r="T23" s="31"/>
      <c r="U23" s="31"/>
      <c r="V23" s="31"/>
      <c r="W23" s="31"/>
      <c r="X23" s="31"/>
      <c r="Y23" s="31"/>
      <c r="Z23" s="31"/>
    </row>
    <row r="24">
      <c r="A24" s="31"/>
      <c r="B24" s="63">
        <v>46357.0</v>
      </c>
      <c r="C24" s="64">
        <f>'4. 기존 버전 실 매출데이터'!C15*75%</f>
        <v>450241228.5</v>
      </c>
      <c r="D24" s="65">
        <f t="shared" si="4"/>
        <v>180096491.4</v>
      </c>
      <c r="E24" s="66">
        <f t="shared" si="5"/>
        <v>225120614.3</v>
      </c>
      <c r="F24" s="67">
        <f t="shared" ref="F24:G24" si="24">D24*10%</f>
        <v>18009649.14</v>
      </c>
      <c r="G24" s="68">
        <f t="shared" si="24"/>
        <v>22512061.43</v>
      </c>
      <c r="H24" s="55"/>
      <c r="I24" s="63">
        <v>46357.0</v>
      </c>
      <c r="J24" s="64">
        <f>'4. 기존 버전 실 매출데이터'!K15*75%</f>
        <v>261835806.8</v>
      </c>
      <c r="K24" s="65">
        <f t="shared" si="7"/>
        <v>104734322.7</v>
      </c>
      <c r="L24" s="66">
        <f t="shared" si="8"/>
        <v>130917903.4</v>
      </c>
      <c r="M24" s="67">
        <f t="shared" ref="M24:N24" si="25">K24*10%</f>
        <v>10473432.27</v>
      </c>
      <c r="N24" s="68">
        <f t="shared" si="25"/>
        <v>13091790.34</v>
      </c>
      <c r="O24" s="55"/>
      <c r="P24" s="31"/>
      <c r="Q24" s="31"/>
      <c r="R24" s="31"/>
      <c r="S24" s="31"/>
      <c r="T24" s="31"/>
      <c r="U24" s="31"/>
      <c r="V24" s="31"/>
      <c r="W24" s="31"/>
      <c r="X24" s="31"/>
      <c r="Y24" s="31"/>
      <c r="Z24" s="31"/>
    </row>
    <row r="25">
      <c r="A25" s="31"/>
      <c r="B25" s="63">
        <v>46388.0</v>
      </c>
      <c r="C25" s="64">
        <f>'4. 기존 버전 실 매출데이터'!C16*75%</f>
        <v>209554251.8</v>
      </c>
      <c r="D25" s="65">
        <f t="shared" si="4"/>
        <v>83821700.7</v>
      </c>
      <c r="E25" s="66">
        <f t="shared" si="5"/>
        <v>104777125.9</v>
      </c>
      <c r="F25" s="67">
        <f t="shared" ref="F25:G25" si="26">D25*10%</f>
        <v>8382170.07</v>
      </c>
      <c r="G25" s="68">
        <f t="shared" si="26"/>
        <v>10477712.59</v>
      </c>
      <c r="H25" s="55"/>
      <c r="I25" s="63">
        <v>46388.0</v>
      </c>
      <c r="J25" s="64">
        <f>'4. 기존 버전 실 매출데이터'!K16*75%</f>
        <v>296312118.8</v>
      </c>
      <c r="K25" s="65">
        <f t="shared" si="7"/>
        <v>118524847.5</v>
      </c>
      <c r="L25" s="66">
        <f t="shared" si="8"/>
        <v>148156059.4</v>
      </c>
      <c r="M25" s="67">
        <f t="shared" ref="M25:N25" si="27">K25*10%</f>
        <v>11852484.75</v>
      </c>
      <c r="N25" s="68">
        <f t="shared" si="27"/>
        <v>14815605.94</v>
      </c>
      <c r="O25" s="55"/>
      <c r="P25" s="31"/>
      <c r="Q25" s="31"/>
      <c r="R25" s="31"/>
      <c r="S25" s="31"/>
      <c r="T25" s="31"/>
      <c r="U25" s="31"/>
      <c r="V25" s="31"/>
      <c r="W25" s="31"/>
      <c r="X25" s="31"/>
      <c r="Y25" s="31"/>
      <c r="Z25" s="31"/>
    </row>
    <row r="26">
      <c r="A26" s="31"/>
      <c r="B26" s="63">
        <v>46419.0</v>
      </c>
      <c r="C26" s="64">
        <f>'4. 기존 버전 실 매출데이터'!C17*75%</f>
        <v>197835569.3</v>
      </c>
      <c r="D26" s="65">
        <f t="shared" si="4"/>
        <v>79134227.7</v>
      </c>
      <c r="E26" s="66">
        <f t="shared" si="5"/>
        <v>98917784.63</v>
      </c>
      <c r="F26" s="67">
        <f t="shared" ref="F26:G26" si="28">D26*10%</f>
        <v>7913422.77</v>
      </c>
      <c r="G26" s="68">
        <f t="shared" si="28"/>
        <v>9891778.463</v>
      </c>
      <c r="H26" s="55"/>
      <c r="I26" s="63">
        <v>46419.0</v>
      </c>
      <c r="J26" s="64">
        <f>'4. 기존 버전 실 매출데이터'!K17*75%</f>
        <v>216374832.8</v>
      </c>
      <c r="K26" s="65">
        <f t="shared" si="7"/>
        <v>86549933.1</v>
      </c>
      <c r="L26" s="66">
        <f t="shared" si="8"/>
        <v>108187416.4</v>
      </c>
      <c r="M26" s="67">
        <f t="shared" ref="M26:N26" si="29">K26*10%</f>
        <v>8654993.31</v>
      </c>
      <c r="N26" s="68">
        <f t="shared" si="29"/>
        <v>10818741.64</v>
      </c>
      <c r="O26" s="55"/>
      <c r="P26" s="31"/>
      <c r="Q26" s="31"/>
      <c r="R26" s="31"/>
      <c r="S26" s="31"/>
      <c r="T26" s="31"/>
      <c r="U26" s="31"/>
      <c r="V26" s="31"/>
      <c r="W26" s="31"/>
      <c r="X26" s="31"/>
      <c r="Y26" s="31"/>
      <c r="Z26" s="31"/>
    </row>
    <row r="27">
      <c r="A27" s="31"/>
      <c r="B27" s="63">
        <v>46447.0</v>
      </c>
      <c r="C27" s="64">
        <f>'4. 기존 버전 실 매출데이터'!C18*75%</f>
        <v>164504542.5</v>
      </c>
      <c r="D27" s="65">
        <f t="shared" si="4"/>
        <v>65801817</v>
      </c>
      <c r="E27" s="66">
        <f t="shared" si="5"/>
        <v>82252271.25</v>
      </c>
      <c r="F27" s="67">
        <f t="shared" ref="F27:G27" si="30">D27*10%</f>
        <v>6580181.7</v>
      </c>
      <c r="G27" s="68">
        <f t="shared" si="30"/>
        <v>8225227.125</v>
      </c>
      <c r="H27" s="55"/>
      <c r="I27" s="63">
        <v>46447.0</v>
      </c>
      <c r="J27" s="64">
        <f>'4. 기존 버전 실 매출데이터'!K18*75%</f>
        <v>190325368.5</v>
      </c>
      <c r="K27" s="65">
        <f t="shared" si="7"/>
        <v>76130147.4</v>
      </c>
      <c r="L27" s="66">
        <f t="shared" si="8"/>
        <v>95162684.25</v>
      </c>
      <c r="M27" s="67">
        <f t="shared" ref="M27:N27" si="31">K27*10%</f>
        <v>7613014.74</v>
      </c>
      <c r="N27" s="68">
        <f t="shared" si="31"/>
        <v>9516268.425</v>
      </c>
      <c r="O27" s="55"/>
      <c r="P27" s="31"/>
      <c r="Q27" s="31"/>
      <c r="R27" s="31"/>
      <c r="S27" s="31"/>
      <c r="T27" s="31"/>
      <c r="U27" s="31"/>
      <c r="V27" s="31"/>
      <c r="W27" s="31"/>
      <c r="X27" s="31"/>
      <c r="Y27" s="31"/>
      <c r="Z27" s="31"/>
    </row>
    <row r="28" ht="26.25" customHeight="1">
      <c r="A28" s="31"/>
      <c r="B28" s="69" t="s">
        <v>64</v>
      </c>
      <c r="C28" s="70">
        <f t="shared" ref="C28:G28" si="32">SUM(C15:C27)</f>
        <v>13173968636</v>
      </c>
      <c r="D28" s="70">
        <f t="shared" si="32"/>
        <v>5269587455</v>
      </c>
      <c r="E28" s="70">
        <f t="shared" si="32"/>
        <v>6586984318</v>
      </c>
      <c r="F28" s="71">
        <f t="shared" si="32"/>
        <v>526958745.5</v>
      </c>
      <c r="G28" s="72">
        <f t="shared" si="32"/>
        <v>658698431.8</v>
      </c>
      <c r="H28" s="55"/>
      <c r="I28" s="73" t="s">
        <v>64</v>
      </c>
      <c r="J28" s="74">
        <f t="shared" ref="J28:N28" si="33">SUM(J15:J27)</f>
        <v>8992510172</v>
      </c>
      <c r="K28" s="74">
        <f t="shared" si="33"/>
        <v>3597004069</v>
      </c>
      <c r="L28" s="75">
        <f t="shared" si="33"/>
        <v>4496255086</v>
      </c>
      <c r="M28" s="76">
        <f t="shared" si="33"/>
        <v>359700406.9</v>
      </c>
      <c r="N28" s="77">
        <f t="shared" si="33"/>
        <v>449625508.6</v>
      </c>
      <c r="O28" s="55"/>
      <c r="P28" s="31"/>
      <c r="Q28" s="31"/>
      <c r="R28" s="31"/>
      <c r="S28" s="31"/>
      <c r="T28" s="31"/>
      <c r="U28" s="31"/>
      <c r="V28" s="31"/>
      <c r="W28" s="31"/>
      <c r="X28" s="31"/>
      <c r="Y28" s="31"/>
      <c r="Z28" s="31"/>
    </row>
    <row r="29">
      <c r="A29" s="31"/>
      <c r="B29" s="55"/>
      <c r="C29" s="55"/>
      <c r="D29" s="55"/>
      <c r="E29" s="55"/>
      <c r="F29" s="55"/>
      <c r="G29" s="55"/>
      <c r="H29" s="55"/>
      <c r="I29" s="31"/>
      <c r="J29" s="31"/>
      <c r="K29" s="31"/>
      <c r="L29" s="31"/>
      <c r="M29" s="31"/>
      <c r="N29" s="31"/>
      <c r="O29" s="31"/>
      <c r="P29" s="31"/>
      <c r="Q29" s="31"/>
      <c r="R29" s="31"/>
      <c r="S29" s="31"/>
      <c r="T29" s="31"/>
      <c r="U29" s="31"/>
      <c r="V29" s="31"/>
      <c r="W29" s="31"/>
      <c r="X29" s="31"/>
      <c r="Y29" s="31"/>
      <c r="Z29" s="31"/>
    </row>
    <row r="30">
      <c r="A30" s="31"/>
      <c r="B30" s="55"/>
      <c r="C30" s="55"/>
      <c r="D30" s="55"/>
      <c r="E30" s="55"/>
      <c r="F30" s="55"/>
      <c r="G30" s="55"/>
      <c r="H30" s="55"/>
      <c r="I30" s="31"/>
      <c r="J30" s="31"/>
      <c r="K30" s="31"/>
      <c r="L30" s="31"/>
      <c r="M30" s="31"/>
      <c r="N30" s="31"/>
      <c r="O30" s="31"/>
      <c r="P30" s="31"/>
      <c r="Q30" s="31"/>
      <c r="R30" s="31"/>
      <c r="S30" s="31"/>
      <c r="T30" s="31"/>
      <c r="U30" s="31"/>
      <c r="V30" s="31"/>
      <c r="W30" s="31"/>
      <c r="X30" s="31"/>
      <c r="Y30" s="31"/>
      <c r="Z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row>
    <row r="1003">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row>
    <row r="1004">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row>
    <row r="1005">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row>
    <row r="1006">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row>
    <row r="1007">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row>
    <row r="1008">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row>
    <row r="1009">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row>
    <row r="1010">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row>
  </sheetData>
  <mergeCells count="4">
    <mergeCell ref="F5:G5"/>
    <mergeCell ref="F6:G10"/>
    <mergeCell ref="B12:H12"/>
    <mergeCell ref="I12:O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s>
  <sheetData>
    <row r="2">
      <c r="B2" s="78" t="s">
        <v>65</v>
      </c>
      <c r="C2" s="79"/>
      <c r="D2" s="80"/>
      <c r="E2" s="80"/>
      <c r="F2" s="80"/>
      <c r="G2" s="80"/>
      <c r="H2" s="80"/>
      <c r="I2" s="80"/>
      <c r="J2" s="78" t="s">
        <v>66</v>
      </c>
      <c r="K2" s="79"/>
      <c r="L2" s="80"/>
      <c r="M2" s="80"/>
      <c r="N2" s="80"/>
    </row>
    <row r="3">
      <c r="B3" s="80"/>
      <c r="C3" s="80"/>
      <c r="D3" s="80"/>
      <c r="E3" s="80"/>
      <c r="F3" s="80"/>
      <c r="G3" s="80"/>
      <c r="H3" s="80"/>
      <c r="I3" s="80"/>
      <c r="J3" s="80"/>
      <c r="K3" s="80"/>
      <c r="L3" s="80"/>
      <c r="M3" s="80"/>
      <c r="N3" s="80"/>
    </row>
    <row r="4">
      <c r="B4" s="81" t="s">
        <v>58</v>
      </c>
      <c r="C4" s="82" t="s">
        <v>67</v>
      </c>
      <c r="D4" s="83" t="s">
        <v>68</v>
      </c>
      <c r="E4" s="83" t="s">
        <v>69</v>
      </c>
      <c r="F4" s="83" t="s">
        <v>70</v>
      </c>
      <c r="G4" s="83" t="s">
        <v>71</v>
      </c>
      <c r="H4" s="84" t="s">
        <v>72</v>
      </c>
      <c r="I4" s="80"/>
      <c r="J4" s="81" t="s">
        <v>58</v>
      </c>
      <c r="K4" s="82" t="s">
        <v>67</v>
      </c>
      <c r="L4" s="83" t="s">
        <v>68</v>
      </c>
      <c r="M4" s="83" t="s">
        <v>69</v>
      </c>
      <c r="N4" s="84" t="s">
        <v>70</v>
      </c>
    </row>
    <row r="5">
      <c r="B5" s="85"/>
      <c r="C5" s="86"/>
      <c r="D5" s="86"/>
      <c r="E5" s="86"/>
      <c r="F5" s="86"/>
      <c r="G5" s="86"/>
      <c r="H5" s="87"/>
      <c r="I5" s="80"/>
      <c r="J5" s="85"/>
      <c r="K5" s="86"/>
      <c r="L5" s="86"/>
      <c r="M5" s="86"/>
      <c r="N5" s="87"/>
    </row>
    <row r="6">
      <c r="B6" s="88">
        <v>45047.0</v>
      </c>
      <c r="C6" s="89">
        <v>5.331222886E9</v>
      </c>
      <c r="D6" s="90">
        <v>508445.0</v>
      </c>
      <c r="E6" s="90">
        <v>508600.0</v>
      </c>
      <c r="F6" s="90">
        <v>53329.0</v>
      </c>
      <c r="G6" s="91">
        <v>0.0893</v>
      </c>
      <c r="H6" s="92">
        <v>117417.0</v>
      </c>
      <c r="I6" s="80"/>
      <c r="J6" s="88">
        <v>45170.0</v>
      </c>
      <c r="K6" s="89">
        <v>2.501693745E9</v>
      </c>
      <c r="L6" s="93">
        <v>140110.0</v>
      </c>
      <c r="M6" s="93">
        <v>140110.0</v>
      </c>
      <c r="N6" s="94">
        <v>16943.0</v>
      </c>
    </row>
    <row r="7">
      <c r="B7" s="88">
        <v>45078.0</v>
      </c>
      <c r="C7" s="89">
        <v>3.872086832E9</v>
      </c>
      <c r="D7" s="90">
        <v>182649.0</v>
      </c>
      <c r="E7" s="90">
        <v>65257.0</v>
      </c>
      <c r="F7" s="90">
        <v>53663.0</v>
      </c>
      <c r="G7" s="91">
        <v>0.0953</v>
      </c>
      <c r="H7" s="92">
        <v>222451.0</v>
      </c>
      <c r="I7" s="80"/>
      <c r="J7" s="95">
        <v>45200.0</v>
      </c>
      <c r="K7" s="89">
        <v>3.404503818E9</v>
      </c>
      <c r="L7" s="93">
        <v>100923.0</v>
      </c>
      <c r="M7" s="93">
        <v>56171.0</v>
      </c>
      <c r="N7" s="94">
        <v>20461.0</v>
      </c>
    </row>
    <row r="8">
      <c r="B8" s="88">
        <v>45108.0</v>
      </c>
      <c r="C8" s="89">
        <v>2.21683876E9</v>
      </c>
      <c r="D8" s="90">
        <v>113934.0</v>
      </c>
      <c r="E8" s="90">
        <v>31384.0</v>
      </c>
      <c r="F8" s="90">
        <v>16924.0</v>
      </c>
      <c r="G8" s="91">
        <v>0.0929</v>
      </c>
      <c r="H8" s="92">
        <v>209443.0</v>
      </c>
      <c r="I8" s="80"/>
      <c r="J8" s="95">
        <v>45231.0</v>
      </c>
      <c r="K8" s="89">
        <v>1.425522077E9</v>
      </c>
      <c r="L8" s="93">
        <v>77137.0</v>
      </c>
      <c r="M8" s="93">
        <v>36353.0</v>
      </c>
      <c r="N8" s="94">
        <v>25956.0</v>
      </c>
    </row>
    <row r="9">
      <c r="B9" s="88">
        <v>45139.0</v>
      </c>
      <c r="C9" s="89">
        <v>1.285996962E9</v>
      </c>
      <c r="D9" s="90">
        <v>71941.0</v>
      </c>
      <c r="E9" s="90">
        <v>11386.0</v>
      </c>
      <c r="F9" s="90">
        <v>13618.0</v>
      </c>
      <c r="G9" s="91">
        <v>0.0894</v>
      </c>
      <c r="H9" s="92">
        <v>199952.0</v>
      </c>
      <c r="I9" s="80"/>
      <c r="J9" s="95">
        <v>45261.0</v>
      </c>
      <c r="K9" s="89">
        <v>8.38771985E8</v>
      </c>
      <c r="L9" s="93">
        <v>42148.0</v>
      </c>
      <c r="M9" s="93">
        <v>8249.0</v>
      </c>
      <c r="N9" s="94">
        <v>29359.0</v>
      </c>
    </row>
    <row r="10">
      <c r="B10" s="88">
        <v>45170.0</v>
      </c>
      <c r="C10" s="89">
        <v>9.99364447E8</v>
      </c>
      <c r="D10" s="90">
        <v>57264.0</v>
      </c>
      <c r="E10" s="90">
        <v>8603.0</v>
      </c>
      <c r="F10" s="90">
        <v>11000.0</v>
      </c>
      <c r="G10" s="91">
        <v>0.086</v>
      </c>
      <c r="H10" s="92">
        <v>202929.0</v>
      </c>
      <c r="I10" s="80"/>
      <c r="J10" s="88">
        <v>45292.0</v>
      </c>
      <c r="K10" s="89">
        <v>6.31302507E8</v>
      </c>
      <c r="L10" s="93">
        <v>23975.0</v>
      </c>
      <c r="M10" s="93">
        <v>2466.0</v>
      </c>
      <c r="N10" s="94">
        <v>7261.0</v>
      </c>
    </row>
    <row r="11">
      <c r="B11" s="95">
        <v>45200.0</v>
      </c>
      <c r="C11" s="89">
        <v>1.01245653E9</v>
      </c>
      <c r="D11" s="90">
        <v>46114.0</v>
      </c>
      <c r="E11" s="90">
        <v>6692.0</v>
      </c>
      <c r="F11" s="90">
        <v>17141.0</v>
      </c>
      <c r="G11" s="91">
        <v>0.072</v>
      </c>
      <c r="H11" s="92">
        <v>304938.0</v>
      </c>
      <c r="I11" s="80"/>
      <c r="J11" s="88">
        <v>45323.0</v>
      </c>
      <c r="K11" s="89">
        <v>5.22207837E8</v>
      </c>
      <c r="L11" s="93">
        <v>14813.0</v>
      </c>
      <c r="M11" s="93">
        <v>1008.0</v>
      </c>
      <c r="N11" s="94">
        <v>5358.0</v>
      </c>
    </row>
    <row r="12">
      <c r="B12" s="95">
        <v>45231.0</v>
      </c>
      <c r="C12" s="89">
        <v>7.25026804E8</v>
      </c>
      <c r="D12" s="90">
        <v>44583.0</v>
      </c>
      <c r="E12" s="90">
        <v>6357.0</v>
      </c>
      <c r="F12" s="90">
        <v>15302.0</v>
      </c>
      <c r="G12" s="91">
        <v>0.0653</v>
      </c>
      <c r="H12" s="92">
        <v>249041.0</v>
      </c>
      <c r="I12" s="80"/>
      <c r="J12" s="88">
        <v>45352.0</v>
      </c>
      <c r="K12" s="89">
        <v>4.74486697E8</v>
      </c>
      <c r="L12" s="93">
        <v>14866.0</v>
      </c>
      <c r="M12" s="93">
        <v>1129.0</v>
      </c>
      <c r="N12" s="94">
        <v>4925.0</v>
      </c>
    </row>
    <row r="13">
      <c r="B13" s="95">
        <v>45261.0</v>
      </c>
      <c r="C13" s="89">
        <v>4.63645659E8</v>
      </c>
      <c r="D13" s="90">
        <v>44789.0</v>
      </c>
      <c r="E13" s="90">
        <v>8044.0</v>
      </c>
      <c r="F13" s="90">
        <v>9179.0</v>
      </c>
      <c r="G13" s="91">
        <v>0.0619</v>
      </c>
      <c r="H13" s="92">
        <v>167234.0</v>
      </c>
      <c r="I13" s="80"/>
      <c r="J13" s="88">
        <v>45383.0</v>
      </c>
      <c r="K13" s="89">
        <v>5.26617591E8</v>
      </c>
      <c r="L13" s="93">
        <v>12723.0</v>
      </c>
      <c r="M13" s="96">
        <v>671.0</v>
      </c>
      <c r="N13" s="94">
        <v>4416.0</v>
      </c>
    </row>
    <row r="14">
      <c r="B14" s="88">
        <v>45292.0</v>
      </c>
      <c r="C14" s="89">
        <v>2.95805179E8</v>
      </c>
      <c r="D14" s="90">
        <v>36565.0</v>
      </c>
      <c r="E14" s="90">
        <v>4651.0</v>
      </c>
      <c r="F14" s="90">
        <v>6924.0</v>
      </c>
      <c r="G14" s="91">
        <v>0.0532</v>
      </c>
      <c r="H14" s="92">
        <v>152065.0</v>
      </c>
      <c r="I14" s="80"/>
      <c r="J14" s="88">
        <v>45413.0</v>
      </c>
      <c r="K14" s="89">
        <v>3.78443136E8</v>
      </c>
      <c r="L14" s="93">
        <v>12241.0</v>
      </c>
      <c r="M14" s="96">
        <v>675.0</v>
      </c>
      <c r="N14" s="94">
        <v>3419.0</v>
      </c>
    </row>
    <row r="15">
      <c r="B15" s="88">
        <v>45323.0</v>
      </c>
      <c r="C15" s="89">
        <v>6.00321638E8</v>
      </c>
      <c r="D15" s="90">
        <v>31615.0</v>
      </c>
      <c r="E15" s="90">
        <v>3522.0</v>
      </c>
      <c r="F15" s="90">
        <v>5292.0</v>
      </c>
      <c r="G15" s="91">
        <v>0.0684</v>
      </c>
      <c r="H15" s="92">
        <v>277610.0</v>
      </c>
      <c r="I15" s="80"/>
      <c r="J15" s="88">
        <v>45444.0</v>
      </c>
      <c r="K15" s="89">
        <v>3.49114409E8</v>
      </c>
      <c r="L15" s="93">
        <v>12765.0</v>
      </c>
      <c r="M15" s="96">
        <v>840.0</v>
      </c>
      <c r="N15" s="94">
        <v>3456.0</v>
      </c>
    </row>
    <row r="16">
      <c r="B16" s="88">
        <v>45352.0</v>
      </c>
      <c r="C16" s="89">
        <v>2.79405669E8</v>
      </c>
      <c r="D16" s="90">
        <v>32195.0</v>
      </c>
      <c r="E16" s="90">
        <v>4418.0</v>
      </c>
      <c r="F16" s="90">
        <v>5425.0</v>
      </c>
      <c r="G16" s="91">
        <v>0.0504</v>
      </c>
      <c r="H16" s="92">
        <v>172193.0</v>
      </c>
      <c r="I16" s="80"/>
      <c r="J16" s="88">
        <v>45474.0</v>
      </c>
      <c r="K16" s="89">
        <v>3.95082825E8</v>
      </c>
      <c r="L16" s="93">
        <v>12336.0</v>
      </c>
      <c r="M16" s="93">
        <v>2917.0</v>
      </c>
      <c r="N16" s="94">
        <v>2648.0</v>
      </c>
    </row>
    <row r="17">
      <c r="B17" s="88">
        <v>45383.0</v>
      </c>
      <c r="C17" s="89">
        <v>2.63780759E8</v>
      </c>
      <c r="D17" s="90">
        <v>27966.0</v>
      </c>
      <c r="E17" s="90">
        <v>3347.0</v>
      </c>
      <c r="F17" s="90">
        <v>4660.0</v>
      </c>
      <c r="G17" s="91">
        <v>0.0497</v>
      </c>
      <c r="H17" s="92">
        <v>189783.0</v>
      </c>
      <c r="I17" s="80"/>
      <c r="J17" s="88">
        <v>45505.0</v>
      </c>
      <c r="K17" s="89">
        <v>2.88499777E8</v>
      </c>
      <c r="L17" s="93">
        <v>6393.0</v>
      </c>
      <c r="M17" s="96">
        <v>495.0</v>
      </c>
      <c r="N17" s="94">
        <v>2183.0</v>
      </c>
    </row>
    <row r="18">
      <c r="B18" s="97">
        <v>45413.0</v>
      </c>
      <c r="C18" s="98">
        <v>2.1933939E8</v>
      </c>
      <c r="D18" s="99">
        <v>27879.0</v>
      </c>
      <c r="E18" s="99">
        <v>3694.0</v>
      </c>
      <c r="F18" s="99">
        <v>5647.0</v>
      </c>
      <c r="G18" s="100">
        <v>0.0415</v>
      </c>
      <c r="H18" s="101">
        <v>189579.0</v>
      </c>
      <c r="I18" s="80"/>
      <c r="J18" s="97">
        <v>45536.0</v>
      </c>
      <c r="K18" s="98">
        <v>2.53767158E8</v>
      </c>
      <c r="L18" s="102">
        <v>4138.0</v>
      </c>
      <c r="M18" s="103">
        <v>467.0</v>
      </c>
      <c r="N18" s="104">
        <v>1426.0</v>
      </c>
    </row>
  </sheetData>
  <mergeCells count="14">
    <mergeCell ref="G4:G5"/>
    <mergeCell ref="H4:H5"/>
    <mergeCell ref="J4:J5"/>
    <mergeCell ref="K4:K5"/>
    <mergeCell ref="L4:L5"/>
    <mergeCell ref="M4:M5"/>
    <mergeCell ref="N4:N5"/>
    <mergeCell ref="B2:C2"/>
    <mergeCell ref="J2:K2"/>
    <mergeCell ref="B4:B5"/>
    <mergeCell ref="C4:C5"/>
    <mergeCell ref="D4:D5"/>
    <mergeCell ref="E4:E5"/>
    <mergeCell ref="F4:F5"/>
  </mergeCells>
  <drawing r:id="rId1"/>
</worksheet>
</file>