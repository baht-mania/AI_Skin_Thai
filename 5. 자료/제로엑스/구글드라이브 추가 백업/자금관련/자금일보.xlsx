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45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46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7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47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45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46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comments+xml" PartName="/xl/comments15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6.xml"/>
  <Override ContentType="application/vnd.openxmlformats-officedocument.spreadsheetml.comments+xml" PartName="/xl/comments13.xml"/>
  <Override ContentType="application/vnd.openxmlformats-officedocument.spreadsheetml.comments+xml" PartName="/xl/comments4.xml"/>
  <Override ContentType="application/vnd.openxmlformats-officedocument.spreadsheetml.comments+xml" PartName="/xl/comments2.xml"/>
  <Override ContentType="application/vnd.openxmlformats-officedocument.spreadsheetml.comments+xml" PartName="/xl/comments8.xml"/>
  <Override ContentType="application/vnd.openxmlformats-officedocument.spreadsheetml.comments+xml" PartName="/xl/comments14.xml"/>
  <Override ContentType="application/vnd.openxmlformats-officedocument.spreadsheetml.comments+xml" PartName="/xl/comments11.xml"/>
  <Override ContentType="application/vnd.openxmlformats-officedocument.spreadsheetml.comments+xml" PartName="/xl/comments12.xml"/>
  <Override ContentType="application/vnd.openxmlformats-officedocument.spreadsheetml.comments+xml" PartName="/xl/comments5.xml"/>
  <Override ContentType="application/vnd.openxmlformats-officedocument.spreadsheetml.comments+xml" PartName="/xl/comments1.xml"/>
  <Override ContentType="application/vnd.openxmlformats-officedocument.spreadsheetml.comments+xml" PartName="/xl/comments16.xml"/>
  <Override ContentType="application/vnd.openxmlformats-officedocument.spreadsheetml.comments+xml" PartName="/xl/comments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2.5월" sheetId="1" r:id="rId4"/>
    <sheet state="visible" name="22.6월" sheetId="2" r:id="rId5"/>
    <sheet state="visible" name="22.7월" sheetId="3" r:id="rId6"/>
    <sheet state="visible" name="22.8월" sheetId="4" r:id="rId7"/>
    <sheet state="visible" name="22.9월" sheetId="5" r:id="rId8"/>
    <sheet state="visible" name="22.10월" sheetId="6" r:id="rId9"/>
    <sheet state="visible" name="22.11월" sheetId="7" r:id="rId10"/>
    <sheet state="visible" name="22.12월" sheetId="8" r:id="rId11"/>
    <sheet state="visible" name="23.01월" sheetId="9" r:id="rId12"/>
    <sheet state="visible" name="23.02월" sheetId="10" r:id="rId13"/>
    <sheet state="visible" name="23.03월" sheetId="11" r:id="rId14"/>
    <sheet state="visible" name="23.04월" sheetId="12" r:id="rId15"/>
    <sheet state="visible" name="23.05월" sheetId="13" r:id="rId16"/>
    <sheet state="visible" name="23.06월" sheetId="14" r:id="rId17"/>
    <sheet state="visible" name="23.07월" sheetId="15" r:id="rId18"/>
    <sheet state="visible" name="23.08월" sheetId="16" r:id="rId19"/>
    <sheet state="visible" name="23.09월" sheetId="17" r:id="rId20"/>
    <sheet state="visible" name="23.10월" sheetId="18" r:id="rId21"/>
    <sheet state="visible" name="23.11월" sheetId="19" r:id="rId22"/>
    <sheet state="visible" name="23.12월" sheetId="20" r:id="rId23"/>
    <sheet state="visible" name="24.01월" sheetId="21" r:id="rId24"/>
    <sheet state="visible" name="24.02월" sheetId="22" r:id="rId25"/>
    <sheet state="visible" name="24.03월" sheetId="23" r:id="rId26"/>
    <sheet state="visible" name="24.04월" sheetId="24" r:id="rId27"/>
    <sheet state="visible" name="24.05월" sheetId="25" r:id="rId28"/>
    <sheet state="visible" name="24.06월" sheetId="26" r:id="rId29"/>
    <sheet state="visible" name="24.07월" sheetId="27" r:id="rId30"/>
    <sheet state="visible" name="24.08월" sheetId="28" r:id="rId31"/>
    <sheet state="visible" name="24.09월" sheetId="29" r:id="rId32"/>
    <sheet state="visible" name="24.10월" sheetId="30" r:id="rId33"/>
    <sheet state="visible" name="24.11월" sheetId="31" r:id="rId34"/>
    <sheet state="visible" name="24.12월" sheetId="32" r:id="rId35"/>
    <sheet state="visible" name="25.01월" sheetId="33" r:id="rId36"/>
    <sheet state="visible" name="25.02월" sheetId="34" r:id="rId37"/>
    <sheet state="visible" name="25.03월" sheetId="35" r:id="rId38"/>
    <sheet state="visible" name="25.04월" sheetId="36" r:id="rId39"/>
    <sheet state="visible" name="25.05월" sheetId="37" r:id="rId40"/>
    <sheet state="visible" name="25.06월" sheetId="38" r:id="rId41"/>
    <sheet state="visible" name="25.07월" sheetId="39" r:id="rId42"/>
    <sheet state="visible" name="25.08월" sheetId="40" r:id="rId43"/>
    <sheet state="visible" name="25.09월" sheetId="41" r:id="rId44"/>
    <sheet state="visible" name="25.10월" sheetId="42" r:id="rId45"/>
    <sheet state="visible" name="25.11월" sheetId="43" r:id="rId46"/>
    <sheet state="visible" name="25.12월" sheetId="44" r:id="rId47"/>
    <sheet state="visible" name="26.01월" sheetId="45" r:id="rId48"/>
    <sheet state="hidden" name="시트3" sheetId="46" r:id="rId49"/>
    <sheet state="hidden" name="burn rate" sheetId="47" r:id="rId50"/>
  </sheets>
  <definedNames>
    <definedName hidden="1" localSheetId="0" name="_xlnm._FilterDatabase">'22.5월'!$B$19:$H$172</definedName>
    <definedName hidden="1" localSheetId="2" name="_xlnm._FilterDatabase">'22.7월'!$B$19:$H$172</definedName>
    <definedName hidden="1" localSheetId="3" name="_xlnm._FilterDatabase">'22.8월'!$B$19:$H$172</definedName>
    <definedName hidden="1" localSheetId="4" name="_xlnm._FilterDatabase">'22.9월'!$B$19:$H$107</definedName>
    <definedName hidden="1" localSheetId="5" name="_xlnm._FilterDatabase">'22.10월'!$B$19:$H$61</definedName>
    <definedName hidden="1" localSheetId="6" name="_xlnm._FilterDatabase">'22.11월'!$B$20:$H$251</definedName>
    <definedName hidden="1" localSheetId="7" name="_xlnm._FilterDatabase">'22.12월'!$B$21:$H$252</definedName>
    <definedName hidden="1" localSheetId="8" name="_xlnm._FilterDatabase">'23.01월'!$B$21:$H$252</definedName>
    <definedName hidden="1" localSheetId="9" name="_xlnm._FilterDatabase">'23.02월'!$B$21:$H$265</definedName>
    <definedName hidden="1" localSheetId="10" name="_xlnm._FilterDatabase">'23.03월'!$B$21:$H$265</definedName>
    <definedName hidden="1" localSheetId="11" name="_xlnm._FilterDatabase">'23.04월'!$B$21:$H$246</definedName>
    <definedName hidden="1" localSheetId="12" name="_xlnm._FilterDatabase">'23.05월'!$B$21:$H$202</definedName>
    <definedName hidden="1" localSheetId="13" name="_xlnm._FilterDatabase">'23.06월'!$B$21:$H$206</definedName>
    <definedName hidden="1" localSheetId="14" name="_xlnm._FilterDatabase">'23.07월'!$B$21:$H$197</definedName>
    <definedName hidden="1" localSheetId="15" name="_xlnm._FilterDatabase">'23.08월'!$B$21:$H$180</definedName>
    <definedName hidden="1" localSheetId="16" name="_xlnm._FilterDatabase">'23.09월'!$B$21:$H$163</definedName>
    <definedName hidden="1" localSheetId="17" name="_xlnm._FilterDatabase">'23.10월'!$B$21:$H$157</definedName>
    <definedName hidden="1" localSheetId="18" name="_xlnm._FilterDatabase">'23.11월'!$B$21:$H$159</definedName>
    <definedName hidden="1" localSheetId="19" name="_xlnm._FilterDatabase">'23.12월'!$B$21:$H$151</definedName>
    <definedName hidden="1" localSheetId="20" name="_xlnm._FilterDatabase">'24.01월'!$B$24:$H$150</definedName>
    <definedName hidden="1" localSheetId="21" name="_xlnm._FilterDatabase">'24.02월'!$B$24:$H$115</definedName>
    <definedName hidden="1" localSheetId="22" name="_xlnm._FilterDatabase">'24.03월'!$B$24:$H$162</definedName>
    <definedName hidden="1" localSheetId="23" name="_xlnm._FilterDatabase">'24.04월'!$B$24:$H$161</definedName>
    <definedName hidden="1" localSheetId="24" name="_xlnm._FilterDatabase">'24.05월'!$B$24:$H$153</definedName>
    <definedName hidden="1" localSheetId="25" name="_xlnm._FilterDatabase">'24.06월'!$B$24:$H$152</definedName>
    <definedName hidden="1" localSheetId="26" name="_xlnm._FilterDatabase">'24.07월'!$B$24:$H$128</definedName>
    <definedName hidden="1" localSheetId="27" name="_xlnm._FilterDatabase">'24.08월'!$B$24:$H$131</definedName>
    <definedName hidden="1" localSheetId="28" name="_xlnm._FilterDatabase">'24.09월'!$B$24:$H$139</definedName>
    <definedName hidden="1" localSheetId="29" name="_xlnm._FilterDatabase">'24.10월'!$B$24:$H$141</definedName>
    <definedName hidden="1" localSheetId="30" name="_xlnm._FilterDatabase">'24.11월'!$B$24:$H$132</definedName>
    <definedName hidden="1" localSheetId="31" name="_xlnm._FilterDatabase">'24.12월'!$B$24:$H$138</definedName>
    <definedName hidden="1" localSheetId="32" name="_xlnm._FilterDatabase">'25.01월'!$B$24:$H$126</definedName>
    <definedName hidden="1" localSheetId="33" name="_xlnm._FilterDatabase">'25.02월'!$B$24:$H$125</definedName>
    <definedName hidden="1" localSheetId="34" name="_xlnm._FilterDatabase">'25.03월'!$B$24:$H$154</definedName>
    <definedName hidden="1" localSheetId="35" name="_xlnm._FilterDatabase">'25.04월'!$B$24:$H$146</definedName>
    <definedName hidden="1" localSheetId="36" name="_xlnm._FilterDatabase">'25.05월'!$B$24:$H$108</definedName>
    <definedName hidden="1" localSheetId="37" name="_xlnm._FilterDatabase">'25.06월'!$B$24:$H$110</definedName>
    <definedName hidden="1" localSheetId="38" name="_xlnm._FilterDatabase">'25.07월'!$B$24:$H$115</definedName>
    <definedName hidden="1" localSheetId="39" name="_xlnm._FilterDatabase">'25.08월'!$B$24:$H$112</definedName>
    <definedName hidden="1" localSheetId="40" name="_xlnm._FilterDatabase">'25.09월'!$B$24:$H$156</definedName>
    <definedName hidden="1" localSheetId="41" name="_xlnm._FilterDatabase">'25.10월'!$B$24:$H$183</definedName>
    <definedName hidden="1" localSheetId="42" name="_xlnm._FilterDatabase">'25.11월'!$B$24:$H$104</definedName>
    <definedName hidden="1" localSheetId="43" name="_xlnm._FilterDatabase">'25.12월'!$B$24:$H$88</definedName>
    <definedName hidden="1" localSheetId="44" name="_xlnm._FilterDatabase">'26.01월'!$B$24:$H$97</definedName>
    <definedName hidden="1" localSheetId="0" name="Z_CD2BF927_9D79_47FC_BBA8_927062D6B3F5_.wvu.FilterData">'22.5월'!$B$19:$H$172</definedName>
    <definedName hidden="1" localSheetId="1" name="Z_CD2BF927_9D79_47FC_BBA8_927062D6B3F5_.wvu.FilterData">'22.6월'!$B$19:$H$172</definedName>
    <definedName hidden="1" localSheetId="2" name="Z_CD2BF927_9D79_47FC_BBA8_927062D6B3F5_.wvu.FilterData">'22.7월'!$B$19:$H$172</definedName>
    <definedName hidden="1" localSheetId="3" name="Z_CD2BF927_9D79_47FC_BBA8_927062D6B3F5_.wvu.FilterData">'22.8월'!$B$19:$H$172</definedName>
    <definedName hidden="1" localSheetId="4" name="Z_CD2BF927_9D79_47FC_BBA8_927062D6B3F5_.wvu.FilterData">'22.9월'!$B$19:$H$107</definedName>
    <definedName hidden="1" localSheetId="5" name="Z_CD2BF927_9D79_47FC_BBA8_927062D6B3F5_.wvu.FilterData">'22.10월'!$B$19:$H$61</definedName>
    <definedName hidden="1" localSheetId="6" name="Z_CD2BF927_9D79_47FC_BBA8_927062D6B3F5_.wvu.FilterData">'22.11월'!$B$20:$H$251</definedName>
    <definedName hidden="1" localSheetId="7" name="Z_CD2BF927_9D79_47FC_BBA8_927062D6B3F5_.wvu.FilterData">'22.12월'!$B$21:$H$252</definedName>
    <definedName hidden="1" localSheetId="8" name="Z_CD2BF927_9D79_47FC_BBA8_927062D6B3F5_.wvu.FilterData">'23.01월'!$B$21:$H$252</definedName>
    <definedName hidden="1" localSheetId="9" name="Z_CD2BF927_9D79_47FC_BBA8_927062D6B3F5_.wvu.FilterData">'23.02월'!$B$21:$H$265</definedName>
    <definedName hidden="1" localSheetId="10" name="Z_CD2BF927_9D79_47FC_BBA8_927062D6B3F5_.wvu.FilterData">'23.03월'!$B$21:$H$265</definedName>
    <definedName hidden="1" localSheetId="11" name="Z_CD2BF927_9D79_47FC_BBA8_927062D6B3F5_.wvu.FilterData">'23.04월'!$B$21:$H$246</definedName>
    <definedName hidden="1" localSheetId="12" name="Z_CD2BF927_9D79_47FC_BBA8_927062D6B3F5_.wvu.FilterData">'23.05월'!$B$21:$H$202</definedName>
    <definedName hidden="1" localSheetId="13" name="Z_CD2BF927_9D79_47FC_BBA8_927062D6B3F5_.wvu.FilterData">'23.06월'!$B$21:$H$206</definedName>
    <definedName hidden="1" localSheetId="14" name="Z_CD2BF927_9D79_47FC_BBA8_927062D6B3F5_.wvu.FilterData">'23.07월'!$B$21:$H$197</definedName>
    <definedName hidden="1" localSheetId="15" name="Z_CD2BF927_9D79_47FC_BBA8_927062D6B3F5_.wvu.FilterData">'23.08월'!$B$21:$H$180</definedName>
    <definedName hidden="1" localSheetId="16" name="Z_CD2BF927_9D79_47FC_BBA8_927062D6B3F5_.wvu.FilterData">'23.09월'!$B$21:$H$163</definedName>
    <definedName hidden="1" localSheetId="17" name="Z_CD2BF927_9D79_47FC_BBA8_927062D6B3F5_.wvu.FilterData">'23.10월'!$B$21:$H$157</definedName>
    <definedName hidden="1" localSheetId="18" name="Z_CD2BF927_9D79_47FC_BBA8_927062D6B3F5_.wvu.FilterData">'23.11월'!$B$21:$H$159</definedName>
    <definedName hidden="1" localSheetId="19" name="Z_CD2BF927_9D79_47FC_BBA8_927062D6B3F5_.wvu.FilterData">'23.12월'!$B$21:$H$151</definedName>
    <definedName hidden="1" localSheetId="20" name="Z_CD2BF927_9D79_47FC_BBA8_927062D6B3F5_.wvu.FilterData">'24.01월'!$B$24:$H$150</definedName>
    <definedName hidden="1" localSheetId="21" name="Z_CD2BF927_9D79_47FC_BBA8_927062D6B3F5_.wvu.FilterData">'24.02월'!$B$24:$H$154</definedName>
    <definedName hidden="1" localSheetId="22" name="Z_CD2BF927_9D79_47FC_BBA8_927062D6B3F5_.wvu.FilterData">'24.03월'!$B$24:$H$162</definedName>
    <definedName hidden="1" localSheetId="23" name="Z_CD2BF927_9D79_47FC_BBA8_927062D6B3F5_.wvu.FilterData">'24.04월'!$B$24:$H$161</definedName>
    <definedName hidden="1" localSheetId="24" name="Z_CD2BF927_9D79_47FC_BBA8_927062D6B3F5_.wvu.FilterData">'24.05월'!$B$24:$H$153</definedName>
    <definedName hidden="1" localSheetId="25" name="Z_CD2BF927_9D79_47FC_BBA8_927062D6B3F5_.wvu.FilterData">'24.06월'!$B$24:$H$152</definedName>
    <definedName hidden="1" localSheetId="26" name="Z_CD2BF927_9D79_47FC_BBA8_927062D6B3F5_.wvu.FilterData">'24.07월'!$B$24:$H$128</definedName>
    <definedName hidden="1" localSheetId="27" name="Z_CD2BF927_9D79_47FC_BBA8_927062D6B3F5_.wvu.FilterData">'24.08월'!$B$24:$H$131</definedName>
    <definedName hidden="1" localSheetId="28" name="Z_CD2BF927_9D79_47FC_BBA8_927062D6B3F5_.wvu.FilterData">'24.09월'!$B$24:$H$139</definedName>
    <definedName hidden="1" localSheetId="29" name="Z_CD2BF927_9D79_47FC_BBA8_927062D6B3F5_.wvu.FilterData">'24.10월'!$B$24:$H$141</definedName>
    <definedName hidden="1" localSheetId="30" name="Z_CD2BF927_9D79_47FC_BBA8_927062D6B3F5_.wvu.FilterData">'24.11월'!$B$24:$H$132</definedName>
    <definedName hidden="1" localSheetId="31" name="Z_CD2BF927_9D79_47FC_BBA8_927062D6B3F5_.wvu.FilterData">'24.12월'!$B$24:$H$138</definedName>
    <definedName hidden="1" localSheetId="32" name="Z_CD2BF927_9D79_47FC_BBA8_927062D6B3F5_.wvu.FilterData">'25.01월'!$B$24:$H$126</definedName>
    <definedName hidden="1" localSheetId="33" name="Z_CD2BF927_9D79_47FC_BBA8_927062D6B3F5_.wvu.FilterData">'25.02월'!$B$24:$H$125</definedName>
    <definedName hidden="1" localSheetId="34" name="Z_CD2BF927_9D79_47FC_BBA8_927062D6B3F5_.wvu.FilterData">'25.03월'!$B$24:$H$154</definedName>
    <definedName hidden="1" localSheetId="35" name="Z_CD2BF927_9D79_47FC_BBA8_927062D6B3F5_.wvu.FilterData">'25.04월'!$B$24:$H$146</definedName>
    <definedName hidden="1" localSheetId="36" name="Z_CD2BF927_9D79_47FC_BBA8_927062D6B3F5_.wvu.FilterData">'25.05월'!$B$24:$H$108</definedName>
    <definedName hidden="1" localSheetId="37" name="Z_CD2BF927_9D79_47FC_BBA8_927062D6B3F5_.wvu.FilterData">'25.06월'!$B$24:$H$110</definedName>
    <definedName hidden="1" localSheetId="38" name="Z_CD2BF927_9D79_47FC_BBA8_927062D6B3F5_.wvu.FilterData">'25.07월'!$B$24:$H$115</definedName>
    <definedName hidden="1" localSheetId="39" name="Z_CD2BF927_9D79_47FC_BBA8_927062D6B3F5_.wvu.FilterData">'25.08월'!$B$24:$H$112</definedName>
    <definedName hidden="1" localSheetId="40" name="Z_CD2BF927_9D79_47FC_BBA8_927062D6B3F5_.wvu.FilterData">'25.09월'!$B$24:$H$156</definedName>
    <definedName hidden="1" localSheetId="41" name="Z_CD2BF927_9D79_47FC_BBA8_927062D6B3F5_.wvu.FilterData">'25.10월'!$B$24:$H$183</definedName>
    <definedName hidden="1" localSheetId="42" name="Z_CD2BF927_9D79_47FC_BBA8_927062D6B3F5_.wvu.FilterData">'25.11월'!$B$24:$H$104</definedName>
    <definedName hidden="1" localSheetId="43" name="Z_CD2BF927_9D79_47FC_BBA8_927062D6B3F5_.wvu.FilterData">'25.12월'!$B$24:$H$88</definedName>
    <definedName hidden="1" localSheetId="44" name="Z_CD2BF927_9D79_47FC_BBA8_927062D6B3F5_.wvu.FilterData">'26.01월'!$B$24:$H$97</definedName>
  </definedNames>
  <calcPr/>
  <customWorkbookViews>
    <customWorkbookView activeSheetId="0" maximized="1" windowHeight="0" windowWidth="0" guid="{CD2BF927-9D79-47FC-BBA8-927062D6B3F5}" name="필터 1"/>
  </customWorkbookView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comments1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9">
      <text>
        <t xml:space="preserve">일반계좌</t>
      </text>
    </comment>
    <comment authorId="0" ref="G10">
      <text>
        <t xml:space="preserve">기보보증금</t>
      </text>
    </comment>
  </commentList>
</comments>
</file>

<file path=xl/sharedStrings.xml><?xml version="1.0" encoding="utf-8"?>
<sst xmlns="http://schemas.openxmlformats.org/spreadsheetml/2006/main" count="17601" uniqueCount="2621">
  <si>
    <t>자 금 일 보</t>
  </si>
  <si>
    <t>계정과목</t>
  </si>
  <si>
    <t>설명</t>
  </si>
  <si>
    <t>※ 자금현황</t>
  </si>
  <si>
    <t>복리후생비</t>
  </si>
  <si>
    <t>회식, 식대</t>
  </si>
  <si>
    <t>구 분</t>
  </si>
  <si>
    <t>단위</t>
  </si>
  <si>
    <t>전월잔액</t>
  </si>
  <si>
    <t>수 입</t>
  </si>
  <si>
    <t>지 출</t>
  </si>
  <si>
    <t>기준일 기준 잔액</t>
  </si>
  <si>
    <t>여비교통비</t>
  </si>
  <si>
    <t>출장, 대중교통, 대리운전</t>
  </si>
  <si>
    <t>신한 #672</t>
  </si>
  <si>
    <t>KRW</t>
  </si>
  <si>
    <t>비품</t>
  </si>
  <si>
    <t>가구, 가전등 개당 단가 150만원이 넘는 용품</t>
  </si>
  <si>
    <t>WISE USD</t>
  </si>
  <si>
    <t>USD</t>
  </si>
  <si>
    <t>소모품비</t>
  </si>
  <si>
    <t>비품(150만원)으로 잡기에는 금액이 작은 비품</t>
  </si>
  <si>
    <t>WISE SGD</t>
  </si>
  <si>
    <t>SGD</t>
  </si>
  <si>
    <t>사무용품비</t>
  </si>
  <si>
    <t>비품, 소모품비를 제외한 업무용 사무용품 구입</t>
  </si>
  <si>
    <t>WISE KRW</t>
  </si>
  <si>
    <t>통신비</t>
  </si>
  <si>
    <t>등기, 퀵 사용비</t>
  </si>
  <si>
    <t>접대비</t>
  </si>
  <si>
    <t>외부 미팅</t>
  </si>
  <si>
    <t>세금과공과</t>
  </si>
  <si>
    <t>세금 납부시</t>
  </si>
  <si>
    <t>지급수수료</t>
  </si>
  <si>
    <t>sms 수수료, 송금 수수료, 일반적으로 발생되는 모든 비용</t>
  </si>
  <si>
    <t>KRW 합 계</t>
  </si>
  <si>
    <t>미수금</t>
  </si>
  <si>
    <t>돌려 받을 예정인 금액 (ex. 부가세 환급금)</t>
  </si>
  <si>
    <t>USD 합 계</t>
  </si>
  <si>
    <t>용역비</t>
  </si>
  <si>
    <t>외주용역비</t>
  </si>
  <si>
    <t>급여</t>
  </si>
  <si>
    <t>직원 급여</t>
  </si>
  <si>
    <t>※ 세부내역</t>
  </si>
  <si>
    <t>날 짜</t>
  </si>
  <si>
    <t>은 행 적 요</t>
  </si>
  <si>
    <t>수입</t>
  </si>
  <si>
    <t>지출</t>
  </si>
  <si>
    <t>상세메모</t>
  </si>
  <si>
    <t>2022.05.25 12:29:55</t>
  </si>
  <si>
    <t>신규</t>
  </si>
  <si>
    <t>2022.05.25 12:51:34</t>
  </si>
  <si>
    <t>대체</t>
  </si>
  <si>
    <t>주식(사채)납입</t>
  </si>
  <si>
    <t>2022.05.25 12:55:39</t>
  </si>
  <si>
    <t>2022.05.25 12:56:47</t>
  </si>
  <si>
    <t>2022.05.25 14:48:30</t>
  </si>
  <si>
    <t>BZ뱅크</t>
  </si>
  <si>
    <t>공동인증수수료</t>
  </si>
  <si>
    <t>2022.05.25 15:22:16</t>
  </si>
  <si>
    <t>김석준05월급여</t>
  </si>
  <si>
    <t>2022.05.25 15:22:17</t>
  </si>
  <si>
    <t>전준영05월급여</t>
  </si>
  <si>
    <t>최고은05월급여</t>
  </si>
  <si>
    <t>2022.05.25 15:22:18</t>
  </si>
  <si>
    <t>강진석05월급여</t>
  </si>
  <si>
    <t>고유빈05월급여</t>
  </si>
  <si>
    <t>2022.05.25 15:22:19</t>
  </si>
  <si>
    <t>이태호05월급여</t>
  </si>
  <si>
    <t>2022.05.25 17:03:15</t>
  </si>
  <si>
    <t>개발자맥북구매</t>
  </si>
  <si>
    <t>2022.05.31 15:03:54</t>
  </si>
  <si>
    <t>바트5월개인</t>
  </si>
  <si>
    <t>2022.05.31 15:08:07</t>
  </si>
  <si>
    <t>진04월개인</t>
  </si>
  <si>
    <t>이자수익</t>
  </si>
  <si>
    <t>은행이자</t>
  </si>
  <si>
    <t>서비스용역매출</t>
  </si>
  <si>
    <t>싱가폴 -&gt; 한국 지사 송금</t>
  </si>
  <si>
    <t>2022.06.07 13:53:34</t>
  </si>
  <si>
    <t>05월지방세</t>
  </si>
  <si>
    <t>2022.06.07 13:59:33</t>
  </si>
  <si>
    <t>05사업소득세</t>
  </si>
  <si>
    <t>2022.06.18 02:11:20</t>
  </si>
  <si>
    <t>이자</t>
  </si>
  <si>
    <t>05.25~06.17</t>
  </si>
  <si>
    <t>2022.06.21 15:28:50</t>
  </si>
  <si>
    <t>2022.06.22 00:02:06</t>
  </si>
  <si>
    <t>신한체</t>
  </si>
  <si>
    <t>네꼬</t>
  </si>
  <si>
    <t>2022.06.22 11:00:13</t>
  </si>
  <si>
    <t>타행PC</t>
  </si>
  <si>
    <t>Zero X And</t>
  </si>
  <si>
    <t>2022.06.22 11:57:20</t>
  </si>
  <si>
    <t>로카모빌리티택</t>
  </si>
  <si>
    <t>2022.06.22 16:53:06</t>
  </si>
  <si>
    <t>뚜레쥬르 역삼</t>
  </si>
  <si>
    <t>2022.06.22 18:44:42</t>
  </si>
  <si>
    <t>카카오택시(선</t>
  </si>
  <si>
    <t>2022.06.22 18:44:43</t>
  </si>
  <si>
    <t>2022.06.22 18:59:26</t>
  </si>
  <si>
    <t>카카오페이(택</t>
  </si>
  <si>
    <t>2022.06.22 18:59:27</t>
  </si>
  <si>
    <t>2022.06.22 23:32:05</t>
  </si>
  <si>
    <t>스커트</t>
  </si>
  <si>
    <t>2022.06.23 03:07:44</t>
  </si>
  <si>
    <t>티머니 법인택</t>
  </si>
  <si>
    <t>2022.06.24 14:14:23</t>
  </si>
  <si>
    <t>카페아란</t>
  </si>
  <si>
    <t>2022.06.24 14:19:48</t>
  </si>
  <si>
    <t>06전준영급여</t>
  </si>
  <si>
    <t>2022.06.24 14:37:50</t>
  </si>
  <si>
    <t>김석준</t>
  </si>
  <si>
    <t>최고은</t>
  </si>
  <si>
    <t>2022.06.24 14:37:51</t>
  </si>
  <si>
    <t>강진석</t>
  </si>
  <si>
    <t>고유빈</t>
  </si>
  <si>
    <t>2022.06.24 14:37:52</t>
  </si>
  <si>
    <t>이태호</t>
  </si>
  <si>
    <t>최지현</t>
  </si>
  <si>
    <t>2022.06.24 17:37:39</t>
  </si>
  <si>
    <t>2022.06.24 17:37:40</t>
  </si>
  <si>
    <t>전준영</t>
  </si>
  <si>
    <t>2022.06.26 19:20:02</t>
  </si>
  <si>
    <t>화평동 왕냉면</t>
  </si>
  <si>
    <t>2022.06.27 18:48:55</t>
  </si>
  <si>
    <t>다채로움 월남</t>
  </si>
  <si>
    <t>2022.06.27 21:56:39</t>
  </si>
  <si>
    <t>주식회사 드래</t>
  </si>
  <si>
    <t>2022.06.28 14:14:49</t>
  </si>
  <si>
    <t>뚜레쥬르카페</t>
  </si>
  <si>
    <t>2022.06.28 14:27:09</t>
  </si>
  <si>
    <t>STARBUCKS COFF</t>
  </si>
  <si>
    <t>2022.06.28 18:29:06</t>
  </si>
  <si>
    <t>스마트로(비)</t>
  </si>
  <si>
    <t>2022.06.28 20:33:52</t>
  </si>
  <si>
    <t>BEP NHA LUC TI</t>
  </si>
  <si>
    <t>2022.06.28 23:23:33</t>
  </si>
  <si>
    <t>MPOS*SEEFAHRER</t>
  </si>
  <si>
    <t>2022.06.29 11:44:32</t>
  </si>
  <si>
    <t>HKD THE LUX</t>
  </si>
  <si>
    <t>2022.06.29 12:30:52</t>
  </si>
  <si>
    <t>주식회사 웰리(광고대행비)</t>
  </si>
  <si>
    <t>2022.06.29 12:36:58</t>
  </si>
  <si>
    <t>STARBUCKS ME L</t>
  </si>
  <si>
    <t>2022.06.29 13:36:49</t>
  </si>
  <si>
    <t>투썸플레이스</t>
  </si>
  <si>
    <t>2022.06.29 16:41:32</t>
  </si>
  <si>
    <t>GODMOTHER DONG</t>
  </si>
  <si>
    <t>2022.06.29 17:47:02</t>
  </si>
  <si>
    <t>CAFE KATINAT</t>
  </si>
  <si>
    <t>2022.06.30 12:10:33</t>
  </si>
  <si>
    <t>VINMEC SAIGON-</t>
  </si>
  <si>
    <t>2022.06.30 12:29:46</t>
  </si>
  <si>
    <t>STARBUCKS LAND</t>
  </si>
  <si>
    <t>2022.06.30 13:10:16</t>
  </si>
  <si>
    <t>ARYA CONSUMER</t>
  </si>
  <si>
    <t>2022.06.30 15:19:01</t>
  </si>
  <si>
    <t>BORNGA-LANDMAR</t>
  </si>
  <si>
    <t>2022.06.30 18:00:05</t>
  </si>
  <si>
    <t>에이든청담호텔</t>
  </si>
  <si>
    <t>2022.06.30 19:38:41</t>
  </si>
  <si>
    <t>CN KUMHO-CTY T</t>
  </si>
  <si>
    <t>2022.06.30 20:29:23</t>
  </si>
  <si>
    <t>신칠성집</t>
  </si>
  <si>
    <t>2022.06.30 22:29:16</t>
  </si>
  <si>
    <t>MPOS*MABU KKO</t>
  </si>
  <si>
    <t>2022.06.30 23:20:29</t>
  </si>
  <si>
    <t>우미 호타루</t>
  </si>
  <si>
    <t>임차보증금</t>
  </si>
  <si>
    <t>보증금</t>
  </si>
  <si>
    <t>2022.07.01 00:29:33</t>
  </si>
  <si>
    <t>택시_우티택시_</t>
  </si>
  <si>
    <t>2022.07.01 00:29:46</t>
  </si>
  <si>
    <t>2022.07.01 00:29:49</t>
  </si>
  <si>
    <t>2022.07.01 00:36:22</t>
  </si>
  <si>
    <t>2022.07.01 00:38:33</t>
  </si>
  <si>
    <t>2022.07.01 00:38:34</t>
  </si>
  <si>
    <t>2022.07.01 00:56:14</t>
  </si>
  <si>
    <t>2022.07.01 00:56:15</t>
  </si>
  <si>
    <t>2022.07.01 01:24:58</t>
  </si>
  <si>
    <t>MPOS*CONCEPT</t>
  </si>
  <si>
    <t>2022.07.01 14:19:05</t>
  </si>
  <si>
    <t>TASTE OF SAIGO</t>
  </si>
  <si>
    <t>2022.07.01 14:24:43</t>
  </si>
  <si>
    <t>TCH - 1011815</t>
  </si>
  <si>
    <t>2022.07.01 15:53:27</t>
  </si>
  <si>
    <t>2022.07.01 21:52:03</t>
  </si>
  <si>
    <t>SASCO-G19D10</t>
  </si>
  <si>
    <t>2022.07.02 08:39:32</t>
  </si>
  <si>
    <t>인천국제공항공</t>
  </si>
  <si>
    <t>2022.07.03 13:13:13</t>
  </si>
  <si>
    <t>카카오택시 선</t>
  </si>
  <si>
    <t>2022.07.03 13:13:14</t>
  </si>
  <si>
    <t>2022.07.03 13:35:27</t>
  </si>
  <si>
    <t>카카오개인택시</t>
  </si>
  <si>
    <t>2022.07.04 13:50:05</t>
  </si>
  <si>
    <t>소담칼국수</t>
  </si>
  <si>
    <t>2022.07.04 17:40:02</t>
  </si>
  <si>
    <t>BZ공과</t>
  </si>
  <si>
    <t>국세납부</t>
  </si>
  <si>
    <t>2022.07.04 17:44:54</t>
  </si>
  <si>
    <t>서울시지방세</t>
  </si>
  <si>
    <t>2022.07.04 18:18:23</t>
  </si>
  <si>
    <t>2022.07.05 12:52:31</t>
  </si>
  <si>
    <t>투썸플레이스(</t>
  </si>
  <si>
    <t>2022.07.05 14:44:46</t>
  </si>
  <si>
    <t>올드타운한양</t>
  </si>
  <si>
    <t>2022.07.05 17:10:19</t>
  </si>
  <si>
    <t>폴바셋 GFC</t>
  </si>
  <si>
    <t>2022.07.05 18:04:19</t>
  </si>
  <si>
    <t>카드결</t>
  </si>
  <si>
    <t>CENTRAL SG RIV</t>
  </si>
  <si>
    <t>2022.07.05 21:53:29</t>
  </si>
  <si>
    <t>큰물참치(강남</t>
  </si>
  <si>
    <t>2022.07.06 01:20:31</t>
  </si>
  <si>
    <t>2022.07.06 02:42:23</t>
  </si>
  <si>
    <t>2022.07.06 02:42:24</t>
  </si>
  <si>
    <t>2022.07.06 03:11:25</t>
  </si>
  <si>
    <t>2022.07.06 15:23:51</t>
  </si>
  <si>
    <t>유한회사 카페</t>
  </si>
  <si>
    <t>2022.07.06 16:47:32</t>
  </si>
  <si>
    <t>2022.07.06 16:52:47</t>
  </si>
  <si>
    <t>KCP-결제</t>
  </si>
  <si>
    <t>2022.07.07 15:06:46</t>
  </si>
  <si>
    <t>HELLOSIGN YEAR</t>
  </si>
  <si>
    <t>2022.07.07 18:58:01</t>
  </si>
  <si>
    <t>폴트버거 판교</t>
  </si>
  <si>
    <t>2022.07.07 21:31:06</t>
  </si>
  <si>
    <t>카카오 T 주차</t>
  </si>
  <si>
    <t>2022.07.11 07:03:22</t>
  </si>
  <si>
    <t>의보</t>
  </si>
  <si>
    <t>2206국민건강</t>
  </si>
  <si>
    <t>2022.07.11 07:04:02</t>
  </si>
  <si>
    <t>보험료</t>
  </si>
  <si>
    <t>2206고용보험</t>
  </si>
  <si>
    <t>2022.07.11 07:04:37</t>
  </si>
  <si>
    <t>연금</t>
  </si>
  <si>
    <t>2206국민연금</t>
  </si>
  <si>
    <t>2022.07.11 07:04:39</t>
  </si>
  <si>
    <t>2206산재보험</t>
  </si>
  <si>
    <t>2022.07.11 16:12:41</t>
  </si>
  <si>
    <t>더보이</t>
  </si>
  <si>
    <t>2022.07.11 20:29:31</t>
  </si>
  <si>
    <t>사무실보증금</t>
  </si>
  <si>
    <t>2022.07.12 21:44:11</t>
  </si>
  <si>
    <t>2022.07.12 22:04:52</t>
  </si>
  <si>
    <t>카카오법인택시</t>
  </si>
  <si>
    <t>2022.07.13 02:44:13</t>
  </si>
  <si>
    <t>2022.07.13 03:16:15</t>
  </si>
  <si>
    <t>2022.07.13 12:10:25</t>
  </si>
  <si>
    <t>에이씨알 판교</t>
  </si>
  <si>
    <t>2022.07.13 13:29:31</t>
  </si>
  <si>
    <t>2022.07.13 15:39:11</t>
  </si>
  <si>
    <t>에잇이얼스(8Ye</t>
  </si>
  <si>
    <t>2022.07.13 22:31:12</t>
  </si>
  <si>
    <t>카카오T대리</t>
  </si>
  <si>
    <t>2022.07.14 03:49:09</t>
  </si>
  <si>
    <t>2022.07.14 11:00:13</t>
  </si>
  <si>
    <t>2022.07.14 14:09:07</t>
  </si>
  <si>
    <t>데이롱 카페 평</t>
  </si>
  <si>
    <t>2022.07.14 15:15:39</t>
  </si>
  <si>
    <t>2022.07.14 15:35:35</t>
  </si>
  <si>
    <t>로카모빌리티_</t>
  </si>
  <si>
    <t>2022.07.14 15:38:00</t>
  </si>
  <si>
    <t>2022.07.14 21:12:25</t>
  </si>
  <si>
    <t>디히랑</t>
  </si>
  <si>
    <t>2022.07.15 15:39:21</t>
  </si>
  <si>
    <t>본점이전등기</t>
  </si>
  <si>
    <t>2022.07.15 16:50:44</t>
  </si>
  <si>
    <t>패스트파이브07</t>
  </si>
  <si>
    <t>2022.07.18 13:42:14</t>
  </si>
  <si>
    <t>흥부이가</t>
  </si>
  <si>
    <t>2022.07.18 16:20:22</t>
  </si>
  <si>
    <t>G마켓</t>
  </si>
  <si>
    <t>2022.07.18 16:25:17</t>
  </si>
  <si>
    <t>쿠팡(주)</t>
  </si>
  <si>
    <t>2022.07.18 16:49:32</t>
  </si>
  <si>
    <t>네이버파이낸셜</t>
  </si>
  <si>
    <t>2022.07.18 23:24:22</t>
  </si>
  <si>
    <t>2022.07.18 23:45:50</t>
  </si>
  <si>
    <t>2022.07.19 18:37:59</t>
  </si>
  <si>
    <t>FUNSHOP</t>
  </si>
  <si>
    <t>2022.07.19 20:21:02</t>
  </si>
  <si>
    <t>진대감</t>
  </si>
  <si>
    <t>2022.07.20 13:18:48</t>
  </si>
  <si>
    <t>GS25 강남쌍용</t>
  </si>
  <si>
    <t>2022.07.20 17:15:01</t>
  </si>
  <si>
    <t>쿠팡</t>
  </si>
  <si>
    <t>2022.07.20 18:45:31</t>
  </si>
  <si>
    <t>2022.07.20 19:00:41</t>
  </si>
  <si>
    <t>2022.07.21 11:24:12</t>
  </si>
  <si>
    <t>씨유 샛별한양</t>
  </si>
  <si>
    <t>2022.07.21 14:00:06</t>
  </si>
  <si>
    <t>2022.07.21 16:14:41</t>
  </si>
  <si>
    <t>라츠3</t>
  </si>
  <si>
    <t>2022.07.21 17:15:26</t>
  </si>
  <si>
    <t>블록체인위크</t>
  </si>
  <si>
    <t>2022.07.22 11:36:06</t>
  </si>
  <si>
    <t>반품택배비</t>
  </si>
  <si>
    <t>2022.07.22 12:17:56</t>
  </si>
  <si>
    <t>2022.07.22 12:17:57</t>
  </si>
  <si>
    <t>2022.07.22 12:31:07</t>
  </si>
  <si>
    <t>2022.07.22 13:00:13</t>
  </si>
  <si>
    <t>단편</t>
  </si>
  <si>
    <t>2022.07.22 14:17:05</t>
  </si>
  <si>
    <t>티머니 개인택</t>
  </si>
  <si>
    <t>2022.07.22 15:31:37</t>
  </si>
  <si>
    <t>2022.07.22 15:31:38</t>
  </si>
  <si>
    <t>2022.07.22 15:55:33</t>
  </si>
  <si>
    <t>2022.07.22 21:10:10</t>
  </si>
  <si>
    <t>화통삼(포일동</t>
  </si>
  <si>
    <t>2022.07.25 06:01:58</t>
  </si>
  <si>
    <t>07전준영급여</t>
  </si>
  <si>
    <t>2022.07.25 06:01:59</t>
  </si>
  <si>
    <t>07김석준급여</t>
  </si>
  <si>
    <t>07최고은급여</t>
  </si>
  <si>
    <t>2022.07.25 06:02:00</t>
  </si>
  <si>
    <t>07강진석급여</t>
  </si>
  <si>
    <t>2022.07.25 06:02:01</t>
  </si>
  <si>
    <t>07고유빈급여</t>
  </si>
  <si>
    <t>07이태호급여</t>
  </si>
  <si>
    <t>2022.07.25 06:02:02</t>
  </si>
  <si>
    <t>07최지현급여</t>
  </si>
  <si>
    <t>2022.07.25 10:05:57</t>
  </si>
  <si>
    <t>프리랜스엄수근</t>
  </si>
  <si>
    <t>프리랜스송선기</t>
  </si>
  <si>
    <t>2022.07.25 10:05:58</t>
  </si>
  <si>
    <t>프리랜스한현선</t>
  </si>
  <si>
    <t>2022.07.25 15:20:46</t>
  </si>
  <si>
    <t>베트남설립</t>
  </si>
  <si>
    <t>2022.07.25 15:28:29</t>
  </si>
  <si>
    <t>07고니개인비용</t>
  </si>
  <si>
    <t>2022.07.25 15:30:41</t>
  </si>
  <si>
    <t>07개인비용-진</t>
  </si>
  <si>
    <t>2022.07.25 15:33:58</t>
  </si>
  <si>
    <t>07개인비용바트</t>
  </si>
  <si>
    <t>2022.07.25 15:37:38</t>
  </si>
  <si>
    <t>07개인비용코비</t>
  </si>
  <si>
    <t>2022.07.25 19:46:12</t>
  </si>
  <si>
    <t>모니터 반품비</t>
  </si>
  <si>
    <t>2022.07.26 14:36:26</t>
  </si>
  <si>
    <t>이니시스-정기</t>
  </si>
  <si>
    <t>2022.07.26 15:57:03</t>
  </si>
  <si>
    <t>2022.07.26 15:57:08</t>
  </si>
  <si>
    <t>2022.07.26 16:01:45</t>
  </si>
  <si>
    <t>2022.07.26 16:38:13</t>
  </si>
  <si>
    <t>법률자문료</t>
  </si>
  <si>
    <t>2022.07.26 17:24:48</t>
  </si>
  <si>
    <t>AK인터넷쇼핑몰</t>
  </si>
  <si>
    <t>2022.07.26 18:49:13</t>
  </si>
  <si>
    <t>FB이체</t>
  </si>
  <si>
    <t>2022.07.26 20:02:38</t>
  </si>
  <si>
    <t>2022.07.26 20:02:39</t>
  </si>
  <si>
    <t>2022.07.26 20:44:34</t>
  </si>
  <si>
    <t>2022.07.27 13:01:40</t>
  </si>
  <si>
    <t>하르방두부고을</t>
  </si>
  <si>
    <t>2022.07.27 13:11:25</t>
  </si>
  <si>
    <t>카페2AM</t>
  </si>
  <si>
    <t>2022.07.27 17:57:59</t>
  </si>
  <si>
    <t>컴퓨터구매</t>
  </si>
  <si>
    <t>2022.07.28 11:34:06</t>
  </si>
  <si>
    <t>ZOOM.US 888-79</t>
  </si>
  <si>
    <t>2022.07.28 14:10:17</t>
  </si>
  <si>
    <t>교대이층집 강</t>
  </si>
  <si>
    <t>2022.07.28 14:44:55</t>
  </si>
  <si>
    <t>2022.07.28 14:47:47</t>
  </si>
  <si>
    <t>2022.07.28 14:53:55</t>
  </si>
  <si>
    <t>2022.07.28 16:31:16</t>
  </si>
  <si>
    <t>2022.07.28 16:31:17</t>
  </si>
  <si>
    <t>2022.07.28 16:51:55</t>
  </si>
  <si>
    <t>2022.07.28 16:58:47</t>
  </si>
  <si>
    <t>(주)섹타나인</t>
  </si>
  <si>
    <t>2022.07.28 17:17:16</t>
  </si>
  <si>
    <t>2022.07.29 02:28:58</t>
  </si>
  <si>
    <t>2022.07.29 02:48:40</t>
  </si>
  <si>
    <t>2022.07.29 02:48:41</t>
  </si>
  <si>
    <t>2022.07.30 11:56:59</t>
  </si>
  <si>
    <t>패파8월임대료</t>
  </si>
  <si>
    <t>2022.07.30 21:21:53</t>
  </si>
  <si>
    <t>주식회사하녹청</t>
  </si>
  <si>
    <t>2022.08.01</t>
  </si>
  <si>
    <t>황해도찹쌀순대</t>
  </si>
  <si>
    <t>일반음식점 - 황해도찹쌀순대</t>
  </si>
  <si>
    <t>(주)부자되세요</t>
  </si>
  <si>
    <t>일반음식점 - 창고43 강남점</t>
  </si>
  <si>
    <t>택시비</t>
  </si>
  <si>
    <t>(주)해담채강남</t>
  </si>
  <si>
    <t>일반음식점 - 해담채강남점</t>
  </si>
  <si>
    <t>일반음식점 - 해담채강남점 (할인위해 취소함)</t>
  </si>
  <si>
    <t>일반음식점 - 해담채강남점 (할인가로 재결제)</t>
  </si>
  <si>
    <t>짬뽕지존 역삼</t>
  </si>
  <si>
    <t>일반음식점 - 짬뽕지존 역삼점</t>
  </si>
  <si>
    <t>2022.08.02</t>
  </si>
  <si>
    <t>신동궁감자탕뼈</t>
  </si>
  <si>
    <t>일반음식점 - 신동궁감자탕</t>
  </si>
  <si>
    <t>대리비</t>
  </si>
  <si>
    <t>2022.08.03</t>
  </si>
  <si>
    <t>(주)학산 테라</t>
  </si>
  <si>
    <t>일반음식점 - 테라로사커피 포스코센터점</t>
  </si>
  <si>
    <t>패파 프린터이용</t>
  </si>
  <si>
    <t>07소득세</t>
  </si>
  <si>
    <t>07월 소득세 지급</t>
  </si>
  <si>
    <t>07주민세</t>
  </si>
  <si>
    <t>07월 주민세 지급</t>
  </si>
  <si>
    <t>비즈니스지원단</t>
  </si>
  <si>
    <t>비즈니스지원단 기업부담금지급</t>
  </si>
  <si>
    <t>2022.08.04</t>
  </si>
  <si>
    <t>웅성웅성</t>
  </si>
  <si>
    <t>일반음식점 - 웅성웅성</t>
  </si>
  <si>
    <t>제주물회야시장</t>
  </si>
  <si>
    <t>일반음식점 - 제주물회야시장</t>
  </si>
  <si>
    <t>티셔츠제작비</t>
  </si>
  <si>
    <t>행사용 티셔츠 제작비</t>
  </si>
  <si>
    <t>2022.08.05</t>
  </si>
  <si>
    <t>역삼세무서</t>
  </si>
  <si>
    <t>환급금</t>
  </si>
  <si>
    <t>명함제작비</t>
  </si>
  <si>
    <t>명함통- 명함제작비</t>
  </si>
  <si>
    <t>2022.08.08</t>
  </si>
  <si>
    <t>명함통 - 명함제작비 (추가금:별색)</t>
  </si>
  <si>
    <t>인천-&gt;호치민</t>
  </si>
  <si>
    <t>비행기표 - 인천-&gt;호치민</t>
  </si>
  <si>
    <t>호치민-&gt;인천</t>
  </si>
  <si>
    <t>비행기표 - 호치민-&gt;인천</t>
  </si>
  <si>
    <t>채선당 사계리</t>
  </si>
  <si>
    <t>일반음식점 - 채선당 사계리점</t>
  </si>
  <si>
    <t>2022.08.09</t>
  </si>
  <si>
    <t>이슬님컴퓨터</t>
  </si>
  <si>
    <t>신규입사자 컴퓨터 구매 - 이슬님</t>
  </si>
  <si>
    <t>한무쇼핑(주)무</t>
  </si>
  <si>
    <t>현대백화점 무역센터점 - 식품관</t>
  </si>
  <si>
    <t>2022.08.10</t>
  </si>
  <si>
    <t>2207국민건강</t>
  </si>
  <si>
    <t>202207국민건강</t>
  </si>
  <si>
    <t>2207국민연금</t>
  </si>
  <si>
    <t>202207국민연금</t>
  </si>
  <si>
    <t>2207고용보험</t>
  </si>
  <si>
    <t>202207고용보험</t>
  </si>
  <si>
    <t>2207산재보험</t>
  </si>
  <si>
    <t>202207산재보험</t>
  </si>
  <si>
    <t>잔고증명영사</t>
  </si>
  <si>
    <t>잔고증명서 영사인증 진행비 (위드문)</t>
  </si>
  <si>
    <t>문용준</t>
  </si>
  <si>
    <t>잔고증명서 영사인증 진행비 부가세 (위드문)</t>
  </si>
  <si>
    <t>일반음식점 - 올드타운한양</t>
  </si>
  <si>
    <t>4인명함제작</t>
  </si>
  <si>
    <t>2022.08.11</t>
  </si>
  <si>
    <t>카페비아라테</t>
  </si>
  <si>
    <t>일반음식점 - 카페비아라테</t>
  </si>
  <si>
    <t>명함별색추가</t>
  </si>
  <si>
    <t>명함제작비 (별색추가금)</t>
  </si>
  <si>
    <t>2022.08.13</t>
  </si>
  <si>
    <t>신화회포차</t>
  </si>
  <si>
    <t>일반음식점 - 신화회포차</t>
  </si>
  <si>
    <t>2022.08.16</t>
  </si>
  <si>
    <t>안녕숯불</t>
  </si>
  <si>
    <t>일반음식점 - 안녕숯불</t>
  </si>
  <si>
    <t>(주) 학산 테라</t>
  </si>
  <si>
    <t>일반음식점 - 테라로사 학산점</t>
  </si>
  <si>
    <t>심가네칼국수</t>
  </si>
  <si>
    <t>일반음식점 - 심가네칼국수</t>
  </si>
  <si>
    <t>2022.08.17</t>
  </si>
  <si>
    <t>토말</t>
  </si>
  <si>
    <t>일반음식점 - 토말 본점</t>
  </si>
  <si>
    <t>주식회사 에스</t>
  </si>
  <si>
    <t>일반음식점 - 신세계계열사</t>
  </si>
  <si>
    <t>2022.08.18</t>
  </si>
  <si>
    <t>2022.08.19</t>
  </si>
  <si>
    <t>kcp.co.kr</t>
  </si>
  <si>
    <t>택시비 (우티택시)</t>
  </si>
  <si>
    <t>2022.08.22</t>
  </si>
  <si>
    <t>명함급송비용</t>
  </si>
  <si>
    <t>명함 제작비용 (따미)</t>
  </si>
  <si>
    <t>베트남출장여비</t>
  </si>
  <si>
    <t>베트남 출장여비 (환전 사용)</t>
  </si>
  <si>
    <t>캔버스</t>
  </si>
  <si>
    <t>일반음식점 - 더 캔버스 제주</t>
  </si>
  <si>
    <t>통영집</t>
  </si>
  <si>
    <t>일반음식점 - 통영집</t>
  </si>
  <si>
    <t>2022.08.23</t>
  </si>
  <si>
    <t>오레노</t>
  </si>
  <si>
    <t>일반음식점 - 오레노라멘 강남점</t>
  </si>
  <si>
    <t>2022.08.25</t>
  </si>
  <si>
    <t>08김석준급여</t>
  </si>
  <si>
    <t>08월 급여</t>
  </si>
  <si>
    <t>08전준영급여</t>
  </si>
  <si>
    <t>08최고은급여</t>
  </si>
  <si>
    <t>08고유빈급여</t>
  </si>
  <si>
    <t>08강진석급여</t>
  </si>
  <si>
    <t>08최지현급여</t>
  </si>
  <si>
    <t>08이태호급여</t>
  </si>
  <si>
    <t>08황정원급여</t>
  </si>
  <si>
    <t>08이이슬급여</t>
  </si>
  <si>
    <t>08권우철급여</t>
  </si>
  <si>
    <t>(주)신세계프라</t>
  </si>
  <si>
    <t>일반음식점 - 신세계백화점</t>
  </si>
  <si>
    <t>삼덕회계법인</t>
  </si>
  <si>
    <t>삼덕회계 기장대리 비용</t>
  </si>
  <si>
    <t>2022.08.29</t>
  </si>
  <si>
    <t>주식회사 아성</t>
  </si>
  <si>
    <t>다이소 - 사무용품 구매</t>
  </si>
  <si>
    <t>2022.08.30</t>
  </si>
  <si>
    <t>추선선물구매건</t>
  </si>
  <si>
    <t>임직원 추석 선물 구매 건</t>
  </si>
  <si>
    <t>추석선물구매건</t>
  </si>
  <si>
    <t>09월사무실이용</t>
  </si>
  <si>
    <t>사무실 월세</t>
  </si>
  <si>
    <t>Nord Group</t>
  </si>
  <si>
    <t>Equity firm investment (?)</t>
  </si>
  <si>
    <t>Airbnb * Hmzy2m29p3</t>
  </si>
  <si>
    <t>베트남 출장 숙소비</t>
  </si>
  <si>
    <t xml:space="preserve">Google  </t>
  </si>
  <si>
    <t>-</t>
  </si>
  <si>
    <t>Google 사용료</t>
  </si>
  <si>
    <t>Google Cloud Wdnv9w</t>
  </si>
  <si>
    <t>Google Cloud 사용료</t>
  </si>
  <si>
    <t>2022.08.15</t>
  </si>
  <si>
    <t>Google* Cloud Fjj4q8</t>
  </si>
  <si>
    <t>EBOS SG PTE LTD</t>
  </si>
  <si>
    <t>EBOS 어카운팅 서비스</t>
  </si>
  <si>
    <t>2022.08.21</t>
  </si>
  <si>
    <t>Google* Cloud 92jszv</t>
  </si>
  <si>
    <t>Grab</t>
  </si>
  <si>
    <t>베트남 택시비</t>
  </si>
  <si>
    <t>2022.08.24</t>
  </si>
  <si>
    <t>Tran Nguyen Ngoc Tam</t>
  </si>
  <si>
    <t>08월 급여 - 해외직원 - 따미</t>
  </si>
  <si>
    <t>08월 개인비용 정산 - 해외직원 - 따미</t>
  </si>
  <si>
    <t>2022.08.26</t>
  </si>
  <si>
    <t>2022.08.27</t>
  </si>
  <si>
    <t>2022.08.28</t>
  </si>
  <si>
    <t>Google*Cloud N95xl7</t>
  </si>
  <si>
    <t>Slack T02tfdseum8</t>
  </si>
  <si>
    <t>Slack 사용료</t>
  </si>
  <si>
    <r>
      <rPr>
        <rFont val="NanumGothic"/>
        <sz val="10.0"/>
      </rPr>
      <t xml:space="preserve">Google </t>
    </r>
    <r>
      <rPr>
        <rFont val="NanumGothic"/>
        <color rgb="FF1155CC"/>
        <sz val="10.0"/>
        <u/>
      </rPr>
      <t>Gsuite_0xtribe.com</t>
    </r>
  </si>
  <si>
    <t>Gsuite 사용료</t>
  </si>
  <si>
    <r>
      <rPr>
        <rFont val="NanumGothic"/>
        <color rgb="FF1155CC"/>
        <sz val="10.0"/>
        <u/>
      </rPr>
      <t>Name-Cheap.com</t>
    </r>
    <r>
      <rPr>
        <rFont val="NanumGothic"/>
        <sz val="10.0"/>
      </rPr>
      <t>*Xfz8k</t>
    </r>
  </si>
  <si>
    <t>도메인 구입비</t>
  </si>
  <si>
    <t>Notion Labs, Inc</t>
  </si>
  <si>
    <t>Notion 사용료</t>
  </si>
  <si>
    <t>2022.08.14</t>
  </si>
  <si>
    <t>Postmarkapp.com</t>
  </si>
  <si>
    <t>개발 이메일 딜리버리 서비스</t>
  </si>
  <si>
    <r>
      <rPr>
        <rFont val="NanumGothic"/>
        <color rgb="FF1155CC"/>
        <sz val="10.0"/>
        <u/>
      </rPr>
      <t>Name-Cheap.com</t>
    </r>
    <r>
      <rPr>
        <rFont val="NanumGothic"/>
        <sz val="10.0"/>
      </rPr>
      <t>*Vmisqn</t>
    </r>
  </si>
  <si>
    <t>도메인 사용료</t>
  </si>
  <si>
    <t>Nguyen Duc Hieu Thao</t>
  </si>
  <si>
    <t>베트남 길드 외주용역비</t>
  </si>
  <si>
    <t>Jezza Mae L. Asencio</t>
  </si>
  <si>
    <t>08월 급여 - 해외직원 - 에이스</t>
  </si>
  <si>
    <t>기준일: 2022.09.30</t>
  </si>
  <si>
    <t>신한 #543</t>
  </si>
  <si>
    <t>하나 #304</t>
  </si>
  <si>
    <t>하나 #138</t>
  </si>
  <si>
    <t>광고매출</t>
  </si>
  <si>
    <t>타법인 매출</t>
  </si>
  <si>
    <t>보통예금</t>
  </si>
  <si>
    <t>예금간 이체</t>
  </si>
  <si>
    <t>2022.09.23</t>
  </si>
  <si>
    <t>FTX DIGITAL MA</t>
  </si>
  <si>
    <t>싱가폴 법인 - 마케팅 대행비 입금</t>
  </si>
  <si>
    <t>2022.09.02</t>
  </si>
  <si>
    <t>진심 왕돈까스</t>
  </si>
  <si>
    <t>일반음식점 - 진심 왕돈까스</t>
  </si>
  <si>
    <t>08개인비용Baht</t>
  </si>
  <si>
    <t>2022.08월 바트 개인비용정산</t>
  </si>
  <si>
    <t>08개인비용-Gon</t>
  </si>
  <si>
    <t>2022.08월 고니 개인비용정산</t>
  </si>
  <si>
    <t>08개인비용-Jin</t>
  </si>
  <si>
    <t>2022.08월 진 개인비용정산</t>
  </si>
  <si>
    <t>08월법률자문료</t>
  </si>
  <si>
    <t>2022.08월 비앤케이 법률자문료</t>
  </si>
  <si>
    <t>2022.09.02 19:01:51</t>
  </si>
  <si>
    <t>두나무주</t>
  </si>
  <si>
    <t>UDC2022 티켓 구매 (2장 - 펠릭스,아이작)</t>
  </si>
  <si>
    <t>2022.09.05 12:09:07</t>
  </si>
  <si>
    <t>한국철도공사 (</t>
  </si>
  <si>
    <t>UDC2022 출장 - 기차표</t>
  </si>
  <si>
    <t>2022.09.05 12:20:03</t>
  </si>
  <si>
    <t>SR</t>
  </si>
  <si>
    <t>UDC2022출장 - 기차표</t>
  </si>
  <si>
    <t>2022.08월 코빈 개인비용정산</t>
  </si>
  <si>
    <t>2022.09.06</t>
  </si>
  <si>
    <t>법원행정처</t>
  </si>
  <si>
    <t>09소득세</t>
  </si>
  <si>
    <t>2022.09월 소득세</t>
  </si>
  <si>
    <t>09주민세</t>
  </si>
  <si>
    <t>2022.09월 주민세</t>
  </si>
  <si>
    <t>2022.09.07</t>
  </si>
  <si>
    <t>진_축하금</t>
  </si>
  <si>
    <t>진 배우자 출산 축하금</t>
  </si>
  <si>
    <t>2022.09.13</t>
  </si>
  <si>
    <t>2208국민건강</t>
  </si>
  <si>
    <t>2022.08 국민건강</t>
  </si>
  <si>
    <t>2208국민연금</t>
  </si>
  <si>
    <t>2022.08 국민연금</t>
  </si>
  <si>
    <t>2208고용보험</t>
  </si>
  <si>
    <t>2022.08 고용보험</t>
  </si>
  <si>
    <t>2208산재보험</t>
  </si>
  <si>
    <t>2022.08 산재보험</t>
  </si>
  <si>
    <t>2022.09.15</t>
  </si>
  <si>
    <t>코스콤</t>
  </si>
  <si>
    <t>법인 범용 공인인증서 발급</t>
  </si>
  <si>
    <t>2022.09.16</t>
  </si>
  <si>
    <t>노무법인청안</t>
  </si>
  <si>
    <t>노무법인 청안 컨설팅료</t>
  </si>
  <si>
    <t>2022.09.17</t>
  </si>
  <si>
    <t>06.18~09.16</t>
  </si>
  <si>
    <t>은행 이자</t>
  </si>
  <si>
    <t>2022.09.19</t>
  </si>
  <si>
    <t>08사업소득세</t>
  </si>
  <si>
    <t>2022.08월 사업소득세 지급</t>
  </si>
  <si>
    <t>2022.09.21</t>
  </si>
  <si>
    <t>alma비자발급</t>
  </si>
  <si>
    <t>alma 베트남 비자발급 수수료</t>
  </si>
  <si>
    <t>PAYPAL PTE</t>
  </si>
  <si>
    <t>2022.09.22 10:34:52</t>
  </si>
  <si>
    <t>출장여비경비</t>
  </si>
  <si>
    <t>alma 베트남 출장여비</t>
  </si>
  <si>
    <t>2022.09.22 16:26:31</t>
  </si>
  <si>
    <t>gonnie 싱가폴 출장여비</t>
  </si>
  <si>
    <t>2022.09.26</t>
  </si>
  <si>
    <t>삼덕회계법인 기장비용</t>
  </si>
  <si>
    <t>현대카드(주)</t>
  </si>
  <si>
    <t>현대법인신용카드</t>
  </si>
  <si>
    <t>2022.09.27</t>
  </si>
  <si>
    <t>신규입사자장비</t>
  </si>
  <si>
    <t>신규입사자 장비 구매(향진,에이든)</t>
  </si>
  <si>
    <t>2022.09.30</t>
  </si>
  <si>
    <t>9월사무실임대</t>
  </si>
  <si>
    <t>9월 패파 사무실 임대료</t>
  </si>
  <si>
    <t>2022.09.22</t>
  </si>
  <si>
    <t>주식회사 제로엑스앤드코리아</t>
  </si>
  <si>
    <t>싱가폴 법인에서 송금된 운영비 원화로 환전</t>
  </si>
  <si>
    <t>ZERO X AND PTE. LTD.</t>
  </si>
  <si>
    <t>싱가폴 법인 - 운영비 입금 (USD)</t>
  </si>
  <si>
    <t>2022.09월 급여</t>
  </si>
  <si>
    <t>이이슬</t>
  </si>
  <si>
    <t>07월프리랜스비용-재무자문료</t>
  </si>
  <si>
    <t>싱가폴 법인 - 운영비 환전</t>
  </si>
  <si>
    <t>Google *Cloud 92m3jj</t>
  </si>
  <si>
    <t>2022.09.08</t>
  </si>
  <si>
    <t>Google*Cloud Fcmpkw</t>
  </si>
  <si>
    <t>2022.09.12</t>
  </si>
  <si>
    <t>Google*Cloud 97bpw6</t>
  </si>
  <si>
    <t>Google*Cloud Pvmzzk</t>
  </si>
  <si>
    <t>Google*Cloud 393d9p</t>
  </si>
  <si>
    <t>싱가폴법인 회계기장비용</t>
  </si>
  <si>
    <t>Google*Cloud Whxszc</t>
  </si>
  <si>
    <t>2022.09.01</t>
  </si>
  <si>
    <t>Slack 사용비</t>
  </si>
  <si>
    <r>
      <rPr>
        <rFont val="Arial"/>
        <sz val="10.0"/>
      </rPr>
      <t xml:space="preserve">Google </t>
    </r>
    <r>
      <rPr>
        <rFont val="Arial"/>
        <color rgb="FF1155CC"/>
        <sz val="10.0"/>
        <u/>
      </rPr>
      <t>Gsuite_0xtribe.com</t>
    </r>
  </si>
  <si>
    <t>Google Gsuite 사용료</t>
  </si>
  <si>
    <t>Coinmarketcapproapisub</t>
  </si>
  <si>
    <t>CoinMarketCap 사용료</t>
  </si>
  <si>
    <t>Mileston Business Group, LLC.</t>
  </si>
  <si>
    <t>Chris 개인비용 정산</t>
  </si>
  <si>
    <t>2022.09.09</t>
  </si>
  <si>
    <r>
      <rPr>
        <rFont val="Arial"/>
        <color rgb="FF1155CC"/>
        <sz val="10.0"/>
        <u/>
      </rPr>
      <t>Name-Cheap.com</t>
    </r>
    <r>
      <rPr>
        <rFont val="Arial"/>
        <sz val="10.0"/>
      </rPr>
      <t>*Ap518f</t>
    </r>
  </si>
  <si>
    <t>Grab*A-4w664nvgwh32</t>
  </si>
  <si>
    <t>Grab 택시비</t>
  </si>
  <si>
    <t>Grab*A-4w7n5p6wwfrd</t>
  </si>
  <si>
    <t>Grab*A-4w82ekdgwir7</t>
  </si>
  <si>
    <t>2022.09.24</t>
  </si>
  <si>
    <t>Nha Hang Marukame Udon</t>
  </si>
  <si>
    <t>2022.09.25</t>
  </si>
  <si>
    <t>2022.09.14</t>
  </si>
  <si>
    <t>Github</t>
  </si>
  <si>
    <t>소프트웨어 사용료</t>
  </si>
  <si>
    <t>Tami 급여</t>
  </si>
  <si>
    <t>이메일 딜리버리 서비스 사용료</t>
  </si>
  <si>
    <t>Zero X And Korea Inc.</t>
  </si>
  <si>
    <t>한국 법인 운영비</t>
  </si>
  <si>
    <t>Nguyen Duc Hiue Thao</t>
  </si>
  <si>
    <t>베트남 서비스 마케팅 및 운영비</t>
  </si>
  <si>
    <t>2022.09.28</t>
  </si>
  <si>
    <t>기준일: 2022.10.31</t>
  </si>
  <si>
    <t>SGD 합 계</t>
  </si>
  <si>
    <t>2022.10.24</t>
  </si>
  <si>
    <t>환전</t>
  </si>
  <si>
    <t>2022.10.06</t>
  </si>
  <si>
    <t>법률사무소 비앤케이</t>
  </si>
  <si>
    <t>09월법률자문료</t>
  </si>
  <si>
    <t>09근로소득세</t>
  </si>
  <si>
    <t>09사업소득세</t>
  </si>
  <si>
    <t>09지방소득세</t>
  </si>
  <si>
    <t>2022.10.11</t>
  </si>
  <si>
    <t>2022.10.11 07:03:03</t>
  </si>
  <si>
    <t>2209국민건강</t>
  </si>
  <si>
    <t>2209국민연금</t>
  </si>
  <si>
    <t>2209고용보험</t>
  </si>
  <si>
    <t>2209산재보험</t>
  </si>
  <si>
    <t>2022.10.13</t>
  </si>
  <si>
    <t>번역공증수수료</t>
  </si>
  <si>
    <t>2022.10.20</t>
  </si>
  <si>
    <t>사무실 프린트 비용</t>
  </si>
  <si>
    <t>OTP수수료</t>
  </si>
  <si>
    <t>OTP 추가발급 수수료</t>
  </si>
  <si>
    <t>카드,OTP 인증 은행 수수료</t>
  </si>
  <si>
    <t>코오롱엘에스아</t>
  </si>
  <si>
    <t>부산 출장 숙소비</t>
  </si>
  <si>
    <t>2022.10.25</t>
  </si>
  <si>
    <t>노무 컨설팅 비용</t>
  </si>
  <si>
    <t>회계 기장 대리 비용</t>
  </si>
  <si>
    <t>현대카드10월사용분</t>
  </si>
  <si>
    <t>2022.10.27</t>
  </si>
  <si>
    <t>비대면바우처_1</t>
  </si>
  <si>
    <t>케이바우처 - GPRO</t>
  </si>
  <si>
    <t>2022.10.28</t>
  </si>
  <si>
    <t>Risa-개인비용</t>
  </si>
  <si>
    <t>Risa 개인비용 정산</t>
  </si>
  <si>
    <t>Jin-개인비용</t>
  </si>
  <si>
    <t>Jin 개인비용 정산</t>
  </si>
  <si>
    <t>Gon-개인비용</t>
  </si>
  <si>
    <t>Gonnie 개인비용 정산</t>
  </si>
  <si>
    <t>패스트파이브</t>
  </si>
  <si>
    <t>패스트파이브 사무실 임대료</t>
  </si>
  <si>
    <t>(주)맥플러스</t>
  </si>
  <si>
    <t>Chris 장비 구매 (맥북에어)</t>
  </si>
  <si>
    <t>2022.10월급여</t>
  </si>
  <si>
    <t>2022년 10월 급여 정산</t>
  </si>
  <si>
    <t>하나카드</t>
  </si>
  <si>
    <t>하나 카드비</t>
  </si>
  <si>
    <t>2022.10.01</t>
  </si>
  <si>
    <t>Google Cloud Bng37b</t>
  </si>
  <si>
    <t>아포스티유 DHL 배송료</t>
  </si>
  <si>
    <t>2022.10.07</t>
  </si>
  <si>
    <t>Google Cloud Vtjhbx</t>
  </si>
  <si>
    <t>싱가폴 회계서비스 추가비용, 부가세 보고 계정셋업, 회사 주소 이용 연간 서비스료</t>
  </si>
  <si>
    <t>Google*Cloud Tvrxwb</t>
  </si>
  <si>
    <t>2022.10.17</t>
  </si>
  <si>
    <t>Google*Cloud Nk27zv</t>
  </si>
  <si>
    <t>2022.10.23</t>
  </si>
  <si>
    <t>Google*Cloud Lp4rrp</t>
  </si>
  <si>
    <t>Tami 10월급여</t>
  </si>
  <si>
    <t>2022.10.26</t>
  </si>
  <si>
    <t>아포스티유 재발급, 대표 등록, 배송비</t>
  </si>
  <si>
    <t>Google*Cloud P3sv99</t>
  </si>
  <si>
    <t>2022.10.29</t>
  </si>
  <si>
    <t>Tami 개인비용 정산</t>
  </si>
  <si>
    <t>Milestone Business Group</t>
  </si>
  <si>
    <t>Chris 급여</t>
  </si>
  <si>
    <t>2022.10.14</t>
  </si>
  <si>
    <t>이메일 딜리버리 서비스</t>
  </si>
  <si>
    <t>인터넷 호스팅 서비스 및 소프트웨어 개발</t>
  </si>
  <si>
    <t>기준일: 2022.11.30</t>
  </si>
  <si>
    <t>OCBC USD</t>
  </si>
  <si>
    <t>OCBC SGD</t>
  </si>
  <si>
    <t>2022.11.14</t>
  </si>
  <si>
    <t>(주)제로엑스앤드코리아</t>
  </si>
  <si>
    <t>2022.11.01</t>
  </si>
  <si>
    <t>김재욱(법률사</t>
  </si>
  <si>
    <t>비앤케이 10월 법률자문료</t>
  </si>
  <si>
    <t>2022.11.02</t>
  </si>
  <si>
    <t>알마validator</t>
  </si>
  <si>
    <t>알마 경비 정산</t>
  </si>
  <si>
    <t>신한체크카드</t>
  </si>
  <si>
    <t>컬러 프린트 비용</t>
  </si>
  <si>
    <t>2022.11.07</t>
  </si>
  <si>
    <t>신한카드10월카</t>
  </si>
  <si>
    <t>신한카드 10월카드사용알림서비스 이용료</t>
  </si>
  <si>
    <t>2022.11.08</t>
  </si>
  <si>
    <t>10월소득세</t>
  </si>
  <si>
    <t>10월 소득세 납부</t>
  </si>
  <si>
    <t>10월주민세</t>
  </si>
  <si>
    <t>10월 주민세 납부</t>
  </si>
  <si>
    <t>2022.11.09</t>
  </si>
  <si>
    <t>국세</t>
  </si>
  <si>
    <t>2022.11.10</t>
  </si>
  <si>
    <t>2210국민건강</t>
  </si>
  <si>
    <t>2210국민연금</t>
  </si>
  <si>
    <t>2210고용보험</t>
  </si>
  <si>
    <t>2210산재보험</t>
  </si>
  <si>
    <t>사무실계약금</t>
  </si>
  <si>
    <t>환전 입금</t>
  </si>
  <si>
    <t>공증문서번역비</t>
  </si>
  <si>
    <t>1회성 제외</t>
  </si>
  <si>
    <t>신한체크</t>
  </si>
  <si>
    <t>프린트비</t>
  </si>
  <si>
    <t>법카 제외 금액</t>
  </si>
  <si>
    <t>인프라 비용, Chris</t>
  </si>
  <si>
    <t>2022.11.15</t>
  </si>
  <si>
    <t>명함 제작비</t>
  </si>
  <si>
    <t>명함 제작비 - 케빈</t>
  </si>
  <si>
    <t>2022.11.16</t>
  </si>
  <si>
    <t>명함 배송비</t>
  </si>
  <si>
    <t>서초번역</t>
  </si>
  <si>
    <t>공증번역 할인비</t>
  </si>
  <si>
    <t>2022.11.22</t>
  </si>
  <si>
    <t>그림바우빌딩</t>
  </si>
  <si>
    <t>사무실임대보증금(잔금)</t>
  </si>
  <si>
    <t>2022.11.23</t>
  </si>
  <si>
    <t>연법무사</t>
  </si>
  <si>
    <t>등기이전</t>
  </si>
  <si>
    <t>(주)안양신도판매</t>
  </si>
  <si>
    <t>복합기보증금</t>
  </si>
  <si>
    <t>신태양부동산</t>
  </si>
  <si>
    <t>부동산중개수수료</t>
  </si>
  <si>
    <t>에스원</t>
  </si>
  <si>
    <t>세콤 보증금</t>
  </si>
  <si>
    <t>2022.11.25</t>
  </si>
  <si>
    <t>11월급여</t>
  </si>
  <si>
    <t>11월급여-Baht</t>
  </si>
  <si>
    <t>11월급여-alma</t>
  </si>
  <si>
    <t>11월급여-Gon</t>
  </si>
  <si>
    <t>11월급여-Jin</t>
  </si>
  <si>
    <t>11월급여-cobin</t>
  </si>
  <si>
    <t>11월급여-Felix</t>
  </si>
  <si>
    <t>11월급여-isacc</t>
  </si>
  <si>
    <t>11월급여-jay</t>
  </si>
  <si>
    <t>11월급여-Charl</t>
  </si>
  <si>
    <t>11월급여-Risa</t>
  </si>
  <si>
    <t>11월급여-kevin</t>
  </si>
  <si>
    <t>11월급여-aiden</t>
  </si>
  <si>
    <t>회계 기장 수수료</t>
  </si>
  <si>
    <t>노무 컨설팅 수수료</t>
  </si>
  <si>
    <t>현대카드 사용대금</t>
  </si>
  <si>
    <t>2022.11.28</t>
  </si>
  <si>
    <t>다이슨물품대금</t>
  </si>
  <si>
    <t>디에스밸류 다이슨 물품 대금</t>
  </si>
  <si>
    <t>2022.11.29</t>
  </si>
  <si>
    <t>TV 설치비</t>
  </si>
  <si>
    <t>TV 설치 비용</t>
  </si>
  <si>
    <t>2022.11.30</t>
  </si>
  <si>
    <t>더큐브글로벌</t>
  </si>
  <si>
    <t>0xtribe 운영 대행피</t>
  </si>
  <si>
    <t>하나카드사용료</t>
  </si>
  <si>
    <t>2022.11.04</t>
  </si>
  <si>
    <t>OCBC</t>
  </si>
  <si>
    <t>은행 월 수수료</t>
  </si>
  <si>
    <t>Google*Cloud Fv97st</t>
  </si>
  <si>
    <t>2022.11.06</t>
  </si>
  <si>
    <t>Google*Cloud 6z96lz</t>
  </si>
  <si>
    <t>Google*Cloud Qw93fk</t>
  </si>
  <si>
    <t>Google*Cloud Nd7cgw</t>
  </si>
  <si>
    <t>2022.11.18</t>
  </si>
  <si>
    <t>Google Cloud L4xl5k</t>
  </si>
  <si>
    <t>Google Cloud Jhfcwc</t>
  </si>
  <si>
    <t>Milestone Business Group, LLC</t>
  </si>
  <si>
    <t>크리스 급여</t>
  </si>
  <si>
    <r>
      <rPr>
        <rFont val="Malgun Gothic"/>
        <color rgb="FF1155CC"/>
        <sz val="10.0"/>
        <u/>
      </rPr>
      <t>Name-Cheap.com</t>
    </r>
    <r>
      <rPr>
        <rFont val="Malgun Gothic"/>
        <color rgb="FF444444"/>
        <sz val="10.0"/>
      </rPr>
      <t>*K5a0ra</t>
    </r>
  </si>
  <si>
    <t>도메인 사용비용</t>
  </si>
  <si>
    <t>개발 관련 서비스</t>
  </si>
  <si>
    <t>2022.11.21</t>
  </si>
  <si>
    <t>해튼길드 투자</t>
  </si>
  <si>
    <t>11월급여-Tami</t>
  </si>
  <si>
    <t>Google Cloud Jz4d3b</t>
  </si>
  <si>
    <t>Google Cloud Vdz2bw</t>
  </si>
  <si>
    <t>Currency</t>
  </si>
  <si>
    <t>기준일: 2022.12.31</t>
  </si>
  <si>
    <t>보증금 (사무실 임대, 장비 리스 등)</t>
  </si>
  <si>
    <t>2022.12.01</t>
  </si>
  <si>
    <t>쇼파 배송비</t>
  </si>
  <si>
    <t>언주 신규 사무실 쇼파 배송료</t>
  </si>
  <si>
    <t>2022.12.05</t>
  </si>
  <si>
    <t>Jay 축하금</t>
  </si>
  <si>
    <t>황정원 본인결혼 축하금</t>
  </si>
  <si>
    <t>2022.12.06</t>
  </si>
  <si>
    <t>게임기획외주</t>
  </si>
  <si>
    <t>게임기획프리랜스비용 (김용애)</t>
  </si>
  <si>
    <t>진 개인비용</t>
  </si>
  <si>
    <t>강진석 11월 개인비용 정산</t>
  </si>
  <si>
    <t>찰스 개인비용</t>
  </si>
  <si>
    <t>권우철 11월 개인비용 정산</t>
  </si>
  <si>
    <t>2022.12.07</t>
  </si>
  <si>
    <t>소득세</t>
  </si>
  <si>
    <t>11월 소득세</t>
  </si>
  <si>
    <t>사업소득세</t>
  </si>
  <si>
    <t>11월 사업소득세</t>
  </si>
  <si>
    <t>주민세</t>
  </si>
  <si>
    <t>11월주민세</t>
  </si>
  <si>
    <t>11월법률자문료</t>
  </si>
  <si>
    <t>11월 법률자문료</t>
  </si>
  <si>
    <t>보증금 환급</t>
  </si>
  <si>
    <t>2022.12.12</t>
  </si>
  <si>
    <t>건강보험료</t>
  </si>
  <si>
    <t>고용보험료</t>
  </si>
  <si>
    <t>국민연금</t>
  </si>
  <si>
    <t>산재보험료</t>
  </si>
  <si>
    <t>서비스</t>
  </si>
  <si>
    <t>세콤 이용료</t>
  </si>
  <si>
    <t>Bank monthly fee</t>
  </si>
  <si>
    <t>Chris 12월급여</t>
  </si>
  <si>
    <t>2022.12.02</t>
  </si>
  <si>
    <t>Google Cloud 84l94z</t>
  </si>
  <si>
    <t>2022.12.04</t>
  </si>
  <si>
    <r>
      <rPr>
        <rFont val="Malgun Gothic"/>
        <color rgb="FF1155CC"/>
        <sz val="10.0"/>
        <u/>
      </rPr>
      <t>Name-Cheap.com</t>
    </r>
    <r>
      <rPr>
        <rFont val="Malgun Gothic"/>
        <color rgb="FF444444"/>
        <sz val="10.0"/>
      </rPr>
      <t>* F7m0xg</t>
    </r>
  </si>
  <si>
    <t>Google Cloud Wczw3l</t>
  </si>
  <si>
    <t>PRESTO INVESTMENT (BVI) LTD.</t>
  </si>
  <si>
    <t>LINK 코인 환전 (BITFRONT &gt; Presto &gt; WISE)</t>
  </si>
  <si>
    <t>2022.12.08</t>
  </si>
  <si>
    <t>2022.12.09</t>
  </si>
  <si>
    <t>Google*Cloud F9r3q5</t>
  </si>
  <si>
    <t>2022.12.14</t>
  </si>
  <si>
    <t>EBOS Advisory Pte Ltd</t>
  </si>
  <si>
    <t>E-certificate of incorporation 발급비용</t>
  </si>
  <si>
    <t>싱가폴 -&gt; 한국지사 송금</t>
  </si>
  <si>
    <t>emailing service</t>
  </si>
  <si>
    <t>2022.12.15</t>
  </si>
  <si>
    <t>ZERO X AND PTE. LTD</t>
  </si>
  <si>
    <t>메가존 - 연간 이용료</t>
  </si>
  <si>
    <t>2022.12.17</t>
  </si>
  <si>
    <t>09.17~12.16 은행이자</t>
  </si>
  <si>
    <t>2022.12.16</t>
  </si>
  <si>
    <t>주식회사제로엑스앤드</t>
  </si>
  <si>
    <t>달러 환전</t>
  </si>
  <si>
    <t>예금이자</t>
  </si>
  <si>
    <t>투자 계약서 준비 및 싱가포르 정부 신고 진행비</t>
  </si>
  <si>
    <t>2022.12.22</t>
  </si>
  <si>
    <t>사무실인테리어</t>
  </si>
  <si>
    <t xml:space="preserve">사무실 인테리어 비용 </t>
  </si>
  <si>
    <t>2022.12.21</t>
  </si>
  <si>
    <t>2022.11~2023.01 Nominee Director fee + Cloud Accounting package</t>
  </si>
  <si>
    <t>2022.12.26</t>
  </si>
  <si>
    <t>대리 기장 비용</t>
  </si>
  <si>
    <t>코웨이렌탈12</t>
  </si>
  <si>
    <t>공기청정기 사용료</t>
  </si>
  <si>
    <t>정수기 사용료</t>
  </si>
  <si>
    <t>현대카드 사용료</t>
  </si>
  <si>
    <t>2022.12.30</t>
  </si>
  <si>
    <t>안양신도판매</t>
  </si>
  <si>
    <t>복합기 사용료</t>
  </si>
  <si>
    <t>하나카드 사용료</t>
  </si>
  <si>
    <t>2022.12.23</t>
  </si>
  <si>
    <t>HNB_대량이체_KO</t>
  </si>
  <si>
    <t>12월 급여</t>
  </si>
  <si>
    <t>2022.12.31</t>
  </si>
  <si>
    <t>Service charge</t>
  </si>
  <si>
    <t>이자원가</t>
  </si>
  <si>
    <t>기준일: 2023.01.31</t>
  </si>
  <si>
    <t>마케팅비</t>
  </si>
  <si>
    <t>PR 기사등 마케팅 비용</t>
  </si>
  <si>
    <t>2023.01.02</t>
  </si>
  <si>
    <t>신규입사장비</t>
  </si>
  <si>
    <t>맥플러스 신규입사자 장비 구매</t>
  </si>
  <si>
    <t>Google Cloud Bsrtnl</t>
  </si>
  <si>
    <t>Milestone Business Group, LLC.</t>
  </si>
  <si>
    <t>Christ 급여</t>
  </si>
  <si>
    <t>2023.01.04</t>
  </si>
  <si>
    <t>12월 주민세</t>
  </si>
  <si>
    <t>12월 주민세 납부</t>
  </si>
  <si>
    <t>12월 소득세</t>
  </si>
  <si>
    <t>12월 소득세 납부</t>
  </si>
  <si>
    <t>12월법률자문료</t>
  </si>
  <si>
    <t>비앤케이 12월 법률자문료</t>
  </si>
  <si>
    <t>대여금</t>
  </si>
  <si>
    <t>12월언주사무실</t>
  </si>
  <si>
    <t>12월 그림바우빌딩 임대료,관리비,전기료</t>
  </si>
  <si>
    <t>2023.01.07</t>
  </si>
  <si>
    <t>2212국민건강</t>
  </si>
  <si>
    <t>12월 국민건강료</t>
  </si>
  <si>
    <t>2212국민연금</t>
  </si>
  <si>
    <t>12월 국민연금료</t>
  </si>
  <si>
    <t>2212고용보험</t>
  </si>
  <si>
    <t>12월 고용보험료</t>
  </si>
  <si>
    <t>2212산재보험</t>
  </si>
  <si>
    <t>12월 산재보험료</t>
  </si>
  <si>
    <t>2023.01.10</t>
  </si>
  <si>
    <t xml:space="preserve"> Gon-개인비용</t>
  </si>
  <si>
    <t>12월 고니 개인비용 정산</t>
  </si>
  <si>
    <t>2023.01.11</t>
  </si>
  <si>
    <t>12월 Chris 개인비용 정산</t>
  </si>
  <si>
    <t>서울시세입금</t>
  </si>
  <si>
    <t xml:space="preserve">미납부 세금 </t>
  </si>
  <si>
    <t>메가존소프트</t>
  </si>
  <si>
    <t xml:space="preserve">메가존 구글 사용료 </t>
  </si>
  <si>
    <t>2023.01.14</t>
  </si>
  <si>
    <t>개발용 서비스 이용료</t>
  </si>
  <si>
    <t>2023.01.18</t>
  </si>
  <si>
    <t>웰리더PR비용</t>
  </si>
  <si>
    <t>웰리더 하바 파트너쉽 배포 (PR수수료)</t>
  </si>
  <si>
    <t>JUHONG LEE</t>
  </si>
  <si>
    <t>베트남 법인 청산 비용</t>
  </si>
  <si>
    <t>LN 매도</t>
  </si>
  <si>
    <t>2023.01.19</t>
  </si>
  <si>
    <r>
      <rPr>
        <rFont val="Malgun Gothic"/>
        <color rgb="FF1155CC"/>
        <sz val="10.0"/>
        <u/>
      </rPr>
      <t>Name-Cheap.com</t>
    </r>
    <r>
      <rPr>
        <rFont val="Malgun Gothic"/>
        <color rgb="FF444444"/>
        <sz val="10.0"/>
      </rPr>
      <t xml:space="preserve"> * Xfjuxi</t>
    </r>
  </si>
  <si>
    <t>개발용 서비스 사용료</t>
  </si>
  <si>
    <t>2023.01.20</t>
  </si>
  <si>
    <t>하나은행 에서 송금</t>
  </si>
  <si>
    <t>베트남영사인증</t>
  </si>
  <si>
    <t>베트남 영사인증 대행 서비스 비</t>
  </si>
  <si>
    <t>2023.01.25</t>
  </si>
  <si>
    <t>세콤</t>
  </si>
  <si>
    <t>세콤 사용비</t>
  </si>
  <si>
    <t>주식회사제로엑스앤드코리아</t>
  </si>
  <si>
    <t>신한계좌로 송금</t>
  </si>
  <si>
    <t>Cloud accounting package</t>
  </si>
  <si>
    <t>EBOS Edvisory Pte Ltd</t>
  </si>
  <si>
    <t>Nominee Director Fee</t>
  </si>
  <si>
    <t>2023.01급여</t>
  </si>
  <si>
    <t>황정원</t>
  </si>
  <si>
    <t>권우철</t>
  </si>
  <si>
    <t>정향진</t>
  </si>
  <si>
    <t>류성탁</t>
  </si>
  <si>
    <t>Lee Elisha</t>
  </si>
  <si>
    <t>노무컨설팅 비용</t>
  </si>
  <si>
    <t>대리기장 수수료</t>
  </si>
  <si>
    <t>코웨이렌탈01</t>
  </si>
  <si>
    <t>정수기, 비데 렌탈비</t>
  </si>
  <si>
    <t>KT0540091101</t>
  </si>
  <si>
    <t>KT인터넷, 전화 사용료</t>
  </si>
  <si>
    <t>현대 카드 사용료</t>
  </si>
  <si>
    <t>바디프랜드1</t>
  </si>
  <si>
    <t>안마의자 렌탈료</t>
  </si>
  <si>
    <t>기준일: 2023.02.28</t>
  </si>
  <si>
    <t>2023.02.01</t>
  </si>
  <si>
    <t>복합기 사용료 지급</t>
  </si>
  <si>
    <t>2023.02.03</t>
  </si>
  <si>
    <t>강남세무서</t>
  </si>
  <si>
    <t>22년 4분기 부가세 환급</t>
  </si>
  <si>
    <t>법률자문1월</t>
  </si>
  <si>
    <t>비앤케이 1월 법률자문료</t>
  </si>
  <si>
    <t>1월임대료</t>
  </si>
  <si>
    <t>1월 그림바우빌딩 임대료,관리비,전기료</t>
  </si>
  <si>
    <t>2023.02.08</t>
  </si>
  <si>
    <t>국세_주식회사</t>
  </si>
  <si>
    <t>근로소득 원천세 지급</t>
  </si>
  <si>
    <t>서울지방제로엑</t>
  </si>
  <si>
    <t>근로소득 지방소득세 지급</t>
  </si>
  <si>
    <t>2023.02.10</t>
  </si>
  <si>
    <t>2301국민건강</t>
  </si>
  <si>
    <t>1월 건강보험료 지급</t>
  </si>
  <si>
    <t>2301국민연금</t>
  </si>
  <si>
    <t>1월 연금보험료 지급</t>
  </si>
  <si>
    <t>2301고용보험</t>
  </si>
  <si>
    <t>1월 고용보험료 지급</t>
  </si>
  <si>
    <t>2301산재보험</t>
  </si>
  <si>
    <t>1월 산재보험료 지급</t>
  </si>
  <si>
    <t>메가존소프트(</t>
  </si>
  <si>
    <t>google suite 1월 비용 지급</t>
  </si>
  <si>
    <t>박성준</t>
  </si>
  <si>
    <t>넵튠 박성준 본부장 결혼 축의금 지급</t>
  </si>
  <si>
    <t>2023.02.21</t>
  </si>
  <si>
    <t>세콤 비용 지급</t>
  </si>
  <si>
    <t>2023.02.24</t>
  </si>
  <si>
    <t>계좌간 자금 이체</t>
  </si>
  <si>
    <t>2023.02.27</t>
  </si>
  <si>
    <t>코웨이렌탈02</t>
  </si>
  <si>
    <t>공청기</t>
  </si>
  <si>
    <t>비데</t>
  </si>
  <si>
    <t>정수기</t>
  </si>
  <si>
    <t>노무 자문료 지급</t>
  </si>
  <si>
    <t>회계 자문료 지급</t>
  </si>
  <si>
    <t>KT0540091102</t>
  </si>
  <si>
    <t>인터넷, 전화 요금 지급</t>
  </si>
  <si>
    <t>법인카드 대금 지급</t>
  </si>
  <si>
    <t>바디프랜드2</t>
  </si>
  <si>
    <t>안마의자</t>
  </si>
  <si>
    <t>2023.02.28</t>
  </si>
  <si>
    <t>(주)엔시엘오</t>
  </si>
  <si>
    <t>용역대금 선금 지급</t>
  </si>
  <si>
    <t>2023.02.23</t>
  </si>
  <si>
    <t>(주)제로엑스앤드코</t>
  </si>
  <si>
    <t>2월 급여</t>
  </si>
  <si>
    <t>2월 직원급여</t>
  </si>
  <si>
    <t>중도퇴사자 소득세 정산</t>
  </si>
  <si>
    <t>하나카드기업</t>
  </si>
  <si>
    <t>하나카드 대금 지급</t>
  </si>
  <si>
    <t>싱가폴 -&gt; 한국지사 송금 (11월 용역대금)</t>
  </si>
  <si>
    <t>2022.02.01</t>
  </si>
  <si>
    <t>Chris 2월급여</t>
  </si>
  <si>
    <t>wise</t>
  </si>
  <si>
    <t>Chris 2월급여 송금 수수료</t>
  </si>
  <si>
    <t>따미 22.12~23.01 외주 급여 지급</t>
  </si>
  <si>
    <t>따미 22.12~23.01 외주 급여 지급시 송금수수료</t>
  </si>
  <si>
    <t>2023.02.02</t>
  </si>
  <si>
    <t>싱가폴 -&gt; 한국지사 송금 수수료</t>
  </si>
  <si>
    <t>2023.02.14</t>
  </si>
  <si>
    <t>서비스 이용료 지급</t>
  </si>
  <si>
    <t>2023.02.15</t>
  </si>
  <si>
    <t>COO BUILDER COMPANY LIMITED</t>
  </si>
  <si>
    <t>베트남 법인 청산 변호사 비용</t>
  </si>
  <si>
    <t>WISE</t>
  </si>
  <si>
    <t>송금수수료</t>
  </si>
  <si>
    <t>프리랜서 계약비 지급 (184,135,600 VND)</t>
  </si>
  <si>
    <t>환전&amp;송금수수료</t>
  </si>
  <si>
    <t>2023.02.26</t>
  </si>
  <si>
    <t>Iconscout.com</t>
  </si>
  <si>
    <t>Gitbook Inc.</t>
  </si>
  <si>
    <t>은행 수수료</t>
  </si>
  <si>
    <t>기준일: 2023.03.31</t>
  </si>
  <si>
    <t>매출</t>
  </si>
  <si>
    <t>2023.03.02</t>
  </si>
  <si>
    <t>2023.03.03</t>
  </si>
  <si>
    <t>법률자문2월</t>
  </si>
  <si>
    <t>비앤케이 2월 법률자문료</t>
  </si>
  <si>
    <t>2월임대료</t>
  </si>
  <si>
    <t>2월 그림바우빌딩 임대료,관리비,전기료</t>
  </si>
  <si>
    <t>2023.03.08</t>
  </si>
  <si>
    <t>국고_주식회사 제로</t>
  </si>
  <si>
    <t>2월 근로 소득세</t>
  </si>
  <si>
    <t>2월 근로 지방 소득세</t>
  </si>
  <si>
    <t>우윤성(디자인멘토)</t>
  </si>
  <si>
    <t>명함 제작 비용 지급 (3명)</t>
  </si>
  <si>
    <t>메가존소프트(주)</t>
  </si>
  <si>
    <t>google suite 2월 비용 지급</t>
  </si>
  <si>
    <t>2023.03.10</t>
  </si>
  <si>
    <t>2302국민건강</t>
  </si>
  <si>
    <t>2월 건강보험료 지급</t>
  </si>
  <si>
    <t>2302국민연금</t>
  </si>
  <si>
    <t>2월 연금보험료 지급</t>
  </si>
  <si>
    <t>2303고용보험</t>
  </si>
  <si>
    <t>2월 고용보험료 지급</t>
  </si>
  <si>
    <t>2302산재보험</t>
  </si>
  <si>
    <t>2월 산재보험료 지급</t>
  </si>
  <si>
    <t>2023.03.16</t>
  </si>
  <si>
    <t>㈜ 웰리더</t>
  </si>
  <si>
    <t>PR 기사 수수료</t>
  </si>
  <si>
    <t>LN 입금</t>
  </si>
  <si>
    <t>2023.03.14</t>
  </si>
  <si>
    <t>ZERO X AND</t>
  </si>
  <si>
    <t>정관변경 수수료</t>
  </si>
  <si>
    <t>Chris 3월급여</t>
  </si>
  <si>
    <t>Chris 3월급여 송금 수수료</t>
  </si>
  <si>
    <t>2023.03.18</t>
  </si>
  <si>
    <t>하나은행</t>
  </si>
  <si>
    <t>2023.03.20</t>
  </si>
  <si>
    <t>태국 현지 출장용 경비 지급</t>
  </si>
  <si>
    <t>한국법인 운영비</t>
  </si>
  <si>
    <t>송금 수수료</t>
  </si>
  <si>
    <t>신한은행</t>
  </si>
  <si>
    <t>2023.03.21</t>
  </si>
  <si>
    <t>2023.03.23</t>
  </si>
  <si>
    <t>2023.03.24</t>
  </si>
  <si>
    <t>2023.03.27</t>
  </si>
  <si>
    <t>코웨이렌탈03</t>
  </si>
  <si>
    <t>KT0540091103</t>
  </si>
  <si>
    <t>바디프랜드3</t>
  </si>
  <si>
    <t>2023.03.39</t>
  </si>
  <si>
    <t>주식회사 알엑스메타</t>
  </si>
  <si>
    <t>서울랜드 페스티벌 서비스 기획 및 컨설팅 1차</t>
  </si>
  <si>
    <t>안현웅</t>
  </si>
  <si>
    <t>신규 앱서비스 개발 기획 외주 선금</t>
  </si>
  <si>
    <t>2023.03.31</t>
  </si>
  <si>
    <t>국고_주식회사제로엑스</t>
  </si>
  <si>
    <t>2022년 결산 법인세 지급</t>
  </si>
  <si>
    <t>서울 제로엑스</t>
  </si>
  <si>
    <t>2022년 결산 법인 지방세 지급</t>
  </si>
  <si>
    <t>맥북 m1 구입 (코빈)</t>
  </si>
  <si>
    <t>2023.03.30</t>
  </si>
  <si>
    <t>ZENA AD</t>
  </si>
  <si>
    <t>대여금 반환 (USDT로 빌려주고 USD로 받음)</t>
  </si>
  <si>
    <t>2023.03.06</t>
  </si>
  <si>
    <t>ㄹ</t>
  </si>
  <si>
    <t>기준일: 2023.04.28</t>
  </si>
  <si>
    <t>2023.04.04</t>
  </si>
  <si>
    <t>법률자문3월</t>
  </si>
  <si>
    <t>2023.04.03</t>
  </si>
  <si>
    <t>3월임대료</t>
  </si>
  <si>
    <t>2023.04.01</t>
  </si>
  <si>
    <t>zoom</t>
  </si>
  <si>
    <t>zoom 비용 지급</t>
  </si>
  <si>
    <t>Chris 4월 급여</t>
  </si>
  <si>
    <t>Chris 4월 급여 송금 수수료</t>
  </si>
  <si>
    <t>2023.04.05</t>
  </si>
  <si>
    <t>Sevio FZC</t>
  </si>
  <si>
    <t>게임 도시 마케팅 비용 지급_PlaytoEarn</t>
  </si>
  <si>
    <t>게임 도시 마케팅 비용 지급_Hatten Guild</t>
  </si>
  <si>
    <t>Momo Tech Company Limited</t>
  </si>
  <si>
    <t>게임 도시 마케팅 비용 지급_ChainPlay</t>
  </si>
  <si>
    <t>SecuChart Global</t>
  </si>
  <si>
    <t>게임 도시 마케팅 비용 지급_P2eAll</t>
  </si>
  <si>
    <t>Coin68 Limited</t>
  </si>
  <si>
    <t>게임 도시 마케팅 비용 지급_Acient8</t>
  </si>
  <si>
    <t>UAB DappRadar</t>
  </si>
  <si>
    <t>게임 도시 마케팅 비용 지급_DappRader</t>
  </si>
  <si>
    <t>Siam commercial bank</t>
  </si>
  <si>
    <t>게임 도시 마케팅 비용 지급_Guildfi</t>
  </si>
  <si>
    <t>2023.04.06</t>
  </si>
  <si>
    <t>Telos Labs Pte. Ltd</t>
  </si>
  <si>
    <t>게임 도시 마케팅 비용 지급_Avocado</t>
  </si>
  <si>
    <t>2023.04.10</t>
  </si>
  <si>
    <t>2303국민건강</t>
  </si>
  <si>
    <t>2303국민연금</t>
  </si>
  <si>
    <t>2303산재보험</t>
  </si>
  <si>
    <t>2022년 결산 세무 조정</t>
  </si>
  <si>
    <t>3월 근로 소득세</t>
  </si>
  <si>
    <t>서울지방제로엑스</t>
  </si>
  <si>
    <t>3월 근로 지방 소득세</t>
  </si>
  <si>
    <t>3월 사업 소득세</t>
  </si>
  <si>
    <t>google suite 3월 비용 지급</t>
  </si>
  <si>
    <t>김소연(연법무사합동)</t>
  </si>
  <si>
    <t>임원변경(대표자 포함) 등기 진행</t>
  </si>
  <si>
    <t>2023.04.17</t>
  </si>
  <si>
    <t>주식회사 크몽</t>
  </si>
  <si>
    <t>게더 오피스 리모델링</t>
  </si>
  <si>
    <t>2023.04.18</t>
  </si>
  <si>
    <t>2023.04.19</t>
  </si>
  <si>
    <t>주식회사 제로엑스앤드</t>
  </si>
  <si>
    <t>2023.04.20</t>
  </si>
  <si>
    <t>신규 앱서비스 개발 기획 외주 잔금</t>
  </si>
  <si>
    <t>메가존 구글 계정 추가비용</t>
  </si>
  <si>
    <t>(주)컴퓨존</t>
  </si>
  <si>
    <t>업무용 데스크탑 구매</t>
  </si>
  <si>
    <t>권영채(대부도 하이클래스)</t>
  </si>
  <si>
    <t>워크샵 숙박비</t>
  </si>
  <si>
    <t>워크샵 숙박비 (얼리입실)</t>
  </si>
  <si>
    <t>2023.04.14</t>
  </si>
  <si>
    <t>2023.04.24</t>
  </si>
  <si>
    <t>2023.04.25</t>
  </si>
  <si>
    <t>워크샵 숯이용</t>
  </si>
  <si>
    <t>2023.04.21</t>
  </si>
  <si>
    <t>세콤(N5905012)</t>
  </si>
  <si>
    <t>주식회사 제로</t>
  </si>
  <si>
    <t>KT0540091104</t>
  </si>
  <si>
    <t>코웨이렌탈04</t>
  </si>
  <si>
    <t>바디프랜드4</t>
  </si>
  <si>
    <t>투자금</t>
  </si>
  <si>
    <t>싱가폴 투자금 입금</t>
  </si>
  <si>
    <t>2023.04.28</t>
  </si>
  <si>
    <t>(주)이오엠</t>
  </si>
  <si>
    <t>트레일러 제작 선수금</t>
  </si>
  <si>
    <t>워크샵 교통비 + 간식비 지원 (2명)</t>
  </si>
  <si>
    <t>LEE ELISHA</t>
  </si>
  <si>
    <t>김종식</t>
  </si>
  <si>
    <t>NEPTUNE COMPANY</t>
  </si>
  <si>
    <t>투자금 입금</t>
  </si>
  <si>
    <t>투자금 입금시 수수료 지급</t>
  </si>
  <si>
    <t>2023.04.11</t>
  </si>
  <si>
    <t>FERTILERAINS</t>
  </si>
  <si>
    <t>SEMA PUBLIC TECHNOL</t>
  </si>
  <si>
    <t>2023.04.29</t>
  </si>
  <si>
    <t>기준일: 2023.05.31</t>
  </si>
  <si>
    <t>2023.05.01</t>
  </si>
  <si>
    <t>Chris 5월 급여</t>
  </si>
  <si>
    <t>Chris 5월 급여 송금 수수료</t>
  </si>
  <si>
    <t>2023.05.04</t>
  </si>
  <si>
    <t>드호스타일</t>
  </si>
  <si>
    <t>행사 케이터링 서비스</t>
  </si>
  <si>
    <t>4월 임대료,관리비,전기료</t>
  </si>
  <si>
    <t>비앤케이</t>
  </si>
  <si>
    <t>4월법률자문료</t>
  </si>
  <si>
    <t>석진상회</t>
  </si>
  <si>
    <t>행사용 주류 구입</t>
  </si>
  <si>
    <t>워크샵 교통비 + 간식비 지원 (1명)</t>
  </si>
  <si>
    <t>개인경비</t>
  </si>
  <si>
    <t>2023.05.08</t>
  </si>
  <si>
    <t>Chris 개인경비</t>
  </si>
  <si>
    <t>Jeon Juneyoung</t>
  </si>
  <si>
    <t>바트 개인경비</t>
  </si>
  <si>
    <t>2023.05.10</t>
  </si>
  <si>
    <t>2304국민건강</t>
  </si>
  <si>
    <t>2304국민연금</t>
  </si>
  <si>
    <t>2304고용보험</t>
  </si>
  <si>
    <t>2304산재보험</t>
  </si>
  <si>
    <t>4월 근로 소득세</t>
  </si>
  <si>
    <t>4월 근로 지방 소득세</t>
  </si>
  <si>
    <t>4월 사업 소득세</t>
  </si>
  <si>
    <t>메가존 구글사용료</t>
  </si>
  <si>
    <t>2023.05.11</t>
  </si>
  <si>
    <t>등기 수수료 지급</t>
  </si>
  <si>
    <t>2023.05.13</t>
  </si>
  <si>
    <t>2023.05.14</t>
  </si>
  <si>
    <t>2023.05.15</t>
  </si>
  <si>
    <t>Fiverr</t>
  </si>
  <si>
    <t>2023.05.19</t>
  </si>
  <si>
    <t>인증수수료 갱신 수수료 지급</t>
  </si>
  <si>
    <t>모니터 구입</t>
  </si>
  <si>
    <t>(주)원티드랩</t>
  </si>
  <si>
    <t>채용플랫폼 이용수수료(주시온)</t>
  </si>
  <si>
    <t>(주)웰리더</t>
  </si>
  <si>
    <t>2023.05.22</t>
  </si>
  <si>
    <t>2023.05.23</t>
  </si>
  <si>
    <t>2023.05.24</t>
  </si>
  <si>
    <t>22년 재무제표, 법인세 신고 비용 지급</t>
  </si>
  <si>
    <t>현금</t>
  </si>
  <si>
    <t>거래처 경조사 축의금</t>
  </si>
  <si>
    <t>2023.05.25</t>
  </si>
  <si>
    <t>계좌간 자금이체</t>
  </si>
  <si>
    <t>KT0540091105</t>
  </si>
  <si>
    <t>코웨이렌탈05</t>
  </si>
  <si>
    <t>5월 급여</t>
  </si>
  <si>
    <t>여택기</t>
  </si>
  <si>
    <t>프리랜서 외주_디스코드 세팅</t>
  </si>
  <si>
    <t>안현지</t>
  </si>
  <si>
    <t>프리랜서 외주_커뮤니티 이미지 제작</t>
  </si>
  <si>
    <t>2023.05.26</t>
  </si>
  <si>
    <t>2023.05.30</t>
  </si>
  <si>
    <t>2023.05.31</t>
  </si>
  <si>
    <t>상여금</t>
  </si>
  <si>
    <t>상여금 지급</t>
  </si>
  <si>
    <t>자금이동</t>
  </si>
  <si>
    <t>자금이동 오류로 환급</t>
  </si>
  <si>
    <t>2023.05.03</t>
  </si>
  <si>
    <t>기준일: 2023.06.26</t>
  </si>
  <si>
    <t>2023.06.01</t>
  </si>
  <si>
    <t>Chris 6월 급여</t>
  </si>
  <si>
    <t>Chris 개인 경비</t>
  </si>
  <si>
    <t>Chris 6월 급여 송금 수수료</t>
  </si>
  <si>
    <t>2023.06.05</t>
  </si>
  <si>
    <t>Nimas Ayu Putri Surasmi Soekidin</t>
  </si>
  <si>
    <t>프리랜서 계약 선수금 지급</t>
  </si>
  <si>
    <t>wise 송금수수료</t>
  </si>
  <si>
    <t>5월 임대료,관리비,전기료</t>
  </si>
  <si>
    <t>5월법률자문료</t>
  </si>
  <si>
    <t>2023.06.08</t>
  </si>
  <si>
    <t>제로엑스앤드코리아</t>
  </si>
  <si>
    <t>국세청</t>
  </si>
  <si>
    <t>5월 근로 소득세</t>
  </si>
  <si>
    <t>강남구청</t>
  </si>
  <si>
    <t>5월 근로 지방 소득세</t>
  </si>
  <si>
    <t>5월 사업 소득세</t>
  </si>
  <si>
    <t>2023.06.07</t>
  </si>
  <si>
    <t>Neicon Inc.</t>
  </si>
  <si>
    <t>게임 도시 마케팅 비용 지급</t>
  </si>
  <si>
    <t>송금수수료 지급</t>
  </si>
  <si>
    <t>2023.06.12</t>
  </si>
  <si>
    <t>2305국민건강</t>
  </si>
  <si>
    <t>2305국민연금</t>
  </si>
  <si>
    <t>2305고용보험</t>
  </si>
  <si>
    <t>2305산재보험</t>
  </si>
  <si>
    <t>2023.06.30</t>
  </si>
  <si>
    <t>2023.06.17</t>
  </si>
  <si>
    <t>2023.06.21</t>
  </si>
  <si>
    <t>2023.06.23</t>
  </si>
  <si>
    <t>주식회사웰리더</t>
  </si>
  <si>
    <t>PR 기사 비용 지급</t>
  </si>
  <si>
    <t>6월 급여 지급</t>
  </si>
  <si>
    <t>2023.06.14</t>
  </si>
  <si>
    <t>2023.06.26</t>
  </si>
  <si>
    <t>KT0540091106</t>
  </si>
  <si>
    <t>코웨이렌탈06</t>
  </si>
  <si>
    <t>바디프랜드6</t>
  </si>
  <si>
    <t>2023.06.28</t>
  </si>
  <si>
    <t>기준일: 2023.07.31</t>
  </si>
  <si>
    <t>2023.07.01</t>
  </si>
  <si>
    <t>Chris 7월 급여</t>
  </si>
  <si>
    <t>출장비</t>
  </si>
  <si>
    <t>출장여비</t>
  </si>
  <si>
    <t>Chris 7월 급여 송금 수수료</t>
  </si>
  <si>
    <t>2023.07.04</t>
  </si>
  <si>
    <t>최유빈 면접비+사무실현금시재</t>
  </si>
  <si>
    <t>최유빈 면접비(7만원)+사무실현금시재</t>
  </si>
  <si>
    <t>2023.07.05</t>
  </si>
  <si>
    <t>2023.07.06</t>
  </si>
  <si>
    <t>2023.07.07</t>
  </si>
  <si>
    <t>2023.07.10</t>
  </si>
  <si>
    <t>6월 근로 소득세</t>
  </si>
  <si>
    <t>6월 근로 지방 소득세</t>
  </si>
  <si>
    <t>2023.07.11</t>
  </si>
  <si>
    <t>태국 출장 현지 여비 지급</t>
  </si>
  <si>
    <t>문진호(그림바</t>
  </si>
  <si>
    <t>6월 임대료,관리비,전기료</t>
  </si>
  <si>
    <t>6월법률자문료</t>
  </si>
  <si>
    <t>DROPBOX SIGN/H</t>
  </si>
  <si>
    <t>전자서명서비스 이용료 지급</t>
  </si>
  <si>
    <t>2306국민건강</t>
  </si>
  <si>
    <t>2306고용보험</t>
  </si>
  <si>
    <t>2306산재보험</t>
  </si>
  <si>
    <t>2306국민연금</t>
  </si>
  <si>
    <t>차앤권 법률사무소</t>
  </si>
  <si>
    <t>BVI 제도 법인 설립 용역비</t>
  </si>
  <si>
    <t>2023.07.18</t>
  </si>
  <si>
    <t>상상특허법률사무소</t>
  </si>
  <si>
    <t>특허 1건 출원 및 등록 비용</t>
  </si>
  <si>
    <t>진 개인비용 정산</t>
  </si>
  <si>
    <t>송금 수수료 2건</t>
  </si>
  <si>
    <t>2023.07.14</t>
  </si>
  <si>
    <t>Ngo Xuan Huy</t>
  </si>
  <si>
    <t>6월 외주 급여(Patrick)</t>
  </si>
  <si>
    <t>Wise</t>
  </si>
  <si>
    <t>2023.07.21</t>
  </si>
  <si>
    <t>2023.07.20</t>
  </si>
  <si>
    <t>최유빈 교통비</t>
  </si>
  <si>
    <t>2023.07.25</t>
  </si>
  <si>
    <t>7월 급여 지급</t>
  </si>
  <si>
    <t>7월 급여 지급시 송금 수수료</t>
  </si>
  <si>
    <t>2023.07.26</t>
  </si>
  <si>
    <t>맥플러스</t>
  </si>
  <si>
    <t>맥북 m1 구입 (포마)</t>
  </si>
  <si>
    <t>KT0540091107</t>
  </si>
  <si>
    <t>코웨이렌탈07</t>
  </si>
  <si>
    <t>바디프랜드7</t>
  </si>
  <si>
    <t>2023.07.19</t>
  </si>
  <si>
    <t>6월 외주 급여(Patrick)_계좌오류로 인한 반환</t>
  </si>
  <si>
    <t>Traffic Light</t>
  </si>
  <si>
    <t>2023.07.28</t>
  </si>
  <si>
    <t>ZOOM. US 888-79</t>
  </si>
  <si>
    <t>zoom 이용료</t>
  </si>
  <si>
    <t>2023.07.31</t>
  </si>
  <si>
    <t>2023.07.03</t>
  </si>
  <si>
    <t>기준일: 2023.08.31</t>
  </si>
  <si>
    <t>2023.08.01</t>
  </si>
  <si>
    <t>Chris 8월 급여+ 개인경비</t>
  </si>
  <si>
    <t>Chris 8월 급여+ 개인경비 송금 수수료</t>
  </si>
  <si>
    <t>투자자산</t>
  </si>
  <si>
    <t>투자</t>
  </si>
  <si>
    <t>Entra Law LLC</t>
  </si>
  <si>
    <t>라그몬 백서 법률 자문료</t>
  </si>
  <si>
    <t>송금 &amp; 환전 수수료</t>
  </si>
  <si>
    <t>7월 임대료,관리비,전기료</t>
  </si>
  <si>
    <t>7월 법률자문료</t>
  </si>
  <si>
    <t>2023.08.07</t>
  </si>
  <si>
    <t>2023.08.08</t>
  </si>
  <si>
    <t>Elenkei L&amp;k</t>
  </si>
  <si>
    <t>접대비(600,000 KRW)</t>
  </si>
  <si>
    <t>2023.08.09</t>
  </si>
  <si>
    <t>2023.08.10</t>
  </si>
  <si>
    <t>7월 근로 소득세</t>
  </si>
  <si>
    <t>7월 사업 소득세</t>
  </si>
  <si>
    <t>7월 지방 소득세</t>
  </si>
  <si>
    <t>2023년 8월 사업소분 주민세</t>
  </si>
  <si>
    <t>2307국민건강</t>
  </si>
  <si>
    <t>2307산재보험</t>
  </si>
  <si>
    <t>2307고용보험</t>
  </si>
  <si>
    <t>2307국민연금</t>
  </si>
  <si>
    <t>2023.08.21</t>
  </si>
  <si>
    <t>2023.08.11</t>
  </si>
  <si>
    <t>Chris</t>
  </si>
  <si>
    <t>해튼길드 투자금용 계좌이체</t>
  </si>
  <si>
    <t>2023.08.14</t>
  </si>
  <si>
    <t>DO KHANH TIEN</t>
  </si>
  <si>
    <t>해튼길드 투자금</t>
  </si>
  <si>
    <t>2023.08.22</t>
  </si>
  <si>
    <t>2023.08.25</t>
  </si>
  <si>
    <t>부가세 환급</t>
  </si>
  <si>
    <t>KT0540091108</t>
  </si>
  <si>
    <t>코웨이렌탈08</t>
  </si>
  <si>
    <t>바디프랜드8</t>
  </si>
  <si>
    <t>8월 급여 지급</t>
  </si>
  <si>
    <t>8월 급여 지급시 송금 수수료</t>
  </si>
  <si>
    <t>8월 급여 지급 (poma)</t>
  </si>
  <si>
    <t>Patrick</t>
  </si>
  <si>
    <t>Patrick 7월 스마트컨트랙트 개발 용역비</t>
  </si>
  <si>
    <t>2023.08.29</t>
  </si>
  <si>
    <t>2023.08.31</t>
  </si>
  <si>
    <t>김소연법무사</t>
  </si>
  <si>
    <t>KYC 공증료 지급 (알마,바트)</t>
  </si>
  <si>
    <t>2023.08.16</t>
  </si>
  <si>
    <t>Namecheap.com</t>
  </si>
  <si>
    <t>기준일: 2023.09.25</t>
  </si>
  <si>
    <t>2023.09.01</t>
  </si>
  <si>
    <t>Chris 9월 급여+ 개인경비</t>
  </si>
  <si>
    <t>OCBC BANK</t>
  </si>
  <si>
    <t>2023.09.04</t>
  </si>
  <si>
    <t>2023.09.11</t>
  </si>
  <si>
    <t>8월 기타 소득세</t>
  </si>
  <si>
    <t>8월 지방 소득세</t>
  </si>
  <si>
    <t>개인 경비 지급</t>
  </si>
  <si>
    <t>8월 근로 소득세</t>
  </si>
  <si>
    <t>2308국민건강</t>
  </si>
  <si>
    <t>2308국민연금</t>
  </si>
  <si>
    <t>2308고용보험</t>
  </si>
  <si>
    <t xml:space="preserve"> </t>
  </si>
  <si>
    <t>2308산재보험</t>
  </si>
  <si>
    <t>2023.09.16</t>
  </si>
  <si>
    <t>예금 이자</t>
  </si>
  <si>
    <t>2023.09.20</t>
  </si>
  <si>
    <t>Chris 10월 급여</t>
  </si>
  <si>
    <t>Chris 10월 급여 송금 수수료</t>
  </si>
  <si>
    <t>2023.09.30</t>
  </si>
  <si>
    <t>2023.09.18</t>
  </si>
  <si>
    <t>(주)그라운드케이</t>
  </si>
  <si>
    <t>VIP 수송 서비스</t>
  </si>
  <si>
    <t>현대법인카드</t>
  </si>
  <si>
    <t>추석 선물 구입 선결제</t>
  </si>
  <si>
    <t>2023.09.21</t>
  </si>
  <si>
    <t>2023.09.25</t>
  </si>
  <si>
    <t>9월 급여 지급</t>
  </si>
  <si>
    <t>9월 급여 지급시 송금 수수료</t>
  </si>
  <si>
    <t>9월 급여 지급 (poma)</t>
  </si>
  <si>
    <t>2023.09.22</t>
  </si>
  <si>
    <t>2023.09.26</t>
  </si>
  <si>
    <t>2023.09.27</t>
  </si>
  <si>
    <t>기준일: 2023.10.31</t>
  </si>
  <si>
    <t>2023.10.04</t>
  </si>
  <si>
    <t>9월 임대료,관리비,전기료</t>
  </si>
  <si>
    <t>9월 법률자문료</t>
  </si>
  <si>
    <t>2023.10.03</t>
  </si>
  <si>
    <t>2023.10.10</t>
  </si>
  <si>
    <t>2309고용보험</t>
  </si>
  <si>
    <t>2309산재보험</t>
  </si>
  <si>
    <t>2309국민건강</t>
  </si>
  <si>
    <t>2309국민연금</t>
  </si>
  <si>
    <t>국고_주식회사 제로엑스</t>
  </si>
  <si>
    <t>9월 근로 소득세</t>
  </si>
  <si>
    <t>9월 기타 소득세</t>
  </si>
  <si>
    <t>9월 지방 소득세</t>
  </si>
  <si>
    <t>2023.10.11</t>
  </si>
  <si>
    <t>Refund credit</t>
  </si>
  <si>
    <t>Elenkei L&amp;K</t>
  </si>
  <si>
    <t>접대비(500,000 KRW)</t>
  </si>
  <si>
    <t>Apple.com</t>
  </si>
  <si>
    <t>업무용 tool 비용 지급</t>
  </si>
  <si>
    <t>2023.10.14</t>
  </si>
  <si>
    <t>Chris 11월 급여</t>
  </si>
  <si>
    <t>Chris 11월 급여 송금 수수료</t>
  </si>
  <si>
    <t>2023.10.25</t>
  </si>
  <si>
    <t>카드 대금</t>
  </si>
  <si>
    <t>10월 급여</t>
  </si>
  <si>
    <t>최유빈</t>
  </si>
  <si>
    <t>10월 급여 (최유빈)</t>
  </si>
  <si>
    <t>PR 기사 수수료 지급</t>
  </si>
  <si>
    <t>2023.10.23</t>
  </si>
  <si>
    <t>2023.10.19</t>
  </si>
  <si>
    <t>바디프랜드10</t>
  </si>
  <si>
    <t>코웨이렌탈10</t>
  </si>
  <si>
    <t>KT0540091110</t>
  </si>
  <si>
    <t>2023.10.27</t>
  </si>
  <si>
    <t>GitHub</t>
  </si>
  <si>
    <t>2023.10.26</t>
  </si>
  <si>
    <t>주식회사 유인어스</t>
  </si>
  <si>
    <t>비재무자산 설계 수수료 지급</t>
  </si>
  <si>
    <t>2023.10.31</t>
  </si>
  <si>
    <t>2023.10.30</t>
  </si>
  <si>
    <t>trip.com</t>
  </si>
  <si>
    <t>수수료 지급</t>
  </si>
  <si>
    <t>수수료 환불</t>
  </si>
  <si>
    <t>기준일: 2023.11.30</t>
  </si>
  <si>
    <t>2023.11.03</t>
  </si>
  <si>
    <t>10월 임대료,관리비,전기료</t>
  </si>
  <si>
    <t>10월 법률자문료 (자문 초과 포함)</t>
  </si>
  <si>
    <t>2023.11.07</t>
  </si>
  <si>
    <t>Zero X And Pte. Ltd.</t>
  </si>
  <si>
    <t>자금 이동</t>
  </si>
  <si>
    <t>2023.11.09</t>
  </si>
  <si>
    <t xml:space="preserve">ATOZ SG CONSULTING PTE. LTD
</t>
  </si>
  <si>
    <t>신규 회계법인 1년 수수료 지급</t>
  </si>
  <si>
    <t>Chris 12월 급여</t>
  </si>
  <si>
    <t>Chris 12월 급여 송금 수수료</t>
  </si>
  <si>
    <t>2023.11.10</t>
  </si>
  <si>
    <t>10월 근로 소득세</t>
  </si>
  <si>
    <t>10월 기타 소득세</t>
  </si>
  <si>
    <t>10월 지방 소득세</t>
  </si>
  <si>
    <t>2310고용보험</t>
  </si>
  <si>
    <t>2310산재보험</t>
  </si>
  <si>
    <t>2310국민건강</t>
  </si>
  <si>
    <t>2310국민연금</t>
  </si>
  <si>
    <t>Certified Kernel Tech LLC</t>
  </si>
  <si>
    <t>컨트랙트 오딧</t>
  </si>
  <si>
    <t>2023.11.24</t>
  </si>
  <si>
    <t>11월 급여</t>
  </si>
  <si>
    <t>2023.11.27</t>
  </si>
  <si>
    <t>당발송금수수료</t>
  </si>
  <si>
    <t>마케팅비 지급</t>
  </si>
  <si>
    <t>2023.11.21</t>
  </si>
  <si>
    <t>2023.11.23</t>
  </si>
  <si>
    <t>차앤권법률사무소</t>
  </si>
  <si>
    <t>CERTIFICATE OF GOOD STANDING 발급</t>
  </si>
  <si>
    <t>2023.11.14</t>
  </si>
  <si>
    <t>2023.11.16</t>
  </si>
  <si>
    <t>ZERO X AND KOREA</t>
  </si>
  <si>
    <t>마케팅비 입금</t>
  </si>
  <si>
    <t>USD -&gt; SGD 환전</t>
  </si>
  <si>
    <t>Commissioner of Inland Revenue</t>
  </si>
  <si>
    <t>법인세 납부</t>
  </si>
  <si>
    <t>2023.11.28</t>
  </si>
  <si>
    <t>2023.11.30</t>
  </si>
  <si>
    <t>USD -&gt; SGD 환전 수수료</t>
  </si>
  <si>
    <t>기준일: 2023.12.31</t>
  </si>
  <si>
    <t>2023.12.04</t>
  </si>
  <si>
    <t>11월 임대료,관리비,전기료</t>
  </si>
  <si>
    <t>주식회사 워크앤조이</t>
  </si>
  <si>
    <t>11월 그룹웨어 사용료 지급</t>
  </si>
  <si>
    <t>가수금</t>
  </si>
  <si>
    <t>잡이익</t>
  </si>
  <si>
    <t>Entra Law</t>
  </si>
  <si>
    <t>법률자문료 (투자계약서 작성)</t>
  </si>
  <si>
    <t>2023.12.05</t>
  </si>
  <si>
    <t>2023.12.11</t>
  </si>
  <si>
    <t>11월 근로 소득세</t>
  </si>
  <si>
    <t>11월 기타 소득세</t>
  </si>
  <si>
    <t>11월 지방 소득세</t>
  </si>
  <si>
    <t>정하성</t>
  </si>
  <si>
    <t>중도퇴사자 소득세 환급</t>
  </si>
  <si>
    <t>송금 수수료 지급</t>
  </si>
  <si>
    <t>2311산재보험</t>
  </si>
  <si>
    <t>2311고용보험</t>
  </si>
  <si>
    <t>2311국민건강</t>
  </si>
  <si>
    <t>2311국민연금</t>
  </si>
  <si>
    <t>가수금 입금</t>
  </si>
  <si>
    <t>2023.12.16</t>
  </si>
  <si>
    <t>2023.12.21</t>
  </si>
  <si>
    <t>2023.12.22</t>
  </si>
  <si>
    <t>2023.12.26</t>
  </si>
  <si>
    <t>서울강남고용노동지청</t>
  </si>
  <si>
    <t>청년일자리도약장려금 (밀리)</t>
  </si>
  <si>
    <t>2023.12.29</t>
  </si>
  <si>
    <t>한국장학재단</t>
  </si>
  <si>
    <t>현장 교사 지원금</t>
  </si>
  <si>
    <t>2023.12.14</t>
  </si>
  <si>
    <t>기준일: 2024.01.31</t>
  </si>
  <si>
    <t>기업 #019</t>
  </si>
  <si>
    <t>일반계좌</t>
  </si>
  <si>
    <t>기업 #020</t>
  </si>
  <si>
    <t>기보보증금</t>
  </si>
  <si>
    <t>기업 #010</t>
  </si>
  <si>
    <t>2024.01.03</t>
  </si>
  <si>
    <t>12월 임대료,관리비,전기료</t>
  </si>
  <si>
    <t>단기차입금</t>
  </si>
  <si>
    <t>기보 대출금</t>
  </si>
  <si>
    <t>12월 법률자문료</t>
  </si>
  <si>
    <t>2024.01.09</t>
  </si>
  <si>
    <t>12월 근로 소득세</t>
  </si>
  <si>
    <t>12월 지방 소득세</t>
  </si>
  <si>
    <t>지식제산공제</t>
  </si>
  <si>
    <t>인증번호 확인용 입금</t>
  </si>
  <si>
    <t>지식제산공제 상품 가입</t>
  </si>
  <si>
    <t>2024.01.10</t>
  </si>
  <si>
    <t>2312국민건강</t>
  </si>
  <si>
    <t>2312고용보험</t>
  </si>
  <si>
    <t>2312국민연금</t>
  </si>
  <si>
    <t>2312산재보험</t>
  </si>
  <si>
    <t>청약용6168</t>
  </si>
  <si>
    <t>청약용8994</t>
  </si>
  <si>
    <t>2024.01.15</t>
  </si>
  <si>
    <t>2024.01.14</t>
  </si>
  <si>
    <t>ATOZ ASIA PROFESSIONAL SERVICES</t>
  </si>
  <si>
    <t>자사주 매입 후 소각 대행 수수료 지급</t>
  </si>
  <si>
    <t>2024.01.18</t>
  </si>
  <si>
    <t>기술보증기금</t>
  </si>
  <si>
    <t>보증료 지급</t>
  </si>
  <si>
    <t>기술평가료 지급</t>
  </si>
  <si>
    <t>기보 기금 입금</t>
  </si>
  <si>
    <t>기보 대출금 입금</t>
  </si>
  <si>
    <t>2024.01.19</t>
  </si>
  <si>
    <t>2024.01.20</t>
  </si>
  <si>
    <t>Chris 1월 급여</t>
  </si>
  <si>
    <t>2024.01.22</t>
  </si>
  <si>
    <t>기업은행</t>
  </si>
  <si>
    <t>2024.01.24</t>
  </si>
  <si>
    <t>2024.01.25</t>
  </si>
  <si>
    <t>직원</t>
  </si>
  <si>
    <t>문성화</t>
  </si>
  <si>
    <t>현장실습 수당 지급(1/15~1/31)</t>
  </si>
  <si>
    <t>Google Workspace Business Standard(연간/갱신)</t>
  </si>
  <si>
    <t>Google Workspace Business Standard(일한계산)</t>
  </si>
  <si>
    <t>평가 용역 수수료</t>
  </si>
  <si>
    <t>12월 그룹웨어 사용료 지급</t>
  </si>
  <si>
    <t>주식회사 에스제이코어</t>
  </si>
  <si>
    <t>2023년 종합검진 지급</t>
  </si>
  <si>
    <t>노무법인도원</t>
  </si>
  <si>
    <t>청년일자리도약장려금 수임료</t>
  </si>
  <si>
    <t>현대카드</t>
  </si>
  <si>
    <t>카드대금 지급</t>
  </si>
  <si>
    <t>2024.01.31</t>
  </si>
  <si>
    <t>기준일: 2024.02.29</t>
  </si>
  <si>
    <t>2024.02.01</t>
  </si>
  <si>
    <t>1월 임대료,관리비,전기료</t>
  </si>
  <si>
    <t>1월 법률자문료</t>
  </si>
  <si>
    <t>정기예적금</t>
  </si>
  <si>
    <t>Chris 2월 급여</t>
  </si>
  <si>
    <t>이자비용</t>
  </si>
  <si>
    <t>기보 대출이자</t>
  </si>
  <si>
    <t>2024.02.02</t>
  </si>
  <si>
    <t>2024.02.05</t>
  </si>
  <si>
    <t>특허공제02회</t>
  </si>
  <si>
    <t>2024.02.13</t>
  </si>
  <si>
    <t>2401국민건강</t>
  </si>
  <si>
    <t>2401산재보험</t>
  </si>
  <si>
    <t>2401 국민연금</t>
  </si>
  <si>
    <t>2401 고용보험</t>
  </si>
  <si>
    <t>1월 근로 소득세</t>
  </si>
  <si>
    <t>1월 기타 소득세</t>
  </si>
  <si>
    <t>1월 지방 소득세</t>
  </si>
  <si>
    <t>1월 그룹웨어 사용료 지급</t>
  </si>
  <si>
    <t>태국 출장여비 지급</t>
  </si>
  <si>
    <t>2024.02.14</t>
  </si>
  <si>
    <t>Havah</t>
  </si>
  <si>
    <t>2024.02.19</t>
  </si>
  <si>
    <t>대출금 이자 지급</t>
  </si>
  <si>
    <t>2024 결산</t>
  </si>
  <si>
    <t>2024.02.22</t>
  </si>
  <si>
    <t>2024.02.26</t>
  </si>
  <si>
    <t>2024.02.27</t>
  </si>
  <si>
    <t>2024.02.21</t>
  </si>
  <si>
    <t>2024.02.23</t>
  </si>
  <si>
    <t>개인경비 지급</t>
  </si>
  <si>
    <t>현장실습 수당 지급</t>
  </si>
  <si>
    <t>기업카드</t>
  </si>
  <si>
    <t>IconScout</t>
  </si>
  <si>
    <t>Silas Yip Kwok Fei</t>
  </si>
  <si>
    <t>자사주 50주에 대한 대금 비용</t>
  </si>
  <si>
    <t>마케팅비 입급</t>
  </si>
  <si>
    <t>2024.02.28</t>
  </si>
  <si>
    <t>법무비용</t>
  </si>
  <si>
    <t>Gitbook inc</t>
  </si>
  <si>
    <t>업무용 tool 사용</t>
  </si>
  <si>
    <t>2024.02.29</t>
  </si>
  <si>
    <t>ATOZ</t>
  </si>
  <si>
    <t>GST Report 1Q'24 GST 보고</t>
  </si>
  <si>
    <t>EBOS</t>
  </si>
  <si>
    <t>Full XBRL</t>
  </si>
  <si>
    <t>SKY MAVIS</t>
  </si>
  <si>
    <t>기준일: 2024.03.29</t>
  </si>
  <si>
    <t>2024.03.01</t>
  </si>
  <si>
    <t>Chris 3월 급여</t>
  </si>
  <si>
    <t>2023.03.04</t>
  </si>
  <si>
    <t>2월 임대료,관리비,전기료</t>
  </si>
  <si>
    <t>2월 법률자문료</t>
  </si>
  <si>
    <t>2월 그룹웨어 사용료 지급</t>
  </si>
  <si>
    <t>2023.03.05</t>
  </si>
  <si>
    <t>웹투어</t>
  </si>
  <si>
    <t>항공 취소 수수료</t>
  </si>
  <si>
    <t>특허공제03회</t>
  </si>
  <si>
    <t>2023.03.11</t>
  </si>
  <si>
    <t>2402고용보험</t>
  </si>
  <si>
    <t>2402산재보험</t>
  </si>
  <si>
    <t>2402국민건강</t>
  </si>
  <si>
    <t>2402국민연금</t>
  </si>
  <si>
    <t>2024.03.18</t>
  </si>
  <si>
    <t>2024.03.20</t>
  </si>
  <si>
    <t>2024.03.22</t>
  </si>
  <si>
    <t>2024.03.23</t>
  </si>
  <si>
    <t>2024.03.25</t>
  </si>
  <si>
    <t>2024.03.26</t>
  </si>
  <si>
    <t>고용노동부</t>
  </si>
  <si>
    <t>2024.03.15</t>
  </si>
  <si>
    <t>WISEBRICK CO</t>
  </si>
  <si>
    <t>ATOZ SGD 620 (Pre-A Phase 2 투자 등기 신고)</t>
  </si>
  <si>
    <t>2024.03.04</t>
  </si>
  <si>
    <t>2024.03.05</t>
  </si>
  <si>
    <t>GST</t>
  </si>
  <si>
    <t>GST 2024 1Q 환급</t>
  </si>
  <si>
    <t>2024.03.29</t>
  </si>
  <si>
    <t>연 법무사합동사무소</t>
  </si>
  <si>
    <t>정관변경(상호),임원변경(각자대표)</t>
  </si>
  <si>
    <t>맥북 구입 대금 지급</t>
  </si>
  <si>
    <t>Xero</t>
  </si>
  <si>
    <t>서비스 이용료</t>
  </si>
  <si>
    <t>2024.03.31</t>
  </si>
  <si>
    <t>기준일: 2024.04.30</t>
  </si>
  <si>
    <t>2024.04.01</t>
  </si>
  <si>
    <t>Chris 4월 급여, 개인경비</t>
  </si>
  <si>
    <t>OCBD BANK</t>
  </si>
  <si>
    <t>ZERO X AND PTE</t>
  </si>
  <si>
    <t>현금 인출</t>
  </si>
  <si>
    <t>2024.04.02</t>
  </si>
  <si>
    <t>2024.04.03</t>
  </si>
  <si>
    <t>법인카드 선지급</t>
  </si>
  <si>
    <t>3월 임대료,관리비,전기료</t>
  </si>
  <si>
    <t>3월 법률자문료</t>
  </si>
  <si>
    <t>3월 그룹웨어 사용료 지급</t>
  </si>
  <si>
    <t>메가존소프트 주식회사</t>
  </si>
  <si>
    <t>Google Workspace 3계정 추가</t>
  </si>
  <si>
    <t>맥북 구입 (알마,알란)</t>
  </si>
  <si>
    <t>노무법인 도원</t>
  </si>
  <si>
    <t>청년일자리도약장려금 (밀리 3차)</t>
  </si>
  <si>
    <t>2024.04.05</t>
  </si>
  <si>
    <t>Juneyoung Jeon</t>
  </si>
  <si>
    <t>경비 정산</t>
  </si>
  <si>
    <t>특허공제04회</t>
  </si>
  <si>
    <t>2403고용보험</t>
  </si>
  <si>
    <t>2403산재보험</t>
  </si>
  <si>
    <t>2403국민건강</t>
  </si>
  <si>
    <t>2023.04.15</t>
  </si>
  <si>
    <t>2403국민연금</t>
  </si>
  <si>
    <t>2024.04.14</t>
  </si>
  <si>
    <t>2024.04.17</t>
  </si>
  <si>
    <t>통장발급수수료</t>
  </si>
  <si>
    <t>현금인출</t>
  </si>
  <si>
    <t>2024.04.18</t>
  </si>
  <si>
    <t>2024.04.22</t>
  </si>
  <si>
    <t>법인세 환급</t>
  </si>
  <si>
    <t>법인 지방소득세 지급</t>
  </si>
  <si>
    <t>Google Workspace 1계정 추가</t>
  </si>
  <si>
    <t>(주)소프트플러스</t>
  </si>
  <si>
    <t>3ds Max 2024 라이센스 구입 (루이스)</t>
  </si>
  <si>
    <t>엄수근</t>
  </si>
  <si>
    <t>행사용 A3포스터 6종 배너 제작</t>
  </si>
  <si>
    <t>통장 재발급 수수료</t>
  </si>
  <si>
    <t>(주)창조공작소</t>
  </si>
  <si>
    <t>트레일러 영상 사운드 제작</t>
  </si>
  <si>
    <t>GCP 서비스 이용료</t>
  </si>
  <si>
    <t>2024.04.23</t>
  </si>
  <si>
    <t>가수금 정산</t>
  </si>
  <si>
    <t>2024.04.25</t>
  </si>
  <si>
    <t>전영준</t>
  </si>
  <si>
    <t>배너 디자인 제작(7장)</t>
  </si>
  <si>
    <t>23년 결산 수수료 지급</t>
  </si>
  <si>
    <t>2024.04.26</t>
  </si>
  <si>
    <t>(주)리버스에이지랩</t>
  </si>
  <si>
    <t>경영컨설팅</t>
  </si>
  <si>
    <t>공인인증서 갱신 수수료</t>
  </si>
  <si>
    <t>2024.04.29</t>
  </si>
  <si>
    <t>주식회사 레이드랩스</t>
  </si>
  <si>
    <t>2024.04.21</t>
  </si>
  <si>
    <t>2024.04.30</t>
  </si>
  <si>
    <t>사업소득 지급(개발)</t>
  </si>
  <si>
    <t>기준일: 2024.05.27</t>
  </si>
  <si>
    <t>2024.05.01</t>
  </si>
  <si>
    <t>Chris 5월 급여, 개인경비</t>
  </si>
  <si>
    <t>2024.05.02</t>
  </si>
  <si>
    <t>4월 법률자문료</t>
  </si>
  <si>
    <t>2024.05.10</t>
  </si>
  <si>
    <t>4월 지방 소득세</t>
  </si>
  <si>
    <t>4월 그룹웨어 사용료 지급</t>
  </si>
  <si>
    <t>행사용 배너, gif 제작 (8장)</t>
  </si>
  <si>
    <t>2024.05.07</t>
  </si>
  <si>
    <t>특허공제05회</t>
  </si>
  <si>
    <t>2404국민건강</t>
  </si>
  <si>
    <t>2404국민연금</t>
  </si>
  <si>
    <t>2404고용보험</t>
  </si>
  <si>
    <t>2404산재보험</t>
  </si>
  <si>
    <t>2024.05.13</t>
  </si>
  <si>
    <t>2024.05.03</t>
  </si>
  <si>
    <t>2024.05.21</t>
  </si>
  <si>
    <t>2024.05.17</t>
  </si>
  <si>
    <t>카드 선결제</t>
  </si>
  <si>
    <t>2024.05.20</t>
  </si>
  <si>
    <t>결산 이자</t>
  </si>
  <si>
    <t>2024.05.14</t>
  </si>
  <si>
    <t>Google Play</t>
  </si>
  <si>
    <t>Avoxi</t>
  </si>
  <si>
    <t>2024.05.22</t>
  </si>
  <si>
    <t>2024.05.24</t>
  </si>
  <si>
    <t>위험성평가 담당자 교육비 지급</t>
  </si>
  <si>
    <t>2024.05.23</t>
  </si>
  <si>
    <t>OTC 환전 (QCP Capital, USDT -&gt; USD)</t>
  </si>
  <si>
    <t>투자금 입금 (QCP Capital, USDT -&gt; USD 환전 후)</t>
  </si>
  <si>
    <t>2024.05.27</t>
  </si>
  <si>
    <t>2024.05.31</t>
  </si>
  <si>
    <t>apple</t>
  </si>
  <si>
    <t xml:space="preserve">애플 신청 수수료 </t>
  </si>
  <si>
    <t>2024.05.28</t>
  </si>
  <si>
    <t>Cryptio</t>
  </si>
  <si>
    <t>Digital Assets Accting</t>
  </si>
  <si>
    <t>기준일: 2024.06.28</t>
  </si>
  <si>
    <t>2024.06.01</t>
  </si>
  <si>
    <t>서비스 이용료 (싱가포르 전화번호)</t>
  </si>
  <si>
    <t>2024.06.05</t>
  </si>
  <si>
    <t>특허공제06회</t>
  </si>
  <si>
    <t>2024.06.07</t>
  </si>
  <si>
    <t>엘리샤</t>
  </si>
  <si>
    <t>중도퇴사 소득세 정산</t>
  </si>
  <si>
    <t>퇴직금</t>
  </si>
  <si>
    <t>(주)브릿지번역</t>
  </si>
  <si>
    <t>번역비 지급 (영어)</t>
  </si>
  <si>
    <t>5월 그룹웨어 사용료 지급</t>
  </si>
  <si>
    <t>법무법인 이후</t>
  </si>
  <si>
    <t>5월 법률자문료</t>
  </si>
  <si>
    <t>5월 퇴직 소득세</t>
  </si>
  <si>
    <t>5월 지방 소득세</t>
  </si>
  <si>
    <t>2024.06.04</t>
  </si>
  <si>
    <t>GST 2024 2Q 환급</t>
  </si>
  <si>
    <t>2024.06.03</t>
  </si>
  <si>
    <t>2024.06.09</t>
  </si>
  <si>
    <t>결산이자</t>
  </si>
  <si>
    <t>2024.06.10</t>
  </si>
  <si>
    <t>2405국민건강</t>
  </si>
  <si>
    <t>2405국민연금</t>
  </si>
  <si>
    <t>2405고용보험</t>
  </si>
  <si>
    <t>2405산재보험</t>
  </si>
  <si>
    <t>Chris 개인경비, 출장비 지급</t>
  </si>
  <si>
    <t>2024.06.11</t>
  </si>
  <si>
    <t>브릿지번역</t>
  </si>
  <si>
    <t>번역비 지급</t>
  </si>
  <si>
    <t>베네피아</t>
  </si>
  <si>
    <t>복지플랫폼 비용 지급</t>
  </si>
  <si>
    <t>2024.06.12</t>
  </si>
  <si>
    <t>코나아이</t>
  </si>
  <si>
    <t>카드 제작 (30매)</t>
  </si>
  <si>
    <t>2024.06.15</t>
  </si>
  <si>
    <t>2024.06.17</t>
  </si>
  <si>
    <t>2024.06.18</t>
  </si>
  <si>
    <t>김혁인</t>
  </si>
  <si>
    <t>웹 UI/UX제작 용역비 지급</t>
  </si>
  <si>
    <t>개인 경비, tool 지원 비용 지급</t>
  </si>
  <si>
    <t>나윤호</t>
  </si>
  <si>
    <t>tool 지원 비용 지급</t>
  </si>
  <si>
    <t>2024.06.21</t>
  </si>
  <si>
    <t>2024.06.22</t>
  </si>
  <si>
    <t>2024.06.24</t>
  </si>
  <si>
    <t>2024.06.20</t>
  </si>
  <si>
    <t>2024.06.25</t>
  </si>
  <si>
    <t>카드대금</t>
  </si>
  <si>
    <t>게임 UIUX 컨셉 제작</t>
  </si>
  <si>
    <t>복지용 카드 지급</t>
  </si>
  <si>
    <t>2024.06.28</t>
  </si>
  <si>
    <t>2024.06.30</t>
  </si>
  <si>
    <t>2024.06.27</t>
  </si>
  <si>
    <t>청년일자리도약장려금 (밀리,포마)</t>
  </si>
  <si>
    <t>기준일: 2024.07.31</t>
  </si>
  <si>
    <t>2024.07.01</t>
  </si>
  <si>
    <t>2024.07.03</t>
  </si>
  <si>
    <t>6월 사업 소득세</t>
  </si>
  <si>
    <t>6월 지방 소득세</t>
  </si>
  <si>
    <t>6월 그룹웨어 사용료 지급</t>
  </si>
  <si>
    <t>6월 법률자문료</t>
  </si>
  <si>
    <t>AVOXI</t>
  </si>
  <si>
    <t>2024.07.08</t>
  </si>
  <si>
    <t>ATOZ INV70189, INV70264</t>
  </si>
  <si>
    <t>2024.07.02</t>
  </si>
  <si>
    <t>QVC Capital</t>
  </si>
  <si>
    <t>RON -&gt; USD 환전 (10 RON + GV 로얄티 47,607.91 RON -&gt; $23.80 + $99,129.77)</t>
  </si>
  <si>
    <t>2024.07.05</t>
  </si>
  <si>
    <t>특허공제07회</t>
  </si>
  <si>
    <t>2024.07.07</t>
  </si>
  <si>
    <t>TOOL 비용</t>
  </si>
  <si>
    <t>2024.07.09</t>
  </si>
  <si>
    <t>2024.07.10</t>
  </si>
  <si>
    <t>출장비 지급</t>
  </si>
  <si>
    <t>2406산재보험</t>
  </si>
  <si>
    <t>2406고용보험</t>
  </si>
  <si>
    <t>2406국민연금</t>
  </si>
  <si>
    <t>2406국민건강</t>
  </si>
  <si>
    <t>2024.07.12</t>
  </si>
  <si>
    <t>2024.07.16</t>
  </si>
  <si>
    <t>조아영</t>
  </si>
  <si>
    <t>만화 외주 용역비 지급</t>
  </si>
  <si>
    <t>2024.07.18</t>
  </si>
  <si>
    <t>2024.07.19</t>
  </si>
  <si>
    <t>EP 비자 수수료 지급</t>
  </si>
  <si>
    <t>2024.07.22</t>
  </si>
  <si>
    <t>2024.07.20</t>
  </si>
  <si>
    <t>2024.07.24</t>
  </si>
  <si>
    <t>2024.07.25</t>
  </si>
  <si>
    <t>비씨카드</t>
  </si>
  <si>
    <t>카드 대금 지급</t>
  </si>
  <si>
    <t>급여 지급</t>
  </si>
  <si>
    <t>바디프랜드19</t>
  </si>
  <si>
    <t>주식회사 레이</t>
  </si>
  <si>
    <t>2024.07.26</t>
  </si>
  <si>
    <t>RAID LABS INC</t>
  </si>
  <si>
    <t>2024.07.28</t>
  </si>
  <si>
    <t>tool 비용 지급</t>
  </si>
  <si>
    <t>2024.07.31</t>
  </si>
  <si>
    <t>기준일: 2024.08.30</t>
  </si>
  <si>
    <t>2024.08.01</t>
  </si>
  <si>
    <t>Chris 8월 급여</t>
  </si>
  <si>
    <t>Chris 9월 급여 선지급</t>
  </si>
  <si>
    <t>2024.08.02</t>
  </si>
  <si>
    <t>2024.08.05</t>
  </si>
  <si>
    <t>7월 임대료 지급</t>
  </si>
  <si>
    <t>7월 법률 자문료 지급</t>
  </si>
  <si>
    <t>USDT 120K, RON 1,720.23 환전</t>
  </si>
  <si>
    <t>2024.08.09</t>
  </si>
  <si>
    <t>국고_주식회사 레이</t>
  </si>
  <si>
    <t>7월 그룹웨어 사용료 지급</t>
  </si>
  <si>
    <t>주민세 사업소분</t>
  </si>
  <si>
    <t>Google Cloud Platform (5~6월)</t>
  </si>
  <si>
    <t>Google Workspace 추가(무너)</t>
  </si>
  <si>
    <t>2024.08.12</t>
  </si>
  <si>
    <t>2407산재보험</t>
  </si>
  <si>
    <t>2407고용보험</t>
  </si>
  <si>
    <t>2407 건강보험</t>
  </si>
  <si>
    <t>2407 연금보험</t>
  </si>
  <si>
    <t>2024.08.16</t>
  </si>
  <si>
    <t>코나비즈</t>
  </si>
  <si>
    <t>복지카드 지급 (엘리)</t>
  </si>
  <si>
    <t>2024.08.20</t>
  </si>
  <si>
    <t>2024.08.18</t>
  </si>
  <si>
    <t>출장여비 지급</t>
  </si>
  <si>
    <t>2024.08.19</t>
  </si>
  <si>
    <t>2024결산</t>
  </si>
  <si>
    <t>2024.08.21</t>
  </si>
  <si>
    <t>2024.08.23</t>
  </si>
  <si>
    <t>네이버</t>
  </si>
  <si>
    <t>KBW 굿즈 제작 (키링)</t>
  </si>
  <si>
    <t>2024.08.26</t>
  </si>
  <si>
    <t>KT</t>
  </si>
  <si>
    <t>전화,인터넷</t>
  </si>
  <si>
    <t>자문료</t>
  </si>
  <si>
    <t>코웨이렌탈</t>
  </si>
  <si>
    <t>바디프렌드</t>
  </si>
  <si>
    <t>2024.08.30</t>
  </si>
  <si>
    <t>2024.08.27</t>
  </si>
  <si>
    <t>Presto Labs 구주거래 대행료</t>
  </si>
  <si>
    <t>2024.08.28</t>
  </si>
  <si>
    <t>tool 비용</t>
  </si>
  <si>
    <t>2024.08.31</t>
  </si>
  <si>
    <t>기준일: 2024.09.30</t>
  </si>
  <si>
    <t>Board Wallet (USDT)</t>
  </si>
  <si>
    <t>2024.09.02</t>
  </si>
  <si>
    <t>(주) 컴퓨존</t>
  </si>
  <si>
    <t>모니터 5대 구매</t>
  </si>
  <si>
    <t>2024.09.01</t>
  </si>
  <si>
    <t>tool 사용료</t>
  </si>
  <si>
    <t>2024.09.03</t>
  </si>
  <si>
    <t>USDT 120K 환전</t>
  </si>
  <si>
    <t>예수금</t>
  </si>
  <si>
    <t>2024.09.04</t>
  </si>
  <si>
    <t>1,740.81 RON 환전</t>
  </si>
  <si>
    <t>2024.09.06</t>
  </si>
  <si>
    <t>Cha &amp; Kwon</t>
  </si>
  <si>
    <t>Monster Company Ltd 법인 2024년 연간갱신</t>
  </si>
  <si>
    <t>2024.09.17</t>
  </si>
  <si>
    <t>2024.09.23</t>
  </si>
  <si>
    <t>Monster Company Ltd 법인 nominee director &amp; sharholder 연간 비용</t>
  </si>
  <si>
    <t>2024.09.30</t>
  </si>
  <si>
    <t>2024.09.05</t>
  </si>
  <si>
    <t>레이드랩스</t>
  </si>
  <si>
    <t>8월 퇴직 소득세</t>
  </si>
  <si>
    <t>8월 그룹웨어 사용료 지급</t>
  </si>
  <si>
    <t>8월 임대료,관리비,전기료</t>
  </si>
  <si>
    <t>8월 법률자문료</t>
  </si>
  <si>
    <t>주시온</t>
  </si>
  <si>
    <t>퇴직금 지급</t>
  </si>
  <si>
    <t>김준수</t>
  </si>
  <si>
    <t>중도퇴사 소득세 환급</t>
  </si>
  <si>
    <t>태국 출장 경비</t>
  </si>
  <si>
    <t>메가존</t>
  </si>
  <si>
    <t>Google Cloud Platform (7월)</t>
  </si>
  <si>
    <t>2024.09.10</t>
  </si>
  <si>
    <t>번역비 지급 (포르투갈BR, 중국어 번체)</t>
  </si>
  <si>
    <t>특허공제 09회</t>
  </si>
  <si>
    <t>특허공제09회</t>
  </si>
  <si>
    <t>2408국민건강</t>
  </si>
  <si>
    <t>2408고용보험</t>
  </si>
  <si>
    <t>2408국민연금</t>
  </si>
  <si>
    <t>2408산재보험</t>
  </si>
  <si>
    <t>2024.09.11</t>
  </si>
  <si>
    <t>유영훈</t>
  </si>
  <si>
    <t>2024.09.12</t>
  </si>
  <si>
    <t>세금인증수수료</t>
  </si>
  <si>
    <t>세금계산서용 인증서 발급 수수료</t>
  </si>
  <si>
    <t>2024.09.16</t>
  </si>
  <si>
    <t>싱가폴 출장 경비</t>
  </si>
  <si>
    <t>2024.09.19</t>
  </si>
  <si>
    <t>하나카드결제</t>
  </si>
  <si>
    <t>카드대급 (선결제)</t>
  </si>
  <si>
    <t>Chris 10월 급여 선지급</t>
  </si>
  <si>
    <t>2024.09.21</t>
  </si>
  <si>
    <t xml:space="preserve">태국 출장비 </t>
  </si>
  <si>
    <t>2024.09.20</t>
  </si>
  <si>
    <t>2024.09.24</t>
  </si>
  <si>
    <t>주식회사타이렐</t>
  </si>
  <si>
    <t>매출대금 입금</t>
  </si>
  <si>
    <t>김민성</t>
  </si>
  <si>
    <t>외주용역비 지급</t>
  </si>
  <si>
    <t>2024.09.25</t>
  </si>
  <si>
    <t>9월 급여</t>
  </si>
  <si>
    <t>현장실습</t>
  </si>
  <si>
    <t>카드대급 지급</t>
  </si>
  <si>
    <t>2024.09.26</t>
  </si>
  <si>
    <t>병원비 여행자보험 처리금 입금</t>
  </si>
  <si>
    <t>2024.09.27</t>
  </si>
  <si>
    <t>2024.09.29</t>
  </si>
  <si>
    <t>Solarium Labs Pte. Ltd.</t>
  </si>
  <si>
    <t>Presto Labs &lt;&gt; Solarium Labs Pte. Ltd. 구주거래 세금 (Stamp Duty) 대납 수령 (ATOZ 통해서 대납 예정)</t>
  </si>
  <si>
    <t>기준일: 2024.10.31</t>
  </si>
  <si>
    <t>GV royalty</t>
  </si>
  <si>
    <t>GV 송금후 달러 잔액</t>
  </si>
  <si>
    <t>2024.10.01</t>
  </si>
  <si>
    <t>Chris 11월 급여 선지급</t>
  </si>
  <si>
    <t>서비스매출</t>
  </si>
  <si>
    <t>게임 매출</t>
  </si>
  <si>
    <t>2024.10.02</t>
  </si>
  <si>
    <t>2024.10.03</t>
  </si>
  <si>
    <t>2024.10.04</t>
  </si>
  <si>
    <t>Google Workspace Business Standard(연간/추가)</t>
  </si>
  <si>
    <t>Google Cloud Platform (8월)</t>
  </si>
  <si>
    <t>주식회사 원티드랩</t>
  </si>
  <si>
    <t>채용플랫폼 이용수수료</t>
  </si>
  <si>
    <t>9월 그룹웨어 사용료 지급</t>
  </si>
  <si>
    <t>PGLabs</t>
  </si>
  <si>
    <t>PGLabs 수수료</t>
  </si>
  <si>
    <t>2024.10.09</t>
  </si>
  <si>
    <t>Arturo Chen Jiang</t>
  </si>
  <si>
    <t>야메무리 인건비</t>
  </si>
  <si>
    <t>2024.10.10</t>
  </si>
  <si>
    <t>9월 사업 소득세</t>
  </si>
  <si>
    <t>특허공제 10회</t>
  </si>
  <si>
    <t>2409산재보험</t>
  </si>
  <si>
    <t>2409국민연금</t>
  </si>
  <si>
    <t>2409고용보험</t>
  </si>
  <si>
    <t>2409국민건강</t>
  </si>
  <si>
    <t>법인카드 선결제 (10/25분)</t>
  </si>
  <si>
    <t>2024.10.12</t>
  </si>
  <si>
    <t>Stamp duty 비용 (플라대납)</t>
  </si>
  <si>
    <t>Xsolla</t>
  </si>
  <si>
    <t>2024.10.14</t>
  </si>
  <si>
    <t>ENTRA LAW LLC</t>
  </si>
  <si>
    <t>Bridge round 투자계약서 작업비(선금)</t>
  </si>
  <si>
    <t>2024.10.11</t>
  </si>
  <si>
    <t>RON 매각 대금</t>
  </si>
  <si>
    <t>Misc.</t>
  </si>
  <si>
    <t>USDT 환전 (QCP Capital)</t>
  </si>
  <si>
    <t>GOOGLE PAYMENT</t>
  </si>
  <si>
    <t>구글 테스트 입금</t>
  </si>
  <si>
    <t>2024.10.20</t>
  </si>
  <si>
    <t>xero</t>
  </si>
  <si>
    <t>2024.10.16</t>
  </si>
  <si>
    <t>2024.10.21</t>
  </si>
  <si>
    <t>2024.10.18</t>
  </si>
  <si>
    <t>2024.10.22</t>
  </si>
  <si>
    <t>구글 9월 매출대금 입금</t>
  </si>
  <si>
    <t>2024.10.23</t>
  </si>
  <si>
    <t>신두섭</t>
  </si>
  <si>
    <t>tool 지원, 개인경비 비용 지급</t>
  </si>
  <si>
    <t>2024.10.24</t>
  </si>
  <si>
    <t>2024.10.25</t>
  </si>
  <si>
    <t>RON -&gt; USDT 환전 (via Baht Binance 계정)</t>
  </si>
  <si>
    <t>2024.10.28</t>
  </si>
  <si>
    <t>2024.10.31</t>
  </si>
  <si>
    <t>Apple Store</t>
  </si>
  <si>
    <t>Apple Store 2024.09 매출 수령</t>
  </si>
  <si>
    <t>GRAVITY</t>
  </si>
  <si>
    <t>2024년 5월 ~ 9월 로열티 지급</t>
  </si>
  <si>
    <t>NEICON</t>
  </si>
  <si>
    <t>라인 마케팅 비용 지급</t>
  </si>
  <si>
    <t>이사회결의서 및 ACRA 신고 비용</t>
  </si>
  <si>
    <t>2024.10.27</t>
  </si>
  <si>
    <t>기준일: 2024.11.29</t>
  </si>
  <si>
    <t>2024.11.01</t>
  </si>
  <si>
    <t>Chris 12월 급여 선지급</t>
  </si>
  <si>
    <t>2024.11.04</t>
  </si>
  <si>
    <t>Verichain</t>
  </si>
  <si>
    <t>Smart Contract Audit</t>
  </si>
  <si>
    <t>2024.11.05</t>
  </si>
  <si>
    <t>Google Cloud Platform (9월)</t>
  </si>
  <si>
    <t>10월 법률자문료</t>
  </si>
  <si>
    <t>10월 그룹웨어 사용료 지급</t>
  </si>
  <si>
    <t>2024.11.07</t>
  </si>
  <si>
    <t>박지수</t>
  </si>
  <si>
    <t>몬스터카드 영상 제작 용역비 지급</t>
  </si>
  <si>
    <t>특허공제 12회</t>
  </si>
  <si>
    <t>특허공제 11회</t>
  </si>
  <si>
    <t>2024.11.06</t>
  </si>
  <si>
    <t>싱가포르 국세청</t>
  </si>
  <si>
    <t>2분기 GST 자동 이체 (다시 환불 예정)</t>
  </si>
  <si>
    <t>2024.11.11</t>
  </si>
  <si>
    <t>2410산재보험</t>
  </si>
  <si>
    <t>2410국민연금</t>
  </si>
  <si>
    <t>2410고용보험</t>
  </si>
  <si>
    <t>2410국민건강</t>
  </si>
  <si>
    <r>
      <rPr>
        <rFont val="Malgun Gothic"/>
        <color rgb="FF1155CC"/>
        <sz val="10.0"/>
        <u/>
      </rPr>
      <t>Gate.io</t>
    </r>
    <r>
      <rPr>
        <rFont val="Malgun Gothic"/>
        <color rgb="FF000000"/>
        <sz val="10.0"/>
      </rPr>
      <t xml:space="preserve"> (바트)</t>
    </r>
  </si>
  <si>
    <t>XPLA 매각 대금</t>
  </si>
  <si>
    <r>
      <rPr>
        <rFont val="Malgun Gothic"/>
        <color rgb="FF1155CC"/>
        <sz val="10.0"/>
        <u/>
      </rPr>
      <t>Gate.io</t>
    </r>
    <r>
      <rPr>
        <rFont val="Malgun Gothic"/>
        <color rgb="FF000000"/>
        <sz val="10.0"/>
      </rPr>
      <t xml:space="preserve"> (바트)</t>
    </r>
  </si>
  <si>
    <t>2분기 GST 자동이체금액 환불</t>
  </si>
  <si>
    <t>2024.11.14</t>
  </si>
  <si>
    <t>GV 5월-9월 로열티 원천세 납부</t>
  </si>
  <si>
    <t>2024.11.15</t>
  </si>
  <si>
    <t>2분기 GST 납무</t>
  </si>
  <si>
    <t>2024.11.18</t>
  </si>
  <si>
    <t>필리핀 출장여비 지급</t>
  </si>
  <si>
    <t>2024.11.20</t>
  </si>
  <si>
    <t>개인경비 지급(오송금반환)</t>
  </si>
  <si>
    <t>2024.11.19</t>
  </si>
  <si>
    <t>구글 10월 매출대금 입금</t>
  </si>
  <si>
    <t>2024.11.21</t>
  </si>
  <si>
    <t>USDT -&gt; USD 환전 (QCP Capital)</t>
  </si>
  <si>
    <t>2024.11.22</t>
  </si>
  <si>
    <t>2024.11.25</t>
  </si>
  <si>
    <t>2024.11.29</t>
  </si>
  <si>
    <t>GV</t>
  </si>
  <si>
    <t>GV 9월 (web2), 10월 (web2, web3) 로열티 지급</t>
  </si>
  <si>
    <t>GGT</t>
  </si>
  <si>
    <t>GGT 9월 (web2), 10월 (web2) 로열티 지급</t>
  </si>
  <si>
    <t>2024-11.27</t>
  </si>
  <si>
    <t>기준일: 2024.12.31</t>
  </si>
  <si>
    <t>.</t>
  </si>
  <si>
    <t>2024.12.02</t>
  </si>
  <si>
    <t>2024.12.01</t>
  </si>
  <si>
    <t>2024.12.03</t>
  </si>
  <si>
    <t>Chris 1월 급여 선지급</t>
  </si>
  <si>
    <t>야메무리 인건비 (11월)</t>
  </si>
  <si>
    <t>2024.12.04</t>
  </si>
  <si>
    <t>GST 4분기 환급액</t>
  </si>
  <si>
    <t>김소희</t>
  </si>
  <si>
    <t>조의금</t>
  </si>
  <si>
    <t>2024.12.05</t>
  </si>
  <si>
    <t>채용 플랫폼 이용료 지급 (jason)</t>
  </si>
  <si>
    <t>Apple Store 2024.10 매출 수령</t>
  </si>
  <si>
    <t>2024.12.09</t>
  </si>
  <si>
    <t>2024.12.10</t>
  </si>
  <si>
    <t>2411산재보험</t>
  </si>
  <si>
    <t>2411국민연금</t>
  </si>
  <si>
    <t>2411고용보험</t>
  </si>
  <si>
    <t>2411국민건강</t>
  </si>
  <si>
    <t>XPLA 환전 금액</t>
  </si>
  <si>
    <t>머틀 9월, 10월 비용</t>
  </si>
  <si>
    <t>11월 사업 소득세</t>
  </si>
  <si>
    <t>Google Cloud Platform (10월)</t>
  </si>
  <si>
    <t>2024.12.16</t>
  </si>
  <si>
    <t>2024년 결산</t>
  </si>
  <si>
    <t>2024.12.17</t>
  </si>
  <si>
    <t>구글 11월 매출대금 입금</t>
  </si>
  <si>
    <t>2024.12.18</t>
  </si>
  <si>
    <t>VeriChains</t>
  </si>
  <si>
    <t>smart contract audit 비용</t>
  </si>
  <si>
    <t>2024.12.19</t>
  </si>
  <si>
    <t>Aylabs</t>
  </si>
  <si>
    <t>Marketing 비용 전송</t>
  </si>
  <si>
    <t>2024.12.21</t>
  </si>
  <si>
    <t>2024.12.23</t>
  </si>
  <si>
    <t>IRAS</t>
  </si>
  <si>
    <t>GV 10월 로열티 원천세 납부</t>
  </si>
  <si>
    <t xml:space="preserve">ZERO X AND PTE. LTD
</t>
  </si>
  <si>
    <t>Kahuna LLC</t>
  </si>
  <si>
    <t>Kahuna LLC - Bridge Round 투자금 입금 (반환 예정)</t>
  </si>
  <si>
    <t>2024.12.24</t>
  </si>
  <si>
    <t>2024.12.26</t>
  </si>
  <si>
    <t>2024.12.20</t>
  </si>
  <si>
    <t>2024.12.27</t>
  </si>
  <si>
    <t>USDC -&gt; USD 환전 (QCP Capital)</t>
  </si>
  <si>
    <t>2024.12.31</t>
  </si>
  <si>
    <t>GRAVITY GAME TECH CO., LTD.</t>
  </si>
  <si>
    <t>GGT Royalty Nov 2024</t>
  </si>
  <si>
    <t>GRAVITY CO., LTD.</t>
  </si>
  <si>
    <t>GV Royalty for November 2024</t>
  </si>
  <si>
    <t>2024.12.28</t>
  </si>
  <si>
    <t>Balance Adjustment</t>
  </si>
  <si>
    <t>기준일: 2025.01.31</t>
  </si>
  <si>
    <t>2025.01.02</t>
  </si>
  <si>
    <t>Chris 2월 급여 선지급</t>
  </si>
  <si>
    <t>2025.01.03</t>
  </si>
  <si>
    <t>Google Cloud Platform (11월)</t>
  </si>
  <si>
    <t>기보대출 보증료 지급</t>
  </si>
  <si>
    <t>용민기</t>
  </si>
  <si>
    <t>천제희</t>
  </si>
  <si>
    <t>정기예금 해지 환급금</t>
  </si>
  <si>
    <t>2025.01.01</t>
  </si>
  <si>
    <t>Apple Store 2024.11 매출 수령</t>
  </si>
  <si>
    <t>2025.01.10</t>
  </si>
  <si>
    <t>2412산재보험</t>
  </si>
  <si>
    <t>2412국민연금</t>
  </si>
  <si>
    <t>2412고용보험</t>
  </si>
  <si>
    <t>2412국민건강</t>
  </si>
  <si>
    <t>2024.01.06</t>
  </si>
  <si>
    <t>XPLA</t>
  </si>
  <si>
    <t>2025.01.17</t>
  </si>
  <si>
    <t>구글 12월 매출대금 입금</t>
  </si>
  <si>
    <t>2025.01.14</t>
  </si>
  <si>
    <t>차앤권 법무법인</t>
  </si>
  <si>
    <t>C&amp;K $ZENY Legal Opinion 수수료</t>
  </si>
  <si>
    <t>balance adjustment</t>
  </si>
  <si>
    <t>2025.01.20</t>
  </si>
  <si>
    <t>2025년 결산</t>
  </si>
  <si>
    <t>2025.01.21</t>
  </si>
  <si>
    <t>2025.01.22</t>
  </si>
  <si>
    <t>2025.01.23</t>
  </si>
  <si>
    <t>2025.01.24</t>
  </si>
  <si>
    <t>1월 급여</t>
  </si>
  <si>
    <t>에스케이엠앤서비스</t>
  </si>
  <si>
    <t>복지플랫폼 비용 환급</t>
  </si>
  <si>
    <t>2025.01.31</t>
  </si>
  <si>
    <t>2025.01.27</t>
  </si>
  <si>
    <t>차앤권</t>
  </si>
  <si>
    <t>BVI법인 서명위임자 지명 비용</t>
  </si>
  <si>
    <t>GV Royalty for Dec 2024</t>
  </si>
  <si>
    <t>GGT Royalty Dec 2024</t>
  </si>
  <si>
    <t>2025.01.19</t>
  </si>
  <si>
    <t>Multi-sig 지갑: 0.7 ETH -&gt; 2,253.87 USDT 환전</t>
  </si>
  <si>
    <t>Traevonle 마케팅 비용 지급</t>
  </si>
  <si>
    <t>기준일: 2025.02.27</t>
  </si>
  <si>
    <t>2025.02.03</t>
  </si>
  <si>
    <t>Chris 3월 급여 선지급</t>
  </si>
  <si>
    <t>LINE NETX</t>
  </si>
  <si>
    <t>LINE NEXT 비용 지급</t>
  </si>
  <si>
    <t>GV 11월 로열티 원천세 납부</t>
  </si>
  <si>
    <t>2025.02.04</t>
  </si>
  <si>
    <t>2025.02.05</t>
  </si>
  <si>
    <t>Google Cloud Platform (12월)</t>
  </si>
  <si>
    <t>2025.02.10</t>
  </si>
  <si>
    <t>2501산재보험</t>
  </si>
  <si>
    <t>2501국민연금</t>
  </si>
  <si>
    <t>2501고용보험</t>
  </si>
  <si>
    <t>2501국민건강</t>
  </si>
  <si>
    <t>2025.02.11</t>
  </si>
  <si>
    <t>조의금 (조부상)</t>
  </si>
  <si>
    <t>2025.02.12</t>
  </si>
  <si>
    <t>RON - &gt; USDT 환전 (바트 바이낸스 계정 통해서 진행)</t>
  </si>
  <si>
    <t>2025.02.14</t>
  </si>
  <si>
    <t>GV 12월 로열티 원천세 납부</t>
  </si>
  <si>
    <t>2025.02.17</t>
  </si>
  <si>
    <t>2025.02.13</t>
  </si>
  <si>
    <t>2025.02.19</t>
  </si>
  <si>
    <t>2025.02.18</t>
  </si>
  <si>
    <t>ETH -&gt; USDT 환전</t>
  </si>
  <si>
    <t>2025.02.01</t>
  </si>
  <si>
    <t>Dongjin Chun</t>
  </si>
  <si>
    <t>Dongjin Chun 인건비</t>
  </si>
  <si>
    <t>2025.02.06</t>
  </si>
  <si>
    <t>TRANSWAP PRIVATE LIMITED</t>
  </si>
  <si>
    <t>구글 1월 매출대금 입금</t>
  </si>
  <si>
    <t>2025.02.21</t>
  </si>
  <si>
    <t>2025.02.24</t>
  </si>
  <si>
    <t>2025.02.25</t>
  </si>
  <si>
    <t>2025.02.28</t>
  </si>
  <si>
    <t>2025.02.27</t>
  </si>
  <si>
    <t>GV Royalty Jan 2025</t>
  </si>
  <si>
    <t>GGT Royalty Jan 2025</t>
  </si>
  <si>
    <t>기준일: 2025.03.31</t>
  </si>
  <si>
    <t>2025.03.01</t>
  </si>
  <si>
    <t>2025.03.03</t>
  </si>
  <si>
    <t>2025.03.05</t>
  </si>
  <si>
    <t>2025.03.10</t>
  </si>
  <si>
    <t>2502산재보험</t>
  </si>
  <si>
    <t>2502국민연금</t>
  </si>
  <si>
    <t>2502고용보험</t>
  </si>
  <si>
    <t>2502국민건강</t>
  </si>
  <si>
    <t>2025.03.15</t>
  </si>
  <si>
    <t>2025.03.07</t>
  </si>
  <si>
    <t>Apple Store 2025.01 매출 수령</t>
  </si>
  <si>
    <t>GST 1분기 환급액</t>
  </si>
  <si>
    <t>2025.03.17</t>
  </si>
  <si>
    <t>2025.03.19</t>
  </si>
  <si>
    <t>구글 2월 매출대금 입금</t>
  </si>
  <si>
    <t>2025.03.20</t>
  </si>
  <si>
    <t>주식회사 넥써스</t>
  </si>
  <si>
    <t>단기대여금 입금</t>
  </si>
  <si>
    <t>Chris 4월 급여 선지급</t>
  </si>
  <si>
    <t>2025.03.21</t>
  </si>
  <si>
    <t>2025.03.24</t>
  </si>
  <si>
    <t>2025.03.22</t>
  </si>
  <si>
    <t>2025.03.25</t>
  </si>
  <si>
    <t>3월 급여</t>
  </si>
  <si>
    <t>2025.03.27</t>
  </si>
  <si>
    <t>Digital Assets Accting (Cryptio)</t>
  </si>
  <si>
    <t>2025.03.31</t>
  </si>
  <si>
    <t>라그몬 인앱 매출액 입금 (24.10~25.02)</t>
  </si>
  <si>
    <t>GV Royalty Feb 2025 (USD 927.03)</t>
  </si>
  <si>
    <t>GGT Royalty Feb 2025</t>
  </si>
  <si>
    <t>GV 1월 로열티 원천세 납부</t>
  </si>
  <si>
    <t>전동진 대표님</t>
  </si>
  <si>
    <t>전대표님 3월 비용</t>
  </si>
  <si>
    <t>기준일: 2025.04.30</t>
  </si>
  <si>
    <t>2025.04.04</t>
  </si>
  <si>
    <t>2025.04.01</t>
  </si>
  <si>
    <t>2025.04.03</t>
  </si>
  <si>
    <t>수수료</t>
  </si>
  <si>
    <t>Apple Store 2025.02 매출 수령</t>
  </si>
  <si>
    <t>2025.04.10</t>
  </si>
  <si>
    <t>2024년 결산 수수료</t>
  </si>
  <si>
    <t>24년 법인지방소득세 지급</t>
  </si>
  <si>
    <t>2025.04.11</t>
  </si>
  <si>
    <t>김정건</t>
  </si>
  <si>
    <t>아토즈 비용 지급</t>
  </si>
  <si>
    <t>24년 법인세 환급</t>
  </si>
  <si>
    <t>2025.04.17</t>
  </si>
  <si>
    <t>2025.04.18</t>
  </si>
  <si>
    <t>구글 3월 매출대금 입금</t>
  </si>
  <si>
    <t>2025.04.19</t>
  </si>
  <si>
    <t>2025.04.21</t>
  </si>
  <si>
    <t>XERO</t>
  </si>
  <si>
    <t>Verichains SG PTE.LTD</t>
  </si>
  <si>
    <t>오딧 비용</t>
  </si>
  <si>
    <t>2025.04.23</t>
  </si>
  <si>
    <t>카이아 토큰 구매</t>
  </si>
  <si>
    <t>2025.04.25</t>
  </si>
  <si>
    <t>매출대금입금</t>
  </si>
  <si>
    <t>4월 급여</t>
  </si>
  <si>
    <t>Chris 5월 급여 선지급</t>
  </si>
  <si>
    <t>서초번역행정사</t>
  </si>
  <si>
    <t>번역 공증 수수료 지급</t>
  </si>
  <si>
    <t>2025.04.27</t>
  </si>
  <si>
    <t>2025.04.28</t>
  </si>
  <si>
    <t>Google Cloud Platform (1월)</t>
  </si>
  <si>
    <t>2025.04.29</t>
  </si>
  <si>
    <t>LINE NEXT</t>
  </si>
  <si>
    <t>GV Royalty Mar 2025</t>
  </si>
  <si>
    <t>GGT Royalty Mar 2025</t>
  </si>
  <si>
    <t>2025.04.30</t>
  </si>
  <si>
    <t>기준일: 2025.05.30</t>
  </si>
  <si>
    <t>2025.05.01</t>
  </si>
  <si>
    <t>2025.05.02</t>
  </si>
  <si>
    <t>Google Cloud</t>
  </si>
  <si>
    <t>2025.05.04</t>
  </si>
  <si>
    <t>Apple Store 2025.03 매출 수령</t>
  </si>
  <si>
    <t>2025.05.05</t>
  </si>
  <si>
    <t>2025.05.09</t>
  </si>
  <si>
    <t>4월 소득세</t>
  </si>
  <si>
    <t>4월 지방소득세</t>
  </si>
  <si>
    <t>지방소득세</t>
  </si>
  <si>
    <t>tool 지원 비용 및 개인경비 지급</t>
  </si>
  <si>
    <t>2025.05.11</t>
  </si>
  <si>
    <t>조의금 지급</t>
  </si>
  <si>
    <t>2025.05.12</t>
  </si>
  <si>
    <t>2504산재보험</t>
  </si>
  <si>
    <t>2504국민연금</t>
  </si>
  <si>
    <t>2504고용보험</t>
  </si>
  <si>
    <t>2504국민건강</t>
  </si>
  <si>
    <t>2025.05.13</t>
  </si>
  <si>
    <t>Certificate of Incorporation 발급 비용</t>
  </si>
  <si>
    <t>2025.05.15</t>
  </si>
  <si>
    <t>주주납입</t>
  </si>
  <si>
    <t>2025.05.14</t>
  </si>
  <si>
    <t>아토즈 (보통주 엔젤 증여)</t>
  </si>
  <si>
    <t>2025.05.16</t>
  </si>
  <si>
    <t>LEE LEESEUL</t>
  </si>
  <si>
    <t>2025.05.18</t>
  </si>
  <si>
    <t>Google cloud</t>
  </si>
  <si>
    <t>구글 비용 지급</t>
  </si>
  <si>
    <t>2025.05.19</t>
  </si>
  <si>
    <t>변호사 비용 지급</t>
  </si>
  <si>
    <t>오딧 비용 지급</t>
  </si>
  <si>
    <t>구글 4월 매출대금 입금</t>
  </si>
  <si>
    <t>2025.05.20</t>
  </si>
  <si>
    <t>공동인증발급수수료</t>
  </si>
  <si>
    <t>2025.05.21</t>
  </si>
  <si>
    <t>2025.05.23</t>
  </si>
  <si>
    <t>주식회사넥써쓰</t>
  </si>
  <si>
    <t>2025.05.26</t>
  </si>
  <si>
    <t>Chris 위로금 지급</t>
  </si>
  <si>
    <t>2025.05.27</t>
  </si>
  <si>
    <t>2025.05.30</t>
  </si>
  <si>
    <t>2025.05.28</t>
  </si>
  <si>
    <t>기준일: 2025.06.30</t>
  </si>
  <si>
    <t>2025.06.01</t>
  </si>
  <si>
    <t>2025.06.02</t>
  </si>
  <si>
    <t>2025.06.05</t>
  </si>
  <si>
    <t>tool 지원 비용 지급 (5월)</t>
  </si>
  <si>
    <t>Apple Store 2025.04 매출 수령</t>
  </si>
  <si>
    <t>2025.06.03</t>
  </si>
  <si>
    <t>계좌별 이체</t>
  </si>
  <si>
    <t>Txn Charges Billing</t>
  </si>
  <si>
    <t>2025.06.10</t>
  </si>
  <si>
    <t>2025산재보험</t>
  </si>
  <si>
    <t>2025국민연금</t>
  </si>
  <si>
    <t>2025고용보험</t>
  </si>
  <si>
    <t>2025국민건강</t>
  </si>
  <si>
    <t>2025.06.14</t>
  </si>
  <si>
    <t>2025.06.16</t>
  </si>
  <si>
    <t>2025.06.17</t>
  </si>
  <si>
    <t>2025.06.20</t>
  </si>
  <si>
    <t>크리스</t>
  </si>
  <si>
    <t>비행기 변경 수수료 지급</t>
  </si>
  <si>
    <t>구글 5월 매출대금 입금</t>
  </si>
  <si>
    <t>2025.06.21</t>
  </si>
  <si>
    <t>2025.06.23</t>
  </si>
  <si>
    <t>2025.06.25</t>
  </si>
  <si>
    <t>이자 세금 반환</t>
  </si>
  <si>
    <t>Google Cloud Platform (2,3월)</t>
  </si>
  <si>
    <t>대표이사 사임 (고니) 관련 등기비용</t>
  </si>
  <si>
    <t>2025.06.26</t>
  </si>
  <si>
    <t>2025.06.30</t>
  </si>
  <si>
    <t>2025.06.27</t>
  </si>
  <si>
    <t>Chris 7월 급여 지급</t>
  </si>
  <si>
    <t>2025.06.28</t>
  </si>
  <si>
    <t>환급</t>
  </si>
  <si>
    <t>GV WH TAX MAY 25</t>
  </si>
  <si>
    <t>5월 원천세</t>
  </si>
  <si>
    <t>GV WH TAX APR 25</t>
  </si>
  <si>
    <t>4월 원천세</t>
  </si>
  <si>
    <t>GV WH TAX MAR 25</t>
  </si>
  <si>
    <t>3월 원천세</t>
  </si>
  <si>
    <t>GV WH TAX FEB 25</t>
  </si>
  <si>
    <t>2월 원천세</t>
  </si>
  <si>
    <t>GV WH TAX JAN 25</t>
  </si>
  <si>
    <t>1월 원천세</t>
  </si>
  <si>
    <t>SERVICE CHARGE</t>
  </si>
  <si>
    <t>기준일: 2025.07.31</t>
  </si>
  <si>
    <t>2025.07.01</t>
  </si>
  <si>
    <t>Apple Store 2025.05 매출 수령</t>
  </si>
  <si>
    <t>2025.07.04</t>
  </si>
  <si>
    <t>기업드림</t>
  </si>
  <si>
    <t>자문료 지급</t>
  </si>
  <si>
    <t>이자 소득세</t>
  </si>
  <si>
    <t>2025.07.10</t>
  </si>
  <si>
    <t>2025.07.14</t>
  </si>
  <si>
    <t>박연수</t>
  </si>
  <si>
    <t>중도퇴사 소득세 반환</t>
  </si>
  <si>
    <t>이우동</t>
  </si>
  <si>
    <t>노하연</t>
  </si>
  <si>
    <t>퇴사자 퇴직금 정산</t>
  </si>
  <si>
    <t>2025.07.17</t>
  </si>
  <si>
    <t>메타익스체인지</t>
  </si>
  <si>
    <t>퀴즈쇼 개발 선금 입금</t>
  </si>
  <si>
    <t>구글 6월 매출대금 입금</t>
  </si>
  <si>
    <t>2025.07.23</t>
  </si>
  <si>
    <t>2025.07.21</t>
  </si>
  <si>
    <t>2025.07.24</t>
  </si>
  <si>
    <t>청년일자리도약장려금 (다비드)</t>
  </si>
  <si>
    <t>2025.07.25</t>
  </si>
  <si>
    <t>부가세</t>
  </si>
  <si>
    <t>률아 퇴직금</t>
  </si>
  <si>
    <t>2025.07.27</t>
  </si>
  <si>
    <t>2025.07.31</t>
  </si>
  <si>
    <t>Apple Store 2025.06 매출 수령</t>
  </si>
  <si>
    <t>GV Royalty June 2025</t>
  </si>
  <si>
    <t>GGT Royalty June 2025</t>
  </si>
  <si>
    <t>2025.07.29</t>
  </si>
  <si>
    <t>기준일: 2025.08.31</t>
  </si>
  <si>
    <t>2025.08.04</t>
  </si>
  <si>
    <t>2025.08.11</t>
  </si>
  <si>
    <t>2025.08.18</t>
  </si>
  <si>
    <t>2025.08.19</t>
  </si>
  <si>
    <t>구글 7월 매출대금 입금</t>
  </si>
  <si>
    <t>2025.08.21</t>
  </si>
  <si>
    <t>주민세납부(사업소분)</t>
  </si>
  <si>
    <t>2025.08.25</t>
  </si>
  <si>
    <t>도원</t>
  </si>
  <si>
    <t>2025.08.26</t>
  </si>
  <si>
    <t>2025.08.29</t>
  </si>
  <si>
    <t>2025.08.28</t>
  </si>
  <si>
    <t>기준일: 2025.09.30</t>
  </si>
  <si>
    <t>2025.09.01</t>
  </si>
  <si>
    <t>GV Royalty July 2025</t>
  </si>
  <si>
    <t>GGT Royalty July 2025</t>
  </si>
  <si>
    <t>주식회사 넥써쓰</t>
  </si>
  <si>
    <t>2025.09.04</t>
  </si>
  <si>
    <t>Google Cloud Platform (4~7월)</t>
  </si>
  <si>
    <t>yamemuri</t>
  </si>
  <si>
    <t>CM 외주 비용</t>
  </si>
  <si>
    <t>해외송금수수료</t>
  </si>
  <si>
    <t>Apple Store 2025.07 매출 수령</t>
  </si>
  <si>
    <t>2025.09.10</t>
  </si>
  <si>
    <t>2025.09.16</t>
  </si>
  <si>
    <t>와이즈브릭스</t>
  </si>
  <si>
    <t>마케팅비용 지급</t>
  </si>
  <si>
    <t>2025.09.17</t>
  </si>
  <si>
    <t>구글 8월 매출대금 입금</t>
  </si>
  <si>
    <t>2025.09.18</t>
  </si>
  <si>
    <t>6월 원천세</t>
  </si>
  <si>
    <t>7월 원천세</t>
  </si>
  <si>
    <t>2025.09.20</t>
  </si>
  <si>
    <t>2025.09.22</t>
  </si>
  <si>
    <t>기업카드 선결제</t>
  </si>
  <si>
    <t>2025.09.25</t>
  </si>
  <si>
    <t>티켓나라</t>
  </si>
  <si>
    <t>추석 명절 상품권 구입 (9명)</t>
  </si>
  <si>
    <t>접대비_조의금,축의금(5건)</t>
  </si>
  <si>
    <t>2025.09.30</t>
  </si>
  <si>
    <t>넥써쓰</t>
  </si>
  <si>
    <t>넥써쓰 이동인원 퇴직금 (노하연,박연수)</t>
  </si>
  <si>
    <t>GV Royalty Aug 2025</t>
  </si>
  <si>
    <t>GGT Royalty Aug 2025</t>
  </si>
  <si>
    <t>FTX</t>
  </si>
  <si>
    <t>FTX 반환</t>
  </si>
  <si>
    <t>2025.09.28</t>
  </si>
  <si>
    <t>GV Royalty Sep 2025</t>
  </si>
  <si>
    <t>GGT Royalty Sep 2025</t>
  </si>
  <si>
    <t>싱가포르 법인 필요한 자금 합계</t>
  </si>
  <si>
    <t>9월</t>
  </si>
  <si>
    <t>한국 법인 예상 자금 집행</t>
  </si>
  <si>
    <t>필요 자금</t>
  </si>
  <si>
    <t>잔여 자금</t>
  </si>
  <si>
    <t>레이드랩스 잔류인원 퇴직금</t>
  </si>
  <si>
    <t>6월기준</t>
  </si>
  <si>
    <t>9월기준</t>
  </si>
  <si>
    <t>바트 퇴직금</t>
  </si>
  <si>
    <t>기준일: 2025.10.31</t>
  </si>
  <si>
    <t>2025.10.02</t>
  </si>
  <si>
    <t>LINE NEXT CORPORATION</t>
  </si>
  <si>
    <t>Apple Store 2025.08 매출 수령</t>
  </si>
  <si>
    <t>2025.10.10</t>
  </si>
  <si>
    <t>2025.10.14</t>
  </si>
  <si>
    <t>아토즈</t>
  </si>
  <si>
    <t>싱가포르 1년 법인 서비스료</t>
  </si>
  <si>
    <t>2025.10.15</t>
  </si>
  <si>
    <t>2025.10.17</t>
  </si>
  <si>
    <t>거래처 접대 (경조사)</t>
  </si>
  <si>
    <t>2025.10.20</t>
  </si>
  <si>
    <t>2025.10.21</t>
  </si>
  <si>
    <t>2025.10.28</t>
  </si>
  <si>
    <t>2025.10.27</t>
  </si>
  <si>
    <t>싱가포르 결산업무</t>
  </si>
  <si>
    <t>2025.10.31</t>
  </si>
  <si>
    <t>10월</t>
  </si>
  <si>
    <t>11월</t>
  </si>
  <si>
    <t>12월</t>
  </si>
  <si>
    <t>기준일: 2025.11.25</t>
  </si>
  <si>
    <t>2025.11.04</t>
  </si>
  <si>
    <t>2025.11.10</t>
  </si>
  <si>
    <t>2025.11.11</t>
  </si>
  <si>
    <t>BVI 법인 1년 연장 수수료</t>
  </si>
  <si>
    <t>2025.11.17</t>
  </si>
  <si>
    <t>2025.11.21</t>
  </si>
  <si>
    <t>2025.11.25</t>
  </si>
  <si>
    <t>2025.11.24</t>
  </si>
  <si>
    <t>BVI UBO 수수료</t>
  </si>
  <si>
    <t>2025.11.14</t>
  </si>
  <si>
    <t>PlayStation Network</t>
  </si>
  <si>
    <t>오류결제</t>
  </si>
  <si>
    <t>2025.11.18</t>
  </si>
  <si>
    <t>2025.11.28</t>
  </si>
  <si>
    <t>연차수당</t>
  </si>
  <si>
    <t>기준일: 2025.12.31</t>
  </si>
  <si>
    <t>2025.12.01</t>
  </si>
  <si>
    <t>2025.12.04</t>
  </si>
  <si>
    <t>GV Royalty Oct 2025</t>
  </si>
  <si>
    <t>GGT Royalty Oct 2025</t>
  </si>
  <si>
    <t>잡손실</t>
  </si>
  <si>
    <t>2025.12.05</t>
  </si>
  <si>
    <t>Apple Store 2025.10 매출 수령</t>
  </si>
  <si>
    <t>2025.12.31</t>
  </si>
  <si>
    <t>미회수금</t>
  </si>
  <si>
    <t>2025.12.09</t>
  </si>
  <si>
    <t>에스원 세콤 보증금 환급</t>
  </si>
  <si>
    <t>코웨이</t>
  </si>
  <si>
    <t>2025.12.11</t>
  </si>
  <si>
    <t>XSOLLA USA INC</t>
  </si>
  <si>
    <t>엑솔라 매출 대금 입금</t>
  </si>
  <si>
    <t>2025.12.15</t>
  </si>
  <si>
    <t>바디프랜드</t>
  </si>
  <si>
    <t>안마의자 반환 위약금</t>
  </si>
  <si>
    <t>2025.12.17</t>
  </si>
  <si>
    <t>2025.12.19</t>
  </si>
  <si>
    <t>2025.12.22</t>
  </si>
  <si>
    <t>국세청용 인증서 발급</t>
  </si>
  <si>
    <t>대여금 이자 지급</t>
  </si>
  <si>
    <t>퇴직금 지급 (천제희)</t>
  </si>
  <si>
    <t>2025.12.23</t>
  </si>
  <si>
    <t>퇴사자 연차수당</t>
  </si>
  <si>
    <t>퇴사자 연차수당 지급(6명)</t>
  </si>
  <si>
    <t>2025.12.20</t>
  </si>
  <si>
    <t>2025.12.24</t>
  </si>
  <si>
    <t>2025.12.26</t>
  </si>
  <si>
    <t>담연법무사</t>
  </si>
  <si>
    <t>법인 등기 본점 이전</t>
  </si>
  <si>
    <t>2025.12.27</t>
  </si>
  <si>
    <t>기준일: 2026.01.16</t>
  </si>
  <si>
    <t>2026.01.02</t>
  </si>
  <si>
    <t>아이템마켓 개발 용역 위탁 비용 지급(25.12)</t>
  </si>
  <si>
    <t>퇴직금 지급 (5명)</t>
  </si>
  <si>
    <t>주식회사 라인헬스케어</t>
  </si>
  <si>
    <t>2025년 건강검진 비용 (10명)</t>
  </si>
  <si>
    <t>(주)에스엠에스이십사</t>
  </si>
  <si>
    <t>사무실 이전 이사 비용</t>
  </si>
  <si>
    <t>2026.01.12</t>
  </si>
  <si>
    <t>2026.01.16</t>
  </si>
  <si>
    <t>Google Cloud Platform 11월분</t>
  </si>
  <si>
    <t xml:space="preserve">송금 </t>
  </si>
  <si>
    <t>원천세 신고</t>
  </si>
  <si>
    <t>USD -&gt; SGD</t>
  </si>
  <si>
    <t>GV 1월 로열티</t>
  </si>
  <si>
    <t>2월말</t>
  </si>
  <si>
    <t>GV 2월 로열티</t>
  </si>
  <si>
    <t>3월말</t>
  </si>
  <si>
    <t>GV 3월 로열티</t>
  </si>
  <si>
    <t>4월말</t>
  </si>
  <si>
    <t>GV 4월 로열티</t>
  </si>
  <si>
    <t>5월말</t>
  </si>
  <si>
    <t>Cash</t>
  </si>
  <si>
    <t>as of 07/31</t>
  </si>
  <si>
    <t>Gnosis Safe</t>
  </si>
  <si>
    <t>Ronin safe</t>
  </si>
  <si>
    <t>Burn rate</t>
  </si>
  <si>
    <t>as of 08/31</t>
  </si>
  <si>
    <t>Bridge Round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</si>
</sst>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6">
    <numFmt numFmtId="164" formatCode="&quot;기준일 : &quot;\ yyyy/mm/dd"/>
    <numFmt numFmtId="165" formatCode="_-* #,##0_-;\-* #,##0_-;_-* &quot;-&quot;_-;_-@"/>
    <numFmt numFmtId="166" formatCode="_-* #,##0.00_-;\-* #,##0.00_-;_-* &quot;-&quot;_-;_-@"/>
    <numFmt numFmtId="167" formatCode="#,##0_ ;[Red]\-#,##0\ "/>
    <numFmt numFmtId="168" formatCode="#,##0원"/>
    <numFmt numFmtId="169" formatCode="[$USD ]#,##0.00"/>
    <numFmt numFmtId="170" formatCode="[$SGD ]#,##0.00"/>
    <numFmt numFmtId="171" formatCode="#,##0.00원"/>
    <numFmt numFmtId="172" formatCode="#,##0.00;(#,##0.00)"/>
    <numFmt numFmtId="173" formatCode="#,##0_);[Red](#,##0)"/>
    <numFmt numFmtId="174" formatCode="#,##0;(#,##0)"/>
    <numFmt numFmtId="175" formatCode="[$$]#,##0.00"/>
    <numFmt numFmtId="176" formatCode="[$₩]#,##0"/>
    <numFmt numFmtId="177" formatCode="[$USD ]#,##0"/>
    <numFmt numFmtId="178" formatCode="m월 d일"/>
    <numFmt numFmtId="179" formatCode="[$$]#,##0"/>
  </numFmts>
  <fonts count="43">
    <font>
      <sz val="11.0"/>
      <color theme="1"/>
      <name val="Calibri"/>
      <scheme val="minor"/>
    </font>
    <font>
      <sz val="10.0"/>
      <color theme="1"/>
      <name val="Malgun Gothic"/>
    </font>
    <font>
      <b/>
      <sz val="10.0"/>
      <color theme="1"/>
      <name val="Malgun Gothic"/>
    </font>
    <font>
      <b/>
      <sz val="18.0"/>
      <color theme="1"/>
      <name val="Malgun Gothic"/>
    </font>
    <font/>
    <font>
      <sz val="10.0"/>
      <color rgb="FF000000"/>
      <name val="Arial"/>
    </font>
    <font>
      <sz val="10.0"/>
      <color rgb="FFBFBFBF"/>
      <name val="Malgun Gothic"/>
    </font>
    <font>
      <b/>
      <sz val="10.0"/>
      <color rgb="FFBFBFBF"/>
      <name val="Malgun Gothic"/>
    </font>
    <font>
      <sz val="11.0"/>
      <color theme="1"/>
      <name val="&quot;맑은 고딕&quot;"/>
    </font>
    <font>
      <sz val="10.0"/>
      <color theme="1"/>
      <name val="Arial"/>
    </font>
    <font>
      <sz val="10.0"/>
      <color theme="1"/>
      <name val="NanumGothic"/>
    </font>
    <font>
      <sz val="11.0"/>
      <color rgb="FF000000"/>
      <name val="Arial"/>
    </font>
    <font>
      <sz val="11.0"/>
      <color rgb="FFF7981D"/>
      <name val="Inconsolata"/>
    </font>
    <font>
      <sz val="11.0"/>
      <color rgb="FF000000"/>
      <name val="Inconsolata"/>
    </font>
    <font>
      <u/>
      <sz val="10.0"/>
      <color rgb="FF0000FF"/>
      <name val="NanumGothic"/>
    </font>
    <font>
      <sz val="9.0"/>
      <color theme="1"/>
      <name val="Arial"/>
    </font>
    <font>
      <sz val="9.0"/>
      <color theme="1"/>
      <name val="NanumGothic"/>
    </font>
    <font>
      <sz val="11.0"/>
      <color theme="1"/>
      <name val="Inconsolata"/>
    </font>
    <font>
      <u/>
      <sz val="10.0"/>
      <color rgb="FF0000FF"/>
      <name val="Arial"/>
    </font>
    <font>
      <sz val="11.0"/>
      <color rgb="FF444444"/>
      <name val="Arial"/>
    </font>
    <font>
      <sz val="10.0"/>
      <color rgb="FF000000"/>
      <name val="Malgun Gothic"/>
    </font>
    <font>
      <sz val="10.0"/>
      <color theme="1"/>
      <name val="Nanum Gothic"/>
    </font>
    <font>
      <sz val="10.0"/>
      <color rgb="FF666666"/>
      <name val="Nanum Gothic"/>
    </font>
    <font>
      <sz val="10.0"/>
      <color rgb="FF000000"/>
      <name val="Nanum Gothic"/>
    </font>
    <font>
      <u/>
      <sz val="10.0"/>
      <color rgb="FF0000FF"/>
      <name val="Nanum Gothic"/>
    </font>
    <font>
      <sz val="10.0"/>
      <color rgb="FF4D5156"/>
      <name val="Nanum Gothic"/>
    </font>
    <font>
      <color theme="1"/>
      <name val="Calibri"/>
      <scheme val="minor"/>
    </font>
    <font>
      <b/>
      <sz val="12.0"/>
      <color theme="1"/>
      <name val="Malgun Gothic"/>
    </font>
    <font>
      <sz val="10.0"/>
      <color rgb="FF444444"/>
      <name val="Malgun Gothic"/>
    </font>
    <font>
      <u/>
      <sz val="10.0"/>
      <color rgb="FF444444"/>
      <name val="Malgun Gothic"/>
    </font>
    <font>
      <b/>
      <u/>
      <sz val="10.0"/>
      <color rgb="FF0000FF"/>
      <name val="Malgun Gothic"/>
    </font>
    <font>
      <u/>
      <sz val="10.0"/>
      <color rgb="FF0000FF"/>
      <name val="Malgun Gothic"/>
    </font>
    <font>
      <u/>
      <sz val="10.0"/>
      <color rgb="FF444444"/>
      <name val="Malgun Gothic"/>
    </font>
    <font>
      <u/>
      <sz val="10.0"/>
      <color rgb="FF0000FF"/>
      <name val="Malgun Gothic"/>
    </font>
    <font>
      <b/>
      <sz val="10.0"/>
      <color rgb="FFCCCCCC"/>
      <name val="Malgun Gothic"/>
    </font>
    <font>
      <color theme="1"/>
      <name val="Malgun Gothic"/>
    </font>
    <font>
      <color rgb="FF000000"/>
      <name val="Malgun Gothic"/>
    </font>
    <font>
      <color rgb="FF000000"/>
      <name val="Calibri"/>
      <scheme val="minor"/>
    </font>
    <font>
      <u/>
      <sz val="10.0"/>
      <color rgb="FF000000"/>
      <name val="Malgun Gothic"/>
    </font>
    <font>
      <u/>
      <sz val="10.0"/>
      <color rgb="FF000000"/>
      <name val="Malgun Gothic"/>
    </font>
    <font>
      <b/>
      <u/>
      <sz val="10.0"/>
      <color rgb="FF0000FF"/>
      <name val="Malgun Gothic"/>
    </font>
    <font>
      <b/>
      <sz val="10.0"/>
      <color rgb="FF000000"/>
      <name val="Malgun Gothic"/>
    </font>
    <font>
      <sz val="10.0"/>
      <color rgb="FF999999"/>
      <name val="Malgun Gothic"/>
    </font>
  </fonts>
  <fills count="13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EAD1DC"/>
        <bgColor rgb="FFEAD1DC"/>
      </patternFill>
    </fill>
    <fill>
      <patternFill patternType="solid">
        <fgColor rgb="FFA4C2F4"/>
        <bgColor rgb="FFA4C2F4"/>
      </patternFill>
    </fill>
    <fill>
      <patternFill patternType="solid">
        <fgColor rgb="FFF4CCCC"/>
        <bgColor rgb="FFF4CCCC"/>
      </patternFill>
    </fill>
    <fill>
      <patternFill patternType="solid">
        <fgColor rgb="FFFF00FF"/>
        <bgColor rgb="FFFF00FF"/>
      </patternFill>
    </fill>
    <fill>
      <patternFill patternType="solid">
        <fgColor rgb="FFF7981D"/>
        <bgColor rgb="FFF7981D"/>
      </patternFill>
    </fill>
  </fills>
  <borders count="88">
    <border/>
    <border>
      <left/>
      <right/>
      <top/>
      <bottom/>
    </border>
    <border>
      <left/>
      <top/>
      <bottom/>
    </border>
    <border>
      <top/>
      <bottom/>
    </border>
    <border>
      <left/>
      <right/>
      <top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right/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D8D8D8"/>
      </bottom>
    </border>
    <border>
      <left/>
      <right style="thin">
        <color rgb="FF000000"/>
      </right>
      <top style="thin">
        <color rgb="FF000000"/>
      </top>
      <bottom style="thin">
        <color rgb="FFD8D8D8"/>
      </bottom>
    </border>
    <border>
      <left/>
      <right/>
      <top style="thin">
        <color rgb="FF000000"/>
      </top>
      <bottom style="thin">
        <color rgb="FFD8D8D8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 style="thin">
        <color rgb="FF000000"/>
      </right>
      <top style="thin">
        <color rgb="FF000000"/>
      </top>
    </border>
    <border>
      <left style="thin">
        <color rgb="FF000000"/>
      </left>
      <right/>
      <top style="thin">
        <color rgb="FFD8D8D8"/>
      </top>
      <bottom style="thin">
        <color rgb="FFD8D8D8"/>
      </bottom>
    </border>
    <border>
      <left/>
      <right style="thin">
        <color rgb="FF000000"/>
      </right>
      <top style="thin">
        <color rgb="FFD8D8D8"/>
      </top>
      <bottom style="thin">
        <color rgb="FFD8D8D8"/>
      </bottom>
    </border>
    <border>
      <left/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/>
      <right/>
      <top style="thin">
        <color rgb="FFD8D8D8"/>
      </top>
      <bottom style="thin">
        <color rgb="FFD8D8D8"/>
      </bottom>
    </border>
    <border>
      <left style="thin">
        <color rgb="FF000000"/>
      </left>
      <bottom style="thin">
        <color rgb="FFD8D8D8"/>
      </bottom>
    </border>
    <border>
      <left style="thin">
        <color rgb="FF000000"/>
      </left>
      <right style="thin">
        <color rgb="FF000000"/>
      </right>
      <bottom style="thin">
        <color rgb="FFD8D8D8"/>
      </bottom>
    </border>
    <border>
      <left/>
      <right style="thin">
        <color rgb="FF000000"/>
      </right>
      <bottom style="thin">
        <color rgb="FFD8D8D8"/>
      </bottom>
    </border>
    <border>
      <left style="thin">
        <color rgb="FF000000"/>
      </left>
      <top style="thin">
        <color rgb="FFD8D8D8"/>
      </top>
      <bottom style="thin">
        <color rgb="FFD8D8D8"/>
      </bottom>
    </border>
    <border>
      <left style="thin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E5E5E5"/>
      </right>
      <bottom style="thin">
        <color rgb="FFE5E5E5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8D8D8"/>
      </bottom>
    </border>
    <border>
      <left/>
      <right/>
      <bottom/>
    </border>
    <border>
      <right style="thin">
        <color rgb="FFE5E5E5"/>
      </right>
    </border>
    <border>
      <left style="thick">
        <color rgb="FF000000"/>
      </left>
      <right/>
      <top style="thick">
        <color rgb="FF000000"/>
      </top>
      <bottom style="thick">
        <color rgb="FF000000"/>
      </bottom>
    </border>
    <border>
      <left/>
      <right style="thick">
        <color rgb="FF000000"/>
      </righ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D8D8D8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D8D8D8"/>
      </bottom>
    </border>
    <border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  <right style="thick">
        <color rgb="FF000000"/>
      </right>
      <top style="thin">
        <color rgb="FFD8D8D8"/>
      </top>
      <bottom style="thin">
        <color rgb="FFD8D8D8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</border>
    <border>
      <left style="thick">
        <color rgb="FF000000"/>
      </left>
      <right style="thin">
        <color rgb="FF000000"/>
      </right>
      <top style="thin">
        <color rgb="FFD8D8D8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D8D8D8"/>
      </top>
      <bottom style="thick">
        <color rgb="FF000000"/>
      </bottom>
    </border>
    <border>
      <right style="thin">
        <color rgb="FF000000"/>
      </right>
      <bottom style="thick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right style="thick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right/>
      <top/>
      <bottom style="thin">
        <color rgb="FFD9D9D9"/>
      </bottom>
    </border>
    <border>
      <right/>
      <bottom style="double">
        <color rgb="FFD9D9D9"/>
      </bottom>
    </border>
    <border>
      <left/>
      <right/>
    </border>
    <border>
      <left/>
      <bottom/>
    </border>
    <border>
      <left style="thick">
        <color rgb="FF000000"/>
      </left>
      <right style="thin">
        <color rgb="FF000000"/>
      </right>
      <top style="thin">
        <color rgb="FFD8D8D8"/>
      </top>
      <bottom style="thin">
        <color rgb="FFCCCCCC"/>
      </bottom>
    </border>
    <border>
      <left style="thin">
        <color rgb="FF000000"/>
      </left>
      <right style="thick">
        <color rgb="FF000000"/>
      </right>
      <top style="thin">
        <color rgb="FFD8D8D8"/>
      </top>
      <bottom style="thin">
        <color rgb="FFCCCCCC"/>
      </bottom>
    </border>
    <border>
      <right style="thin">
        <color rgb="FF000000"/>
      </right>
      <bottom style="thin">
        <color rgb="FFCCCCCC"/>
      </bottom>
    </border>
    <border>
      <left style="thin">
        <color rgb="FF000000"/>
      </left>
      <bottom style="thin">
        <color rgb="FFCCCCCC"/>
      </bottom>
    </border>
    <border>
      <left style="thick">
        <color rgb="FF000000"/>
      </left>
      <right style="thick">
        <color rgb="FF000000"/>
      </right>
      <bottom style="thin">
        <color rgb="FFCCCCCC"/>
      </bottom>
    </border>
    <border>
      <right/>
    </border>
    <border>
      <right style="thick">
        <color rgb="FF000000"/>
      </right>
    </border>
    <border>
      <right/>
      <top/>
      <bottom style="thin">
        <color rgb="FFCCCCCC"/>
      </bottom>
    </border>
    <border>
      <right/>
      <bottom/>
    </border>
  </borders>
  <cellStyleXfs count="1">
    <xf borderId="0" fillId="0" fontId="0" numFmtId="0" applyAlignment="1" applyFont="1"/>
  </cellStyleXfs>
  <cellXfs count="484">
    <xf borderId="0" fillId="0" fontId="0" numFmtId="0" xfId="0" applyAlignment="1" applyFont="1">
      <alignment readingOrder="0" shrinkToFit="0" vertical="center" wrapText="0"/>
    </xf>
    <xf borderId="1" fillId="2" fontId="1" numFmtId="0" xfId="0" applyAlignment="1" applyBorder="1" applyFill="1" applyFont="1">
      <alignment vertical="center"/>
    </xf>
    <xf borderId="1" fillId="2" fontId="1" numFmtId="0" xfId="0" applyAlignment="1" applyBorder="1" applyFont="1">
      <alignment horizontal="center" vertical="center"/>
    </xf>
    <xf borderId="1" fillId="2" fontId="2" numFmtId="0" xfId="0" applyAlignment="1" applyBorder="1" applyFont="1">
      <alignment vertical="center"/>
    </xf>
    <xf borderId="2" fillId="2" fontId="3" numFmtId="0" xfId="0" applyAlignment="1" applyBorder="1" applyFont="1">
      <alignment horizontal="center" vertical="center"/>
    </xf>
    <xf borderId="3" fillId="0" fontId="4" numFmtId="0" xfId="0" applyAlignment="1" applyBorder="1" applyFont="1">
      <alignment vertical="center"/>
    </xf>
    <xf borderId="1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vertical="center"/>
    </xf>
    <xf borderId="2" fillId="2" fontId="1" numFmtId="0" xfId="0" applyAlignment="1" applyBorder="1" applyFont="1">
      <alignment vertical="center"/>
    </xf>
    <xf borderId="5" fillId="2" fontId="2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vertical="center"/>
    </xf>
    <xf borderId="1" fillId="2" fontId="2" numFmtId="164" xfId="0" applyAlignment="1" applyBorder="1" applyFont="1" applyNumberFormat="1">
      <alignment readingOrder="0" vertical="center"/>
    </xf>
    <xf borderId="2" fillId="2" fontId="2" numFmtId="0" xfId="0" applyAlignment="1" applyBorder="1" applyFont="1">
      <alignment vertical="center"/>
    </xf>
    <xf borderId="5" fillId="2" fontId="1" numFmtId="0" xfId="0" applyAlignment="1" applyBorder="1" applyFont="1">
      <alignment horizontal="left" readingOrder="0" vertical="center"/>
    </xf>
    <xf borderId="6" fillId="2" fontId="2" numFmtId="0" xfId="0" applyAlignment="1" applyBorder="1" applyFont="1">
      <alignment vertical="center"/>
    </xf>
    <xf borderId="7" fillId="3" fontId="2" numFmtId="0" xfId="0" applyAlignment="1" applyBorder="1" applyFill="1" applyFont="1">
      <alignment horizontal="center" vertical="center"/>
    </xf>
    <xf borderId="8" fillId="3" fontId="2" numFmtId="0" xfId="0" applyAlignment="1" applyBorder="1" applyFont="1">
      <alignment horizontal="center" vertical="center"/>
    </xf>
    <xf borderId="9" fillId="3" fontId="2" numFmtId="0" xfId="0" applyAlignment="1" applyBorder="1" applyFont="1">
      <alignment horizontal="center" vertical="center"/>
    </xf>
    <xf borderId="10" fillId="3" fontId="2" numFmtId="0" xfId="0" applyAlignment="1" applyBorder="1" applyFont="1">
      <alignment horizontal="center" vertical="center"/>
    </xf>
    <xf borderId="11" fillId="3" fontId="2" numFmtId="0" xfId="0" applyAlignment="1" applyBorder="1" applyFont="1">
      <alignment horizontal="center" vertical="center"/>
    </xf>
    <xf borderId="8" fillId="3" fontId="2" numFmtId="0" xfId="0" applyAlignment="1" applyBorder="1" applyFont="1">
      <alignment horizontal="center" readingOrder="0" vertical="center"/>
    </xf>
    <xf borderId="2" fillId="2" fontId="2" numFmtId="0" xfId="0" applyAlignment="1" applyBorder="1" applyFont="1">
      <alignment horizontal="center" vertical="center"/>
    </xf>
    <xf borderId="6" fillId="2" fontId="2" numFmtId="0" xfId="0" applyAlignment="1" applyBorder="1" applyFont="1">
      <alignment horizontal="center" vertical="center"/>
    </xf>
    <xf borderId="12" fillId="2" fontId="1" numFmtId="0" xfId="0" applyAlignment="1" applyBorder="1" applyFont="1">
      <alignment horizontal="center" readingOrder="0" vertical="center"/>
    </xf>
    <xf borderId="13" fillId="2" fontId="1" numFmtId="0" xfId="0" applyAlignment="1" applyBorder="1" applyFont="1">
      <alignment horizontal="center" readingOrder="0" vertical="center"/>
    </xf>
    <xf borderId="14" fillId="2" fontId="1" numFmtId="165" xfId="0" applyAlignment="1" applyBorder="1" applyFont="1" applyNumberFormat="1">
      <alignment readingOrder="0" vertical="center"/>
    </xf>
    <xf borderId="15" fillId="2" fontId="1" numFmtId="165" xfId="0" applyAlignment="1" applyBorder="1" applyFont="1" applyNumberFormat="1">
      <alignment vertical="center"/>
    </xf>
    <xf borderId="16" fillId="2" fontId="1" numFmtId="165" xfId="0" applyAlignment="1" applyBorder="1" applyFont="1" applyNumberFormat="1">
      <alignment vertical="center"/>
    </xf>
    <xf borderId="17" fillId="2" fontId="1" numFmtId="165" xfId="0" applyAlignment="1" applyBorder="1" applyFont="1" applyNumberFormat="1">
      <alignment vertical="center"/>
    </xf>
    <xf borderId="18" fillId="2" fontId="1" numFmtId="0" xfId="0" applyAlignment="1" applyBorder="1" applyFont="1">
      <alignment horizontal="center" readingOrder="0" vertical="center"/>
    </xf>
    <xf borderId="19" fillId="2" fontId="1" numFmtId="0" xfId="0" applyAlignment="1" applyBorder="1" applyFont="1">
      <alignment horizontal="center" readingOrder="0" vertical="center"/>
    </xf>
    <xf borderId="20" fillId="2" fontId="1" numFmtId="166" xfId="0" applyAlignment="1" applyBorder="1" applyFont="1" applyNumberFormat="1">
      <alignment readingOrder="0" vertical="center"/>
    </xf>
    <xf borderId="21" fillId="2" fontId="1" numFmtId="166" xfId="0" applyAlignment="1" applyBorder="1" applyFont="1" applyNumberFormat="1">
      <alignment vertical="center"/>
    </xf>
    <xf borderId="22" fillId="4" fontId="5" numFmtId="166" xfId="0" applyAlignment="1" applyBorder="1" applyFill="1" applyFont="1" applyNumberFormat="1">
      <alignment horizontal="left" vertical="center"/>
    </xf>
    <xf borderId="22" fillId="2" fontId="1" numFmtId="166" xfId="0" applyAlignment="1" applyBorder="1" applyFont="1" applyNumberFormat="1">
      <alignment vertical="center"/>
    </xf>
    <xf borderId="6" fillId="2" fontId="1" numFmtId="0" xfId="0" applyAlignment="1" applyBorder="1" applyFont="1">
      <alignment horizontal="center" vertical="center"/>
    </xf>
    <xf borderId="23" fillId="2" fontId="1" numFmtId="166" xfId="0" applyAlignment="1" applyBorder="1" applyFont="1" applyNumberFormat="1">
      <alignment readingOrder="0" vertical="center"/>
    </xf>
    <xf borderId="24" fillId="2" fontId="1" numFmtId="166" xfId="0" applyAlignment="1" applyBorder="1" applyFont="1" applyNumberFormat="1">
      <alignment vertical="center"/>
    </xf>
    <xf borderId="25" fillId="2" fontId="1" numFmtId="166" xfId="0" applyAlignment="1" applyBorder="1" applyFont="1" applyNumberFormat="1">
      <alignment vertical="center"/>
    </xf>
    <xf borderId="26" fillId="2" fontId="1" numFmtId="166" xfId="0" applyAlignment="1" applyBorder="1" applyFont="1" applyNumberFormat="1">
      <alignment vertical="center"/>
    </xf>
    <xf borderId="23" fillId="2" fontId="1" numFmtId="165" xfId="0" applyAlignment="1" applyBorder="1" applyFont="1" applyNumberFormat="1">
      <alignment horizontal="right" readingOrder="0" vertical="center"/>
    </xf>
    <xf borderId="27" fillId="2" fontId="1" numFmtId="165" xfId="0" applyAlignment="1" applyBorder="1" applyFont="1" applyNumberFormat="1">
      <alignment vertical="center"/>
    </xf>
    <xf borderId="28" fillId="2" fontId="1" numFmtId="165" xfId="0" applyAlignment="1" applyBorder="1" applyFont="1" applyNumberFormat="1">
      <alignment vertical="center"/>
    </xf>
    <xf borderId="19" fillId="2" fontId="1" numFmtId="165" xfId="0" applyAlignment="1" applyBorder="1" applyFont="1" applyNumberFormat="1">
      <alignment vertical="center"/>
    </xf>
    <xf borderId="18" fillId="2" fontId="1" numFmtId="0" xfId="0" applyAlignment="1" applyBorder="1" applyFont="1">
      <alignment horizontal="center" vertical="center"/>
    </xf>
    <xf borderId="19" fillId="2" fontId="1" numFmtId="0" xfId="0" applyAlignment="1" applyBorder="1" applyFont="1">
      <alignment horizontal="center" vertical="center"/>
    </xf>
    <xf borderId="23" fillId="2" fontId="1" numFmtId="165" xfId="0" applyAlignment="1" applyBorder="1" applyFont="1" applyNumberFormat="1">
      <alignment horizontal="right" vertical="center"/>
    </xf>
    <xf borderId="19" fillId="2" fontId="1" numFmtId="0" xfId="0" applyAlignment="1" applyBorder="1" applyFont="1">
      <alignment vertical="center"/>
    </xf>
    <xf borderId="23" fillId="2" fontId="1" numFmtId="165" xfId="0" applyAlignment="1" applyBorder="1" applyFont="1" applyNumberFormat="1">
      <alignment vertical="center"/>
    </xf>
    <xf borderId="5" fillId="2" fontId="1" numFmtId="0" xfId="0" applyAlignment="1" applyBorder="1" applyFont="1">
      <alignment readingOrder="0" vertical="center"/>
    </xf>
    <xf borderId="29" fillId="0" fontId="4" numFmtId="0" xfId="0" applyAlignment="1" applyBorder="1" applyFont="1">
      <alignment vertical="center"/>
    </xf>
    <xf borderId="8" fillId="3" fontId="2" numFmtId="165" xfId="0" applyAlignment="1" applyBorder="1" applyFont="1" applyNumberFormat="1">
      <alignment vertical="center"/>
    </xf>
    <xf borderId="10" fillId="3" fontId="2" numFmtId="165" xfId="0" applyAlignment="1" applyBorder="1" applyFont="1" applyNumberFormat="1">
      <alignment vertical="center"/>
    </xf>
    <xf borderId="11" fillId="3" fontId="2" numFmtId="165" xfId="0" applyAlignment="1" applyBorder="1" applyFont="1" applyNumberFormat="1">
      <alignment vertical="center"/>
    </xf>
    <xf borderId="1" fillId="2" fontId="6" numFmtId="0" xfId="0" applyAlignment="1" applyBorder="1" applyFont="1">
      <alignment horizontal="center" vertical="center"/>
    </xf>
    <xf borderId="2" fillId="2" fontId="6" numFmtId="0" xfId="0" applyAlignment="1" applyBorder="1" applyFont="1">
      <alignment horizontal="center" vertical="center"/>
    </xf>
    <xf borderId="9" fillId="3" fontId="2" numFmtId="166" xfId="0" applyAlignment="1" applyBorder="1" applyFont="1" applyNumberFormat="1">
      <alignment vertical="center"/>
    </xf>
    <xf borderId="10" fillId="3" fontId="2" numFmtId="166" xfId="0" applyAlignment="1" applyBorder="1" applyFont="1" applyNumberFormat="1">
      <alignment vertical="center"/>
    </xf>
    <xf borderId="11" fillId="3" fontId="2" numFmtId="166" xfId="0" applyAlignment="1" applyBorder="1" applyFont="1" applyNumberFormat="1">
      <alignment vertical="center"/>
    </xf>
    <xf borderId="1" fillId="2" fontId="6" numFmtId="166" xfId="0" applyAlignment="1" applyBorder="1" applyFont="1" applyNumberFormat="1">
      <alignment horizontal="center" vertical="center"/>
    </xf>
    <xf borderId="1" fillId="2" fontId="7" numFmtId="165" xfId="0" applyAlignment="1" applyBorder="1" applyFont="1" applyNumberFormat="1">
      <alignment horizontal="center" vertical="center"/>
    </xf>
    <xf borderId="1" fillId="2" fontId="1" numFmtId="167" xfId="0" applyAlignment="1" applyBorder="1" applyFont="1" applyNumberFormat="1">
      <alignment vertical="center"/>
    </xf>
    <xf borderId="1" fillId="2" fontId="2" numFmtId="0" xfId="0" applyAlignment="1" applyBorder="1" applyFont="1">
      <alignment readingOrder="0" vertical="center"/>
    </xf>
    <xf borderId="4" fillId="2" fontId="2" numFmtId="0" xfId="0" applyAlignment="1" applyBorder="1" applyFont="1">
      <alignment horizontal="center" vertical="center"/>
    </xf>
    <xf borderId="4" fillId="2" fontId="1" numFmtId="167" xfId="0" applyAlignment="1" applyBorder="1" applyFont="1" applyNumberFormat="1">
      <alignment horizontal="center" vertical="center"/>
    </xf>
    <xf borderId="1" fillId="2" fontId="1" numFmtId="0" xfId="0" applyAlignment="1" applyBorder="1" applyFont="1">
      <alignment readingOrder="0" vertical="center"/>
    </xf>
    <xf borderId="5" fillId="3" fontId="2" numFmtId="0" xfId="0" applyAlignment="1" applyBorder="1" applyFont="1">
      <alignment horizontal="center" vertical="center"/>
    </xf>
    <xf borderId="30" fillId="3" fontId="2" numFmtId="0" xfId="0" applyAlignment="1" applyBorder="1" applyFont="1">
      <alignment horizontal="center" vertical="center"/>
    </xf>
    <xf borderId="30" fillId="3" fontId="2" numFmtId="0" xfId="0" applyAlignment="1" applyBorder="1" applyFont="1">
      <alignment horizontal="center" readingOrder="0" vertical="center"/>
    </xf>
    <xf borderId="6" fillId="2" fontId="1" numFmtId="0" xfId="0" applyAlignment="1" applyBorder="1" applyFont="1">
      <alignment readingOrder="0" vertical="center"/>
    </xf>
    <xf borderId="31" fillId="2" fontId="5" numFmtId="0" xfId="0" applyAlignment="1" applyBorder="1" applyFont="1">
      <alignment horizontal="center" readingOrder="0" vertical="center"/>
    </xf>
    <xf borderId="0" fillId="4" fontId="8" numFmtId="0" xfId="0" applyAlignment="1" applyFont="1">
      <alignment horizontal="center" readingOrder="0" shrinkToFit="0" vertical="center" wrapText="0"/>
    </xf>
    <xf borderId="0" fillId="4" fontId="8" numFmtId="165" xfId="0" applyAlignment="1" applyFont="1" applyNumberFormat="1">
      <alignment horizontal="right" readingOrder="0" shrinkToFit="0" vertical="center" wrapText="0"/>
    </xf>
    <xf borderId="0" fillId="4" fontId="8" numFmtId="0" xfId="0" applyAlignment="1" applyFont="1">
      <alignment horizontal="center" shrinkToFit="0" vertical="center" wrapText="0"/>
    </xf>
    <xf borderId="32" fillId="2" fontId="1" numFmtId="0" xfId="0" applyAlignment="1" applyBorder="1" applyFont="1">
      <alignment horizontal="center" readingOrder="0" vertical="center"/>
    </xf>
    <xf borderId="0" fillId="4" fontId="5" numFmtId="0" xfId="0" applyAlignment="1" applyFont="1">
      <alignment horizontal="center" vertical="center"/>
    </xf>
    <xf borderId="5" fillId="2" fontId="1" numFmtId="0" xfId="0" applyAlignment="1" applyBorder="1" applyFont="1">
      <alignment horizontal="center" readingOrder="0" vertical="center"/>
    </xf>
    <xf borderId="33" fillId="0" fontId="9" numFmtId="0" xfId="0" applyAlignment="1" applyBorder="1" applyFont="1">
      <alignment horizontal="center" readingOrder="0" vertical="center"/>
    </xf>
    <xf borderId="33" fillId="0" fontId="10" numFmtId="0" xfId="0" applyAlignment="1" applyBorder="1" applyFont="1">
      <alignment horizontal="center" readingOrder="0" vertical="center"/>
    </xf>
    <xf borderId="33" fillId="0" fontId="10" numFmtId="165" xfId="0" applyAlignment="1" applyBorder="1" applyFont="1" applyNumberFormat="1">
      <alignment horizontal="right" readingOrder="0" vertical="center"/>
    </xf>
    <xf borderId="5" fillId="0" fontId="9" numFmtId="0" xfId="0" applyAlignment="1" applyBorder="1" applyFont="1">
      <alignment horizontal="center" readingOrder="0" vertical="center"/>
    </xf>
    <xf borderId="5" fillId="0" fontId="10" numFmtId="0" xfId="0" applyAlignment="1" applyBorder="1" applyFont="1">
      <alignment horizontal="center" readingOrder="0" vertical="center"/>
    </xf>
    <xf borderId="5" fillId="0" fontId="10" numFmtId="165" xfId="0" applyAlignment="1" applyBorder="1" applyFont="1" applyNumberFormat="1">
      <alignment horizontal="right" readingOrder="0" vertical="center"/>
    </xf>
    <xf borderId="5" fillId="2" fontId="1" numFmtId="4" xfId="0" applyAlignment="1" applyBorder="1" applyFont="1" applyNumberFormat="1">
      <alignment horizontal="left" readingOrder="0" vertical="center"/>
    </xf>
    <xf borderId="5" fillId="2" fontId="1" numFmtId="4" xfId="0" applyAlignment="1" applyBorder="1" applyFont="1" applyNumberFormat="1">
      <alignment readingOrder="0" vertical="center"/>
    </xf>
    <xf borderId="0" fillId="2" fontId="5" numFmtId="0" xfId="0" applyAlignment="1" applyFont="1">
      <alignment horizontal="center" readingOrder="0" vertical="center"/>
    </xf>
    <xf borderId="0" fillId="4" fontId="11" numFmtId="0" xfId="0" applyAlignment="1" applyFont="1">
      <alignment horizontal="center" vertical="center"/>
    </xf>
    <xf borderId="0" fillId="4" fontId="12" numFmtId="0" xfId="0" applyAlignment="1" applyFont="1">
      <alignment horizontal="left" vertical="center"/>
    </xf>
    <xf borderId="5" fillId="3" fontId="2" numFmtId="0" xfId="0" applyAlignment="1" applyBorder="1" applyFont="1">
      <alignment horizontal="center" readingOrder="0" vertical="center"/>
    </xf>
    <xf borderId="11" fillId="4" fontId="8" numFmtId="0" xfId="0" applyAlignment="1" applyBorder="1" applyFont="1">
      <alignment horizontal="center" readingOrder="0" shrinkToFit="0" vertical="center" wrapText="0"/>
    </xf>
    <xf borderId="11" fillId="4" fontId="8" numFmtId="165" xfId="0" applyAlignment="1" applyBorder="1" applyFont="1" applyNumberFormat="1">
      <alignment horizontal="right" readingOrder="0" shrinkToFit="0" vertical="center" wrapText="0"/>
    </xf>
    <xf borderId="29" fillId="4" fontId="8" numFmtId="165" xfId="0" applyAlignment="1" applyBorder="1" applyFont="1" applyNumberFormat="1">
      <alignment horizontal="right" readingOrder="0" shrinkToFit="0" vertical="center" wrapText="0"/>
    </xf>
    <xf borderId="29" fillId="4" fontId="8" numFmtId="0" xfId="0" applyAlignment="1" applyBorder="1" applyFont="1">
      <alignment horizontal="center" readingOrder="0" shrinkToFit="0" vertical="center" wrapText="0"/>
    </xf>
    <xf borderId="0" fillId="4" fontId="13" numFmtId="0" xfId="0" applyAlignment="1" applyFont="1">
      <alignment horizontal="center" vertical="center"/>
    </xf>
    <xf borderId="34" fillId="4" fontId="8" numFmtId="0" xfId="0" applyAlignment="1" applyBorder="1" applyFont="1">
      <alignment horizontal="center" readingOrder="0" shrinkToFit="0" vertical="center" wrapText="0"/>
    </xf>
    <xf borderId="34" fillId="4" fontId="8" numFmtId="165" xfId="0" applyAlignment="1" applyBorder="1" applyFont="1" applyNumberFormat="1">
      <alignment horizontal="right" readingOrder="0" shrinkToFit="0" vertical="center" wrapText="0"/>
    </xf>
    <xf borderId="35" fillId="4" fontId="8" numFmtId="165" xfId="0" applyAlignment="1" applyBorder="1" applyFont="1" applyNumberFormat="1">
      <alignment horizontal="right" readingOrder="0" shrinkToFit="0" vertical="center" wrapText="0"/>
    </xf>
    <xf borderId="35" fillId="4" fontId="8" numFmtId="0" xfId="0" applyAlignment="1" applyBorder="1" applyFont="1">
      <alignment horizontal="center" readingOrder="0" shrinkToFit="0" vertical="center" wrapText="0"/>
    </xf>
    <xf borderId="5" fillId="0" fontId="14" numFmtId="0" xfId="0" applyAlignment="1" applyBorder="1" applyFont="1">
      <alignment horizontal="center" readingOrder="0" vertical="center"/>
    </xf>
    <xf borderId="1" fillId="2" fontId="1" numFmtId="4" xfId="0" applyAlignment="1" applyBorder="1" applyFont="1" applyNumberFormat="1">
      <alignment vertical="center"/>
    </xf>
    <xf borderId="1" fillId="2" fontId="1" numFmtId="4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vertical="center"/>
    </xf>
    <xf borderId="2" fillId="2" fontId="3" numFmtId="4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horizontal="center" vertical="center"/>
    </xf>
    <xf borderId="4" fillId="2" fontId="2" numFmtId="4" xfId="0" applyAlignment="1" applyBorder="1" applyFont="1" applyNumberFormat="1">
      <alignment vertical="center"/>
    </xf>
    <xf borderId="2" fillId="2" fontId="1" numFmtId="4" xfId="0" applyAlignment="1" applyBorder="1" applyFont="1" applyNumberFormat="1">
      <alignment vertical="center"/>
    </xf>
    <xf borderId="5" fillId="2" fontId="2" numFmtId="4" xfId="0" applyAlignment="1" applyBorder="1" applyFont="1" applyNumberFormat="1">
      <alignment horizontal="center" readingOrder="0" vertical="center"/>
    </xf>
    <xf borderId="6" fillId="2" fontId="1" numFmtId="4" xfId="0" applyAlignment="1" applyBorder="1" applyFont="1" applyNumberFormat="1">
      <alignment vertical="center"/>
    </xf>
    <xf borderId="1" fillId="2" fontId="2" numFmtId="4" xfId="0" applyAlignment="1" applyBorder="1" applyFont="1" applyNumberFormat="1">
      <alignment horizontal="right" readingOrder="0" vertical="center"/>
    </xf>
    <xf borderId="2" fillId="2" fontId="2" numFmtId="4" xfId="0" applyAlignment="1" applyBorder="1" applyFont="1" applyNumberFormat="1">
      <alignment vertical="center"/>
    </xf>
    <xf borderId="6" fillId="2" fontId="2" numFmtId="4" xfId="0" applyAlignment="1" applyBorder="1" applyFont="1" applyNumberFormat="1">
      <alignment vertical="center"/>
    </xf>
    <xf borderId="7" fillId="3" fontId="2" numFmtId="4" xfId="0" applyAlignment="1" applyBorder="1" applyFont="1" applyNumberFormat="1">
      <alignment horizontal="center" vertical="center"/>
    </xf>
    <xf borderId="8" fillId="3" fontId="2" numFmtId="4" xfId="0" applyAlignment="1" applyBorder="1" applyFont="1" applyNumberFormat="1">
      <alignment horizontal="center" vertical="center"/>
    </xf>
    <xf borderId="11" fillId="3" fontId="2" numFmtId="4" xfId="0" applyAlignment="1" applyBorder="1" applyFont="1" applyNumberFormat="1">
      <alignment horizontal="center" vertical="center"/>
    </xf>
    <xf borderId="11" fillId="3" fontId="2" numFmtId="4" xfId="0" applyAlignment="1" applyBorder="1" applyFont="1" applyNumberFormat="1">
      <alignment horizontal="center" readingOrder="0" vertical="center"/>
    </xf>
    <xf borderId="2" fillId="2" fontId="2" numFmtId="4" xfId="0" applyAlignment="1" applyBorder="1" applyFont="1" applyNumberFormat="1">
      <alignment horizontal="center" vertical="center"/>
    </xf>
    <xf borderId="6" fillId="2" fontId="2" numFmtId="4" xfId="0" applyAlignment="1" applyBorder="1" applyFont="1" applyNumberFormat="1">
      <alignment horizontal="center" vertical="center"/>
    </xf>
    <xf borderId="12" fillId="2" fontId="1" numFmtId="4" xfId="0" applyAlignment="1" applyBorder="1" applyFont="1" applyNumberFormat="1">
      <alignment horizontal="center" readingOrder="0" vertical="center"/>
    </xf>
    <xf borderId="13" fillId="2" fontId="1" numFmtId="4" xfId="0" applyAlignment="1" applyBorder="1" applyFont="1" applyNumberFormat="1">
      <alignment horizontal="center" readingOrder="0" vertical="center"/>
    </xf>
    <xf borderId="13" fillId="2" fontId="1" numFmtId="4" xfId="0" applyAlignment="1" applyBorder="1" applyFont="1" applyNumberFormat="1">
      <alignment readingOrder="0" vertical="center"/>
    </xf>
    <xf borderId="21" fillId="4" fontId="13" numFmtId="4" xfId="0" applyAlignment="1" applyBorder="1" applyFont="1" applyNumberFormat="1">
      <alignment vertical="center"/>
    </xf>
    <xf borderId="16" fillId="2" fontId="1" numFmtId="4" xfId="0" applyAlignment="1" applyBorder="1" applyFont="1" applyNumberFormat="1">
      <alignment vertical="center"/>
    </xf>
    <xf borderId="18" fillId="2" fontId="1" numFmtId="4" xfId="0" applyAlignment="1" applyBorder="1" applyFont="1" applyNumberFormat="1">
      <alignment horizontal="center" readingOrder="0" vertical="center"/>
    </xf>
    <xf borderId="19" fillId="2" fontId="1" numFmtId="4" xfId="0" applyAlignment="1" applyBorder="1" applyFont="1" applyNumberFormat="1">
      <alignment horizontal="center" readingOrder="0" vertical="center"/>
    </xf>
    <xf borderId="19" fillId="2" fontId="1" numFmtId="4" xfId="0" applyAlignment="1" applyBorder="1" applyFont="1" applyNumberFormat="1">
      <alignment readingOrder="0" vertical="center"/>
    </xf>
    <xf borderId="6" fillId="2" fontId="1" numFmtId="4" xfId="0" applyAlignment="1" applyBorder="1" applyFont="1" applyNumberFormat="1">
      <alignment horizontal="center" vertical="center"/>
    </xf>
    <xf borderId="19" fillId="2" fontId="1" numFmtId="4" xfId="0" applyAlignment="1" applyBorder="1" applyFont="1" applyNumberFormat="1">
      <alignment horizontal="right" readingOrder="0" vertical="center"/>
    </xf>
    <xf borderId="21" fillId="2" fontId="1" numFmtId="4" xfId="0" applyAlignment="1" applyBorder="1" applyFont="1" applyNumberFormat="1">
      <alignment vertical="center"/>
    </xf>
    <xf borderId="28" fillId="2" fontId="1" numFmtId="4" xfId="0" applyAlignment="1" applyBorder="1" applyFont="1" applyNumberFormat="1">
      <alignment vertical="center"/>
    </xf>
    <xf borderId="10" fillId="3" fontId="2" numFmtId="4" xfId="0" applyAlignment="1" applyBorder="1" applyFont="1" applyNumberFormat="1">
      <alignment horizontal="center" vertical="center"/>
    </xf>
    <xf borderId="8" fillId="3" fontId="2" numFmtId="4" xfId="0" applyAlignment="1" applyBorder="1" applyFont="1" applyNumberFormat="1">
      <alignment vertical="center"/>
    </xf>
    <xf borderId="11" fillId="3" fontId="2" numFmtId="4" xfId="0" applyAlignment="1" applyBorder="1" applyFont="1" applyNumberFormat="1">
      <alignment vertical="center"/>
    </xf>
    <xf borderId="1" fillId="2" fontId="6" numFmtId="4" xfId="0" applyAlignment="1" applyBorder="1" applyFont="1" applyNumberFormat="1">
      <alignment horizontal="center" vertical="center"/>
    </xf>
    <xf borderId="2" fillId="2" fontId="6" numFmtId="4" xfId="0" applyAlignment="1" applyBorder="1" applyFont="1" applyNumberFormat="1">
      <alignment horizontal="center" vertical="center"/>
    </xf>
    <xf borderId="1" fillId="2" fontId="7" numFmtId="4" xfId="0" applyAlignment="1" applyBorder="1" applyFont="1" applyNumberFormat="1">
      <alignment horizontal="center" vertical="center"/>
    </xf>
    <xf borderId="1" fillId="2" fontId="2" numFmtId="4" xfId="0" applyAlignment="1" applyBorder="1" applyFont="1" applyNumberFormat="1">
      <alignment readingOrder="0" vertical="center"/>
    </xf>
    <xf borderId="4" fillId="2" fontId="2" numFmtId="4" xfId="0" applyAlignment="1" applyBorder="1" applyFont="1" applyNumberFormat="1">
      <alignment horizontal="center" vertical="center"/>
    </xf>
    <xf borderId="4" fillId="2" fontId="1" numFmtId="4" xfId="0" applyAlignment="1" applyBorder="1" applyFont="1" applyNumberFormat="1">
      <alignment horizontal="center" vertical="center"/>
    </xf>
    <xf borderId="1" fillId="2" fontId="1" numFmtId="4" xfId="0" applyAlignment="1" applyBorder="1" applyFont="1" applyNumberFormat="1">
      <alignment readingOrder="0" vertical="center"/>
    </xf>
    <xf borderId="5" fillId="3" fontId="2" numFmtId="4" xfId="0" applyAlignment="1" applyBorder="1" applyFont="1" applyNumberFormat="1">
      <alignment horizontal="center" vertical="center"/>
    </xf>
    <xf borderId="5" fillId="3" fontId="2" numFmtId="4" xfId="0" applyAlignment="1" applyBorder="1" applyFont="1" applyNumberFormat="1">
      <alignment horizontal="center" readingOrder="0" vertical="center"/>
    </xf>
    <xf borderId="6" fillId="2" fontId="1" numFmtId="4" xfId="0" applyAlignment="1" applyBorder="1" applyFont="1" applyNumberFormat="1">
      <alignment readingOrder="0" vertical="center"/>
    </xf>
    <xf borderId="0" fillId="4" fontId="1" numFmtId="4" xfId="0" applyAlignment="1" applyFont="1" applyNumberFormat="1">
      <alignment horizontal="center" vertical="center"/>
    </xf>
    <xf borderId="0" fillId="0" fontId="15" numFmtId="4" xfId="0" applyAlignment="1" applyFont="1" applyNumberFormat="1">
      <alignment horizontal="center" readingOrder="0" vertical="center"/>
    </xf>
    <xf borderId="0" fillId="0" fontId="9" numFmtId="4" xfId="0" applyAlignment="1" applyFont="1" applyNumberFormat="1">
      <alignment horizontal="center" readingOrder="0" vertical="center"/>
    </xf>
    <xf borderId="0" fillId="0" fontId="9" numFmtId="4" xfId="0" applyAlignment="1" applyFont="1" applyNumberFormat="1">
      <alignment horizontal="right" readingOrder="0" vertical="center"/>
    </xf>
    <xf borderId="5" fillId="2" fontId="9" numFmtId="4" xfId="0" applyAlignment="1" applyBorder="1" applyFont="1" applyNumberFormat="1">
      <alignment horizontal="center" readingOrder="0" vertical="center"/>
    </xf>
    <xf borderId="5" fillId="2" fontId="1" numFmtId="4" xfId="0" applyAlignment="1" applyBorder="1" applyFont="1" applyNumberFormat="1">
      <alignment horizontal="center" readingOrder="0" vertical="center"/>
    </xf>
    <xf borderId="0" fillId="0" fontId="16" numFmtId="4" xfId="0" applyAlignment="1" applyFont="1" applyNumberFormat="1">
      <alignment horizontal="center" readingOrder="0" vertical="center"/>
    </xf>
    <xf borderId="0" fillId="0" fontId="16" numFmtId="4" xfId="0" applyAlignment="1" applyFont="1" applyNumberFormat="1">
      <alignment horizontal="right" readingOrder="0" vertical="center"/>
    </xf>
    <xf borderId="0" fillId="4" fontId="17" numFmtId="4" xfId="0" applyAlignment="1" applyFont="1" applyNumberFormat="1">
      <alignment horizontal="center" vertical="center"/>
    </xf>
    <xf borderId="36" fillId="0" fontId="16" numFmtId="4" xfId="0" applyAlignment="1" applyBorder="1" applyFont="1" applyNumberFormat="1">
      <alignment horizontal="center" readingOrder="0" vertical="center"/>
    </xf>
    <xf borderId="36" fillId="0" fontId="16" numFmtId="4" xfId="0" applyAlignment="1" applyBorder="1" applyFont="1" applyNumberFormat="1">
      <alignment horizontal="right" readingOrder="0" vertical="center"/>
    </xf>
    <xf borderId="36" fillId="0" fontId="15" numFmtId="4" xfId="0" applyAlignment="1" applyBorder="1" applyFont="1" applyNumberFormat="1">
      <alignment horizontal="center" readingOrder="0" vertical="center"/>
    </xf>
    <xf borderId="5" fillId="2" fontId="15" numFmtId="4" xfId="0" applyAlignment="1" applyBorder="1" applyFont="1" applyNumberFormat="1">
      <alignment horizontal="center" readingOrder="0" vertical="center"/>
    </xf>
    <xf borderId="5" fillId="2" fontId="10" numFmtId="4" xfId="0" applyAlignment="1" applyBorder="1" applyFont="1" applyNumberFormat="1">
      <alignment horizontal="center" readingOrder="0" vertical="center"/>
    </xf>
    <xf borderId="5" fillId="2" fontId="9" numFmtId="4" xfId="0" applyAlignment="1" applyBorder="1" applyFont="1" applyNumberFormat="1">
      <alignment horizontal="right" readingOrder="0" vertical="center"/>
    </xf>
    <xf borderId="5" fillId="2" fontId="10" numFmtId="4" xfId="0" applyAlignment="1" applyBorder="1" applyFont="1" applyNumberFormat="1">
      <alignment horizontal="right" readingOrder="0" vertical="center"/>
    </xf>
    <xf borderId="5" fillId="2" fontId="9" numFmtId="4" xfId="0" applyAlignment="1" applyBorder="1" applyFont="1" applyNumberFormat="1">
      <alignment horizontal="center" readingOrder="0" vertical="center"/>
    </xf>
    <xf borderId="0" fillId="0" fontId="18" numFmtId="4" xfId="0" applyAlignment="1" applyFont="1" applyNumberFormat="1">
      <alignment horizontal="center" readingOrder="0" vertical="center"/>
    </xf>
    <xf borderId="5" fillId="2" fontId="9" numFmtId="4" xfId="0" applyAlignment="1" applyBorder="1" applyFont="1" applyNumberFormat="1">
      <alignment horizontal="center" readingOrder="0" vertical="center"/>
    </xf>
    <xf borderId="0" fillId="2" fontId="9" numFmtId="4" xfId="0" applyAlignment="1" applyFont="1" applyNumberFormat="1">
      <alignment horizontal="center" readingOrder="0" vertical="center"/>
    </xf>
    <xf borderId="0" fillId="2" fontId="9" numFmtId="4" xfId="0" applyAlignment="1" applyFont="1" applyNumberFormat="1">
      <alignment horizontal="right" readingOrder="0" vertical="center"/>
    </xf>
    <xf borderId="0" fillId="2" fontId="9" numFmtId="4" xfId="0" applyAlignment="1" applyFont="1" applyNumberFormat="1">
      <alignment horizontal="center" readingOrder="0" vertical="center"/>
    </xf>
    <xf borderId="0" fillId="4" fontId="19" numFmtId="4" xfId="0" applyAlignment="1" applyFont="1" applyNumberFormat="1">
      <alignment horizontal="center" readingOrder="0" vertical="center"/>
    </xf>
    <xf borderId="0" fillId="4" fontId="19" numFmtId="4" xfId="0" applyAlignment="1" applyFont="1" applyNumberFormat="1">
      <alignment readingOrder="0" vertical="center"/>
    </xf>
    <xf borderId="5" fillId="2" fontId="20" numFmtId="4" xfId="0" applyAlignment="1" applyBorder="1" applyFont="1" applyNumberFormat="1">
      <alignment horizontal="center" readingOrder="0" vertical="center"/>
    </xf>
    <xf borderId="0" fillId="4" fontId="20" numFmtId="4" xfId="0" applyAlignment="1" applyFont="1" applyNumberFormat="1">
      <alignment horizontal="center" vertical="center"/>
    </xf>
    <xf borderId="9" fillId="3" fontId="2" numFmtId="4" xfId="0" applyAlignment="1" applyBorder="1" applyFont="1" applyNumberFormat="1">
      <alignment horizontal="center" vertical="center"/>
    </xf>
    <xf borderId="8" fillId="3" fontId="2" numFmtId="4" xfId="0" applyAlignment="1" applyBorder="1" applyFont="1" applyNumberFormat="1">
      <alignment horizontal="center" readingOrder="0" vertical="center"/>
    </xf>
    <xf borderId="37" fillId="2" fontId="1" numFmtId="4" xfId="0" applyAlignment="1" applyBorder="1" applyFont="1" applyNumberFormat="1">
      <alignment horizontal="center" readingOrder="0" vertical="center"/>
    </xf>
    <xf borderId="16" fillId="2" fontId="1" numFmtId="4" xfId="0" applyAlignment="1" applyBorder="1" applyFont="1" applyNumberFormat="1">
      <alignment readingOrder="0" vertical="center"/>
    </xf>
    <xf borderId="21" fillId="4" fontId="20" numFmtId="4" xfId="0" applyAlignment="1" applyBorder="1" applyFont="1" applyNumberFormat="1">
      <alignment vertical="center"/>
    </xf>
    <xf borderId="16" fillId="2" fontId="1" numFmtId="3" xfId="0" applyAlignment="1" applyBorder="1" applyFont="1" applyNumberFormat="1">
      <alignment vertical="center"/>
    </xf>
    <xf borderId="28" fillId="2" fontId="1" numFmtId="4" xfId="0" applyAlignment="1" applyBorder="1" applyFont="1" applyNumberFormat="1">
      <alignment horizontal="center" readingOrder="0" vertical="center"/>
    </xf>
    <xf borderId="21" fillId="2" fontId="1" numFmtId="4" xfId="0" applyAlignment="1" applyBorder="1" applyFont="1" applyNumberFormat="1">
      <alignment readingOrder="0" vertical="center"/>
    </xf>
    <xf borderId="28" fillId="2" fontId="1" numFmtId="3" xfId="0" applyAlignment="1" applyBorder="1" applyFont="1" applyNumberFormat="1">
      <alignment vertical="center"/>
    </xf>
    <xf borderId="25" fillId="2" fontId="1" numFmtId="4" xfId="0" applyAlignment="1" applyBorder="1" applyFont="1" applyNumberFormat="1">
      <alignment readingOrder="0" vertical="center"/>
    </xf>
    <xf borderId="11" fillId="3" fontId="1" numFmtId="4" xfId="0" applyAlignment="1" applyBorder="1" applyFont="1" applyNumberFormat="1">
      <alignment vertical="center"/>
    </xf>
    <xf borderId="11" fillId="3" fontId="2" numFmtId="3" xfId="0" applyAlignment="1" applyBorder="1" applyFont="1" applyNumberFormat="1">
      <alignment vertical="center"/>
    </xf>
    <xf borderId="10" fillId="3" fontId="2" numFmtId="4" xfId="0" applyAlignment="1" applyBorder="1" applyFont="1" applyNumberFormat="1">
      <alignment horizontal="center" readingOrder="0" vertical="center"/>
    </xf>
    <xf borderId="38" fillId="2" fontId="1" numFmtId="4" xfId="0" applyAlignment="1" applyBorder="1" applyFont="1" applyNumberFormat="1">
      <alignment horizontal="center" vertical="center"/>
    </xf>
    <xf borderId="30" fillId="3" fontId="2" numFmtId="4" xfId="0" applyAlignment="1" applyBorder="1" applyFont="1" applyNumberFormat="1">
      <alignment horizontal="center" vertical="center"/>
    </xf>
    <xf borderId="30" fillId="3" fontId="2" numFmtId="4" xfId="0" applyAlignment="1" applyBorder="1" applyFont="1" applyNumberFormat="1">
      <alignment horizontal="center" readingOrder="0" vertical="center"/>
    </xf>
    <xf borderId="0" fillId="4" fontId="21" numFmtId="4" xfId="0" applyAlignment="1" applyFont="1" applyNumberFormat="1">
      <alignment horizontal="center" vertical="center"/>
    </xf>
    <xf borderId="0" fillId="4" fontId="22" numFmtId="4" xfId="0" applyAlignment="1" applyFont="1" applyNumberFormat="1">
      <alignment horizontal="center" readingOrder="0" shrinkToFit="0" vertical="center" wrapText="0"/>
    </xf>
    <xf borderId="0" fillId="0" fontId="21" numFmtId="4" xfId="0" applyAlignment="1" applyFont="1" applyNumberFormat="1">
      <alignment horizontal="center" readingOrder="0" vertical="center"/>
    </xf>
    <xf borderId="0" fillId="0" fontId="21" numFmtId="4" xfId="0" applyAlignment="1" applyFont="1" applyNumberFormat="1">
      <alignment horizontal="right" readingOrder="0" vertical="center"/>
    </xf>
    <xf borderId="0" fillId="4" fontId="22" numFmtId="4" xfId="0" applyAlignment="1" applyFont="1" applyNumberFormat="1">
      <alignment horizontal="right" readingOrder="0" shrinkToFit="0" vertical="center" wrapText="0"/>
    </xf>
    <xf borderId="0" fillId="4" fontId="23" numFmtId="4" xfId="0" applyAlignment="1" applyFont="1" applyNumberFormat="1">
      <alignment horizontal="center" vertical="center"/>
    </xf>
    <xf borderId="0" fillId="4" fontId="21" numFmtId="4" xfId="0" applyAlignment="1" applyFont="1" applyNumberFormat="1">
      <alignment horizontal="center" readingOrder="0" shrinkToFit="0" vertical="center" wrapText="0"/>
    </xf>
    <xf borderId="0" fillId="4" fontId="21" numFmtId="4" xfId="0" applyAlignment="1" applyFont="1" applyNumberFormat="1">
      <alignment horizontal="right" readingOrder="0" shrinkToFit="0" vertical="center" wrapText="0"/>
    </xf>
    <xf borderId="0" fillId="2" fontId="21" numFmtId="4" xfId="0" applyAlignment="1" applyFont="1" applyNumberFormat="1">
      <alignment horizontal="center" readingOrder="0" vertical="center"/>
    </xf>
    <xf borderId="33" fillId="2" fontId="21" numFmtId="4" xfId="0" applyAlignment="1" applyBorder="1" applyFont="1" applyNumberFormat="1">
      <alignment horizontal="center" readingOrder="0" vertical="center"/>
    </xf>
    <xf borderId="5" fillId="0" fontId="21" numFmtId="4" xfId="0" applyAlignment="1" applyBorder="1" applyFont="1" applyNumberFormat="1">
      <alignment horizontal="center" readingOrder="0" vertical="center"/>
    </xf>
    <xf borderId="5" fillId="4" fontId="21" numFmtId="4" xfId="0" applyAlignment="1" applyBorder="1" applyFont="1" applyNumberFormat="1">
      <alignment horizontal="center" vertical="center"/>
    </xf>
    <xf borderId="0" fillId="2" fontId="21" numFmtId="4" xfId="0" applyAlignment="1" applyFont="1" applyNumberFormat="1">
      <alignment horizontal="center" readingOrder="0" vertical="center"/>
    </xf>
    <xf borderId="5" fillId="2" fontId="21" numFmtId="4" xfId="0" applyAlignment="1" applyBorder="1" applyFont="1" applyNumberFormat="1">
      <alignment horizontal="center" readingOrder="0" vertical="center"/>
    </xf>
    <xf borderId="0" fillId="2" fontId="21" numFmtId="4" xfId="0" applyAlignment="1" applyFont="1" applyNumberFormat="1">
      <alignment horizontal="right" readingOrder="0" vertical="center"/>
    </xf>
    <xf borderId="36" fillId="2" fontId="21" numFmtId="4" xfId="0" applyAlignment="1" applyBorder="1" applyFont="1" applyNumberFormat="1">
      <alignment horizontal="center" readingOrder="0" vertical="center"/>
    </xf>
    <xf borderId="36" fillId="2" fontId="21" numFmtId="4" xfId="0" applyAlignment="1" applyBorder="1" applyFont="1" applyNumberFormat="1">
      <alignment horizontal="center" readingOrder="0" vertical="center"/>
    </xf>
    <xf borderId="39" fillId="2" fontId="21" numFmtId="4" xfId="0" applyAlignment="1" applyBorder="1" applyFont="1" applyNumberFormat="1">
      <alignment horizontal="center" readingOrder="0" vertical="center"/>
    </xf>
    <xf borderId="36" fillId="0" fontId="21" numFmtId="4" xfId="0" applyAlignment="1" applyBorder="1" applyFont="1" applyNumberFormat="1">
      <alignment horizontal="center" readingOrder="0" vertical="center"/>
    </xf>
    <xf borderId="36" fillId="0" fontId="21" numFmtId="4" xfId="0" applyAlignment="1" applyBorder="1" applyFont="1" applyNumberFormat="1">
      <alignment horizontal="right" readingOrder="0" vertical="center"/>
    </xf>
    <xf borderId="39" fillId="0" fontId="21" numFmtId="4" xfId="0" applyAlignment="1" applyBorder="1" applyFont="1" applyNumberFormat="1">
      <alignment horizontal="center" readingOrder="0" vertical="center"/>
    </xf>
    <xf borderId="39" fillId="0" fontId="21" numFmtId="4" xfId="0" applyAlignment="1" applyBorder="1" applyFont="1" applyNumberFormat="1">
      <alignment horizontal="right" readingOrder="0" vertical="center"/>
    </xf>
    <xf borderId="39" fillId="2" fontId="21" numFmtId="4" xfId="0" applyAlignment="1" applyBorder="1" applyFont="1" applyNumberFormat="1">
      <alignment horizontal="center" readingOrder="0" vertical="center"/>
    </xf>
    <xf borderId="31" fillId="2" fontId="21" numFmtId="4" xfId="0" applyAlignment="1" applyBorder="1" applyFont="1" applyNumberFormat="1">
      <alignment horizontal="center" readingOrder="0" vertical="center"/>
    </xf>
    <xf borderId="33" fillId="0" fontId="21" numFmtId="4" xfId="0" applyAlignment="1" applyBorder="1" applyFont="1" applyNumberFormat="1">
      <alignment horizontal="center" readingOrder="0" vertical="center"/>
    </xf>
    <xf borderId="5" fillId="0" fontId="21" numFmtId="4" xfId="0" applyAlignment="1" applyBorder="1" applyFont="1" applyNumberFormat="1">
      <alignment horizontal="right" readingOrder="0" vertical="center"/>
    </xf>
    <xf borderId="30" fillId="2" fontId="21" numFmtId="4" xfId="0" applyAlignment="1" applyBorder="1" applyFont="1" applyNumberFormat="1">
      <alignment horizontal="center" readingOrder="0" vertical="center"/>
    </xf>
    <xf borderId="30" fillId="2" fontId="21" numFmtId="4" xfId="0" applyAlignment="1" applyBorder="1" applyFont="1" applyNumberFormat="1">
      <alignment horizontal="right" readingOrder="0" vertical="center"/>
    </xf>
    <xf borderId="30" fillId="2" fontId="21" numFmtId="4" xfId="0" applyAlignment="1" applyBorder="1" applyFont="1" applyNumberFormat="1">
      <alignment horizontal="center" readingOrder="0" vertical="center"/>
    </xf>
    <xf borderId="5" fillId="2" fontId="21" numFmtId="4" xfId="0" applyAlignment="1" applyBorder="1" applyFont="1" applyNumberFormat="1">
      <alignment horizontal="center" readingOrder="0" vertical="center"/>
    </xf>
    <xf borderId="0" fillId="0" fontId="24" numFmtId="4" xfId="0" applyAlignment="1" applyFont="1" applyNumberFormat="1">
      <alignment horizontal="center" readingOrder="0" vertical="center"/>
    </xf>
    <xf borderId="0" fillId="0" fontId="23" numFmtId="4" xfId="0" applyAlignment="1" applyFont="1" applyNumberFormat="1">
      <alignment horizontal="center" readingOrder="0" vertical="center"/>
    </xf>
    <xf borderId="0" fillId="4" fontId="25" numFmtId="4" xfId="0" applyAlignment="1" applyFont="1" applyNumberFormat="1">
      <alignment horizontal="left" readingOrder="0" vertical="center"/>
    </xf>
    <xf borderId="5" fillId="5" fontId="2" numFmtId="4" xfId="0" applyAlignment="1" applyBorder="1" applyFill="1" applyFont="1" applyNumberFormat="1">
      <alignment horizontal="center" readingOrder="0" vertical="center"/>
    </xf>
    <xf borderId="4" fillId="0" fontId="2" numFmtId="4" xfId="0" applyAlignment="1" applyBorder="1" applyFont="1" applyNumberFormat="1">
      <alignment horizontal="right" readingOrder="0" vertical="center"/>
    </xf>
    <xf borderId="40" fillId="3" fontId="2" numFmtId="4" xfId="0" applyAlignment="1" applyBorder="1" applyFont="1" applyNumberFormat="1">
      <alignment horizontal="center" vertical="center"/>
    </xf>
    <xf borderId="41" fillId="3" fontId="2" numFmtId="4" xfId="0" applyAlignment="1" applyBorder="1" applyFont="1" applyNumberFormat="1">
      <alignment horizontal="center" vertical="center"/>
    </xf>
    <xf borderId="42" fillId="3" fontId="2" numFmtId="4" xfId="0" applyAlignment="1" applyBorder="1" applyFont="1" applyNumberFormat="1">
      <alignment horizontal="center" vertical="center"/>
    </xf>
    <xf borderId="43" fillId="3" fontId="2" numFmtId="4" xfId="0" applyAlignment="1" applyBorder="1" applyFont="1" applyNumberFormat="1">
      <alignment horizontal="center" vertical="center"/>
    </xf>
    <xf borderId="44" fillId="3" fontId="2" numFmtId="4" xfId="0" applyAlignment="1" applyBorder="1" applyFont="1" applyNumberFormat="1">
      <alignment horizontal="center" readingOrder="0" vertical="center"/>
    </xf>
    <xf borderId="45" fillId="0" fontId="1" numFmtId="4" xfId="0" applyAlignment="1" applyBorder="1" applyFont="1" applyNumberFormat="1">
      <alignment horizontal="center" readingOrder="0" vertical="center"/>
    </xf>
    <xf borderId="46" fillId="0" fontId="1" numFmtId="4" xfId="0" applyAlignment="1" applyBorder="1" applyFont="1" applyNumberFormat="1">
      <alignment horizontal="center" readingOrder="0" vertical="center"/>
    </xf>
    <xf borderId="47" fillId="0" fontId="1" numFmtId="168" xfId="0" applyAlignment="1" applyBorder="1" applyFont="1" applyNumberFormat="1">
      <alignment readingOrder="0" vertical="center"/>
    </xf>
    <xf borderId="47" fillId="0" fontId="20" numFmtId="168" xfId="0" applyAlignment="1" applyBorder="1" applyFont="1" applyNumberFormat="1">
      <alignment vertical="center"/>
    </xf>
    <xf borderId="48" fillId="0" fontId="20" numFmtId="168" xfId="0" applyAlignment="1" applyBorder="1" applyFont="1" applyNumberFormat="1">
      <alignment vertical="center"/>
    </xf>
    <xf borderId="49" fillId="0" fontId="20" numFmtId="168" xfId="0" applyAlignment="1" applyBorder="1" applyFont="1" applyNumberFormat="1">
      <alignment vertical="center"/>
    </xf>
    <xf borderId="50" fillId="0" fontId="1" numFmtId="4" xfId="0" applyAlignment="1" applyBorder="1" applyFont="1" applyNumberFormat="1">
      <alignment horizontal="center" readingOrder="0" vertical="center"/>
    </xf>
    <xf borderId="51" fillId="0" fontId="1" numFmtId="4" xfId="0" applyAlignment="1" applyBorder="1" applyFont="1" applyNumberFormat="1">
      <alignment horizontal="center" readingOrder="0" vertical="center"/>
    </xf>
    <xf borderId="22" fillId="0" fontId="1" numFmtId="169" xfId="0" applyAlignment="1" applyBorder="1" applyFont="1" applyNumberFormat="1">
      <alignment readingOrder="0" vertical="center"/>
    </xf>
    <xf borderId="22" fillId="0" fontId="1" numFmtId="169" xfId="0" applyAlignment="1" applyBorder="1" applyFont="1" applyNumberFormat="1">
      <alignment vertical="center"/>
    </xf>
    <xf borderId="52" fillId="0" fontId="20" numFmtId="169" xfId="0" applyAlignment="1" applyBorder="1" applyFont="1" applyNumberFormat="1">
      <alignment vertical="center"/>
    </xf>
    <xf borderId="53" fillId="0" fontId="20" numFmtId="169" xfId="0" applyAlignment="1" applyBorder="1" applyFont="1" applyNumberFormat="1">
      <alignment vertical="center"/>
    </xf>
    <xf borderId="22" fillId="0" fontId="1" numFmtId="168" xfId="0" applyAlignment="1" applyBorder="1" applyFont="1" applyNumberFormat="1">
      <alignment readingOrder="0" vertical="center"/>
    </xf>
    <xf borderId="22" fillId="0" fontId="20" numFmtId="168" xfId="0" applyAlignment="1" applyBorder="1" applyFont="1" applyNumberFormat="1">
      <alignment vertical="center"/>
    </xf>
    <xf borderId="52" fillId="0" fontId="20" numFmtId="168" xfId="0" applyAlignment="1" applyBorder="1" applyFont="1" applyNumberFormat="1">
      <alignment vertical="center"/>
    </xf>
    <xf borderId="53" fillId="0" fontId="20" numFmtId="168" xfId="0" applyAlignment="1" applyBorder="1" applyFont="1" applyNumberFormat="1">
      <alignment vertical="center"/>
    </xf>
    <xf borderId="22" fillId="0" fontId="20" numFmtId="169" xfId="0" applyAlignment="1" applyBorder="1" applyFont="1" applyNumberFormat="1">
      <alignment vertical="center"/>
    </xf>
    <xf borderId="22" fillId="0" fontId="1" numFmtId="170" xfId="0" applyAlignment="1" applyBorder="1" applyFont="1" applyNumberFormat="1">
      <alignment readingOrder="0" vertical="center"/>
    </xf>
    <xf borderId="22" fillId="0" fontId="20" numFmtId="170" xfId="0" applyAlignment="1" applyBorder="1" applyFont="1" applyNumberFormat="1">
      <alignment vertical="center"/>
    </xf>
    <xf borderId="52" fillId="0" fontId="20" numFmtId="170" xfId="0" applyAlignment="1" applyBorder="1" applyFont="1" applyNumberFormat="1">
      <alignment vertical="center"/>
    </xf>
    <xf borderId="53" fillId="0" fontId="20" numFmtId="170" xfId="0" applyAlignment="1" applyBorder="1" applyFont="1" applyNumberFormat="1">
      <alignment vertical="center"/>
    </xf>
    <xf borderId="22" fillId="0" fontId="1" numFmtId="168" xfId="0" applyAlignment="1" applyBorder="1" applyFont="1" applyNumberFormat="1">
      <alignment vertical="center"/>
    </xf>
    <xf borderId="54" fillId="0" fontId="1" numFmtId="4" xfId="0" applyAlignment="1" applyBorder="1" applyFont="1" applyNumberFormat="1">
      <alignment horizontal="center" readingOrder="0" vertical="center"/>
    </xf>
    <xf borderId="55" fillId="0" fontId="1" numFmtId="4" xfId="0" applyAlignment="1" applyBorder="1" applyFont="1" applyNumberFormat="1">
      <alignment horizontal="center" readingOrder="0" vertical="center"/>
    </xf>
    <xf borderId="56" fillId="0" fontId="1" numFmtId="170" xfId="0" applyAlignment="1" applyBorder="1" applyFont="1" applyNumberFormat="1">
      <alignment readingOrder="0" vertical="center"/>
    </xf>
    <xf borderId="56" fillId="0" fontId="1" numFmtId="170" xfId="0" applyAlignment="1" applyBorder="1" applyFont="1" applyNumberFormat="1">
      <alignment vertical="center"/>
    </xf>
    <xf borderId="57" fillId="0" fontId="20" numFmtId="170" xfId="0" applyAlignment="1" applyBorder="1" applyFont="1" applyNumberFormat="1">
      <alignment vertical="center"/>
    </xf>
    <xf borderId="58" fillId="0" fontId="20" numFmtId="170" xfId="0" applyAlignment="1" applyBorder="1" applyFont="1" applyNumberFormat="1">
      <alignment vertical="center"/>
    </xf>
    <xf borderId="59" fillId="2" fontId="1" numFmtId="4" xfId="0" applyAlignment="1" applyBorder="1" applyFont="1" applyNumberFormat="1">
      <alignment horizontal="center" readingOrder="0" vertical="center"/>
    </xf>
    <xf borderId="60" fillId="2" fontId="1" numFmtId="4" xfId="0" applyAlignment="1" applyBorder="1" applyFont="1" applyNumberFormat="1">
      <alignment horizontal="center" readingOrder="0" vertical="center"/>
    </xf>
    <xf borderId="22" fillId="2" fontId="1" numFmtId="4" xfId="0" applyAlignment="1" applyBorder="1" applyFont="1" applyNumberFormat="1">
      <alignment readingOrder="0" vertical="center"/>
    </xf>
    <xf borderId="22" fillId="2" fontId="1" numFmtId="4" xfId="0" applyAlignment="1" applyBorder="1" applyFont="1" applyNumberFormat="1">
      <alignment vertical="center"/>
    </xf>
    <xf borderId="52" fillId="4" fontId="20" numFmtId="4" xfId="0" applyAlignment="1" applyBorder="1" applyFont="1" applyNumberFormat="1">
      <alignment vertical="center"/>
    </xf>
    <xf borderId="53" fillId="4" fontId="20" numFmtId="4" xfId="0" applyAlignment="1" applyBorder="1" applyFont="1" applyNumberFormat="1">
      <alignment vertical="center"/>
    </xf>
    <xf borderId="0" fillId="0" fontId="26" numFmtId="0" xfId="0" applyAlignment="1" applyFont="1">
      <alignment vertical="center"/>
    </xf>
    <xf borderId="61" fillId="5" fontId="2" numFmtId="4" xfId="0" applyAlignment="1" applyBorder="1" applyFont="1" applyNumberFormat="1">
      <alignment horizontal="center" vertical="center"/>
    </xf>
    <xf borderId="62" fillId="0" fontId="4" numFmtId="0" xfId="0" applyAlignment="1" applyBorder="1" applyFont="1">
      <alignment vertical="center"/>
    </xf>
    <xf borderId="63" fillId="5" fontId="1" numFmtId="168" xfId="0" applyAlignment="1" applyBorder="1" applyFont="1" applyNumberFormat="1">
      <alignment vertical="center"/>
    </xf>
    <xf borderId="64" fillId="5" fontId="1" numFmtId="168" xfId="0" applyAlignment="1" applyBorder="1" applyFont="1" applyNumberFormat="1">
      <alignment vertical="center"/>
    </xf>
    <xf borderId="65" fillId="5" fontId="1" numFmtId="168" xfId="0" applyAlignment="1" applyBorder="1" applyFont="1" applyNumberFormat="1">
      <alignment vertical="center"/>
    </xf>
    <xf borderId="66" fillId="5" fontId="27" numFmtId="168" xfId="0" applyAlignment="1" applyBorder="1" applyFont="1" applyNumberFormat="1">
      <alignment vertical="center"/>
    </xf>
    <xf borderId="6" fillId="2" fontId="7" numFmtId="168" xfId="0" applyAlignment="1" applyBorder="1" applyFont="1" applyNumberFormat="1">
      <alignment horizontal="right" vertical="center"/>
    </xf>
    <xf borderId="67" fillId="5" fontId="2" numFmtId="4" xfId="0" applyAlignment="1" applyBorder="1" applyFont="1" applyNumberFormat="1">
      <alignment horizontal="center" vertical="center"/>
    </xf>
    <xf borderId="68" fillId="0" fontId="4" numFmtId="0" xfId="0" applyAlignment="1" applyBorder="1" applyFont="1">
      <alignment vertical="center"/>
    </xf>
    <xf borderId="29" fillId="5" fontId="1" numFmtId="169" xfId="0" applyAlignment="1" applyBorder="1" applyFont="1" applyNumberFormat="1">
      <alignment vertical="center"/>
    </xf>
    <xf borderId="11" fillId="5" fontId="1" numFmtId="169" xfId="0" applyAlignment="1" applyBorder="1" applyFont="1" applyNumberFormat="1">
      <alignment vertical="center"/>
    </xf>
    <xf borderId="10" fillId="5" fontId="1" numFmtId="169" xfId="0" applyAlignment="1" applyBorder="1" applyFont="1" applyNumberFormat="1">
      <alignment vertical="center"/>
    </xf>
    <xf borderId="69" fillId="5" fontId="27" numFmtId="169" xfId="0" applyAlignment="1" applyBorder="1" applyFont="1" applyNumberFormat="1">
      <alignment vertical="center"/>
    </xf>
    <xf borderId="70" fillId="5" fontId="2" numFmtId="4" xfId="0" applyAlignment="1" applyBorder="1" applyFont="1" applyNumberFormat="1">
      <alignment horizontal="center" readingOrder="0" vertical="center"/>
    </xf>
    <xf borderId="71" fillId="0" fontId="4" numFmtId="0" xfId="0" applyAlignment="1" applyBorder="1" applyFont="1">
      <alignment vertical="center"/>
    </xf>
    <xf borderId="72" fillId="5" fontId="1" numFmtId="170" xfId="0" applyAlignment="1" applyBorder="1" applyFont="1" applyNumberFormat="1">
      <alignment vertical="center"/>
    </xf>
    <xf borderId="73" fillId="5" fontId="1" numFmtId="170" xfId="0" applyAlignment="1" applyBorder="1" applyFont="1" applyNumberFormat="1">
      <alignment vertical="center"/>
    </xf>
    <xf borderId="74" fillId="5" fontId="27" numFmtId="170" xfId="0" applyAlignment="1" applyBorder="1" applyFont="1" applyNumberFormat="1">
      <alignment vertical="center"/>
    </xf>
    <xf borderId="75" fillId="2" fontId="7" numFmtId="168" xfId="0" applyAlignment="1" applyBorder="1" applyFont="1" applyNumberFormat="1">
      <alignment horizontal="right" vertical="center"/>
    </xf>
    <xf borderId="38" fillId="2" fontId="1" numFmtId="4" xfId="0" applyAlignment="1" applyBorder="1" applyFont="1" applyNumberFormat="1">
      <alignment vertical="center"/>
    </xf>
    <xf borderId="76" fillId="2" fontId="7" numFmtId="168" xfId="0" applyAlignment="1" applyBorder="1" applyFont="1" applyNumberFormat="1">
      <alignment horizontal="right" vertical="center"/>
    </xf>
    <xf borderId="77" fillId="2" fontId="2" numFmtId="4" xfId="0" applyAlignment="1" applyBorder="1" applyFont="1" applyNumberFormat="1">
      <alignment horizontal="center" vertical="center"/>
    </xf>
    <xf borderId="0" fillId="4" fontId="20" numFmtId="4" xfId="0" applyAlignment="1" applyFont="1" applyNumberFormat="1">
      <alignment horizontal="center" vertical="center"/>
    </xf>
    <xf borderId="0" fillId="4" fontId="28" numFmtId="4" xfId="0" applyAlignment="1" applyFont="1" applyNumberFormat="1">
      <alignment horizontal="center" readingOrder="0" shrinkToFit="0" vertical="center" wrapText="0"/>
    </xf>
    <xf borderId="0" fillId="4" fontId="1" numFmtId="3" xfId="0" applyAlignment="1" applyFont="1" applyNumberFormat="1">
      <alignment horizontal="right" readingOrder="0" shrinkToFit="0" vertical="center" wrapText="0"/>
    </xf>
    <xf borderId="0" fillId="4" fontId="28" numFmtId="3" xfId="0" applyAlignment="1" applyFont="1" applyNumberFormat="1">
      <alignment horizontal="right" readingOrder="0" shrinkToFit="0" vertical="center" wrapText="0"/>
    </xf>
    <xf borderId="0" fillId="4" fontId="1" numFmtId="4" xfId="0" applyAlignment="1" applyFont="1" applyNumberFormat="1">
      <alignment horizontal="center" readingOrder="0" shrinkToFit="0" vertical="center" wrapText="0"/>
    </xf>
    <xf borderId="0" fillId="2" fontId="1" numFmtId="4" xfId="0" applyAlignment="1" applyFont="1" applyNumberFormat="1">
      <alignment horizontal="center" readingOrder="0" vertical="center"/>
    </xf>
    <xf borderId="0" fillId="6" fontId="28" numFmtId="3" xfId="0" applyAlignment="1" applyFill="1" applyFont="1" applyNumberFormat="1">
      <alignment horizontal="right" readingOrder="0" shrinkToFit="0" vertical="center" wrapText="0"/>
    </xf>
    <xf borderId="1" fillId="6" fontId="1" numFmtId="4" xfId="0" applyAlignment="1" applyBorder="1" applyFont="1" applyNumberFormat="1">
      <alignment vertical="center"/>
    </xf>
    <xf borderId="1" fillId="7" fontId="1" numFmtId="4" xfId="0" applyAlignment="1" applyBorder="1" applyFill="1" applyFont="1" applyNumberFormat="1">
      <alignment vertical="center"/>
    </xf>
    <xf borderId="1" fillId="8" fontId="1" numFmtId="4" xfId="0" applyAlignment="1" applyBorder="1" applyFill="1" applyFont="1" applyNumberFormat="1">
      <alignment vertical="center"/>
    </xf>
    <xf borderId="0" fillId="4" fontId="1" numFmtId="4" xfId="0" applyAlignment="1" applyFont="1" applyNumberFormat="1">
      <alignment horizontal="right" readingOrder="0" shrinkToFit="0" vertical="center" wrapText="0"/>
    </xf>
    <xf borderId="0" fillId="4" fontId="28" numFmtId="4" xfId="0" applyAlignment="1" applyFont="1" applyNumberFormat="1">
      <alignment horizontal="right" readingOrder="0" shrinkToFit="0" vertical="center" wrapText="0"/>
    </xf>
    <xf borderId="0" fillId="7" fontId="28" numFmtId="4" xfId="0" applyAlignment="1" applyFont="1" applyNumberFormat="1">
      <alignment horizontal="right" readingOrder="0" shrinkToFit="0" vertical="center" wrapText="0"/>
    </xf>
    <xf borderId="0" fillId="7" fontId="1" numFmtId="4" xfId="0" applyAlignment="1" applyFont="1" applyNumberFormat="1">
      <alignment horizontal="center" readingOrder="0" shrinkToFit="0" vertical="center" wrapText="0"/>
    </xf>
    <xf borderId="0" fillId="6" fontId="28" numFmtId="4" xfId="0" applyAlignment="1" applyFont="1" applyNumberFormat="1">
      <alignment horizontal="right" readingOrder="0" shrinkToFit="0" vertical="center" wrapText="0"/>
    </xf>
    <xf borderId="0" fillId="4" fontId="29" numFmtId="4" xfId="0" applyAlignment="1" applyFont="1" applyNumberFormat="1">
      <alignment horizontal="center" readingOrder="0" shrinkToFit="0" vertical="center" wrapText="0"/>
    </xf>
    <xf borderId="2" fillId="2" fontId="1" numFmtId="4" xfId="0" applyAlignment="1" applyBorder="1" applyFont="1" applyNumberFormat="1">
      <alignment horizontal="center" vertical="center"/>
    </xf>
    <xf borderId="3" fillId="2" fontId="1" numFmtId="4" xfId="0" applyAlignment="1" applyBorder="1" applyFont="1" applyNumberFormat="1">
      <alignment vertical="center"/>
    </xf>
    <xf borderId="5" fillId="6" fontId="30" numFmtId="4" xfId="0" applyAlignment="1" applyBorder="1" applyFont="1" applyNumberFormat="1">
      <alignment horizontal="center" readingOrder="0" vertical="center"/>
    </xf>
    <xf borderId="5" fillId="6" fontId="20" numFmtId="171" xfId="0" applyAlignment="1" applyBorder="1" applyFont="1" applyNumberFormat="1">
      <alignment readingOrder="0" vertical="center"/>
    </xf>
    <xf borderId="3" fillId="2" fontId="2" numFmtId="4" xfId="0" applyAlignment="1" applyBorder="1" applyFont="1" applyNumberFormat="1">
      <alignment vertical="center"/>
    </xf>
    <xf borderId="3" fillId="2" fontId="2" numFmtId="4" xfId="0" applyAlignment="1" applyBorder="1" applyFont="1" applyNumberFormat="1">
      <alignment horizontal="center" vertical="center"/>
    </xf>
    <xf borderId="5" fillId="6" fontId="20" numFmtId="170" xfId="0" applyAlignment="1" applyBorder="1" applyFont="1" applyNumberFormat="1">
      <alignment readingOrder="0" vertical="center"/>
    </xf>
    <xf borderId="78" fillId="2" fontId="1" numFmtId="4" xfId="0" applyAlignment="1" applyBorder="1" applyFont="1" applyNumberFormat="1">
      <alignment vertical="center"/>
    </xf>
    <xf borderId="79" fillId="0" fontId="1" numFmtId="4" xfId="0" applyAlignment="1" applyBorder="1" applyFont="1" applyNumberFormat="1">
      <alignment horizontal="center" readingOrder="0" vertical="center"/>
    </xf>
    <xf borderId="80" fillId="0" fontId="1" numFmtId="4" xfId="0" applyAlignment="1" applyBorder="1" applyFont="1" applyNumberFormat="1">
      <alignment horizontal="center" readingOrder="0" vertical="center"/>
    </xf>
    <xf borderId="81" fillId="0" fontId="1" numFmtId="170" xfId="0" applyAlignment="1" applyBorder="1" applyFont="1" applyNumberFormat="1">
      <alignment readingOrder="0" vertical="center"/>
    </xf>
    <xf borderId="81" fillId="0" fontId="1" numFmtId="170" xfId="0" applyAlignment="1" applyBorder="1" applyFont="1" applyNumberFormat="1">
      <alignment vertical="center"/>
    </xf>
    <xf borderId="82" fillId="0" fontId="20" numFmtId="170" xfId="0" applyAlignment="1" applyBorder="1" applyFont="1" applyNumberFormat="1">
      <alignment vertical="center"/>
    </xf>
    <xf borderId="83" fillId="0" fontId="20" numFmtId="170" xfId="0" applyAlignment="1" applyBorder="1" applyFont="1" applyNumberFormat="1">
      <alignment vertical="center"/>
    </xf>
    <xf borderId="77" fillId="2" fontId="1" numFmtId="4" xfId="0" applyAlignment="1" applyBorder="1" applyFont="1" applyNumberFormat="1">
      <alignment horizontal="center" vertical="center"/>
    </xf>
    <xf borderId="84" fillId="2" fontId="2" numFmtId="4" xfId="0" applyAlignment="1" applyBorder="1" applyFont="1" applyNumberFormat="1">
      <alignment horizontal="center" vertical="center"/>
    </xf>
    <xf borderId="0" fillId="4" fontId="1" numFmtId="4" xfId="0" applyAlignment="1" applyFont="1" applyNumberFormat="1">
      <alignment horizontal="left" readingOrder="0" shrinkToFit="0" vertical="center" wrapText="0"/>
    </xf>
    <xf borderId="0" fillId="4" fontId="28" numFmtId="4" xfId="0" applyAlignment="1" applyFont="1" applyNumberFormat="1">
      <alignment horizontal="left" readingOrder="0" shrinkToFit="0" vertical="center" wrapText="0"/>
    </xf>
    <xf borderId="0" fillId="0" fontId="28" numFmtId="4" xfId="0" applyAlignment="1" applyFont="1" applyNumberFormat="1">
      <alignment horizontal="right" readingOrder="0" shrinkToFit="0" vertical="center" wrapText="0"/>
    </xf>
    <xf borderId="0" fillId="0" fontId="26" numFmtId="4" xfId="0" applyAlignment="1" applyFont="1" applyNumberFormat="1">
      <alignment horizontal="center" vertical="center"/>
    </xf>
    <xf borderId="0" fillId="4" fontId="31" numFmtId="4" xfId="0" applyAlignment="1" applyFont="1" applyNumberFormat="1">
      <alignment horizontal="center" readingOrder="0" shrinkToFit="0" vertical="center" wrapText="0"/>
    </xf>
    <xf borderId="0" fillId="4" fontId="1" numFmtId="4" xfId="0" applyAlignment="1" applyFont="1" applyNumberFormat="1">
      <alignment horizontal="center" readingOrder="0" shrinkToFit="0" vertical="center" wrapText="0"/>
    </xf>
    <xf borderId="60" fillId="0" fontId="20" numFmtId="170" xfId="0" applyAlignment="1" applyBorder="1" applyFont="1" applyNumberFormat="1">
      <alignment vertical="center"/>
    </xf>
    <xf borderId="85" fillId="0" fontId="20" numFmtId="170" xfId="0" applyAlignment="1" applyBorder="1" applyFont="1" applyNumberFormat="1">
      <alignment vertical="center"/>
    </xf>
    <xf borderId="0" fillId="4" fontId="32" numFmtId="4" xfId="0" applyAlignment="1" applyFont="1" applyNumberFormat="1">
      <alignment horizontal="center" readingOrder="0" shrinkToFit="0" vertical="center" wrapText="0"/>
    </xf>
    <xf borderId="0" fillId="4" fontId="1" numFmtId="3" xfId="0" applyAlignment="1" applyFont="1" applyNumberFormat="1">
      <alignment horizontal="right" readingOrder="0" shrinkToFit="0" vertical="center" wrapText="0"/>
    </xf>
    <xf borderId="0" fillId="4" fontId="20" numFmtId="4" xfId="0" applyAlignment="1" applyFont="1" applyNumberFormat="1">
      <alignment horizontal="center" readingOrder="0" shrinkToFit="0" vertical="center" wrapText="0"/>
    </xf>
    <xf borderId="0" fillId="4" fontId="20" numFmtId="4" xfId="0" applyAlignment="1" applyFont="1" applyNumberFormat="1">
      <alignment horizontal="center" readingOrder="0" shrinkToFit="0" vertical="center" wrapText="0"/>
    </xf>
    <xf borderId="0" fillId="4" fontId="20" numFmtId="3" xfId="0" applyAlignment="1" applyFont="1" applyNumberFormat="1">
      <alignment horizontal="right" readingOrder="0" shrinkToFit="0" vertical="center" wrapText="0"/>
    </xf>
    <xf borderId="0" fillId="4" fontId="20" numFmtId="3" xfId="0" applyAlignment="1" applyFont="1" applyNumberFormat="1">
      <alignment horizontal="right" readingOrder="0" shrinkToFit="0" vertical="center" wrapText="0"/>
    </xf>
    <xf borderId="0" fillId="4" fontId="20" numFmtId="4" xfId="0" applyAlignment="1" applyFont="1" applyNumberFormat="1">
      <alignment horizontal="left" readingOrder="0" shrinkToFit="0" vertical="center" wrapText="0"/>
    </xf>
    <xf borderId="0" fillId="2" fontId="20" numFmtId="4" xfId="0" applyAlignment="1" applyFont="1" applyNumberFormat="1">
      <alignment horizontal="center" readingOrder="0" vertical="center"/>
    </xf>
    <xf borderId="60" fillId="0" fontId="20" numFmtId="169" xfId="0" applyAlignment="1" applyBorder="1" applyFont="1" applyNumberFormat="1">
      <alignment vertical="center"/>
    </xf>
    <xf borderId="0" fillId="4" fontId="28" numFmtId="0" xfId="0" applyAlignment="1" applyFont="1">
      <alignment horizontal="center" readingOrder="0" shrinkToFit="0" vertical="center" wrapText="0"/>
    </xf>
    <xf borderId="0" fillId="4" fontId="1" numFmtId="4" xfId="0" applyAlignment="1" applyFont="1" applyNumberFormat="1">
      <alignment horizontal="center" readingOrder="0" shrinkToFit="0" vertical="center" wrapText="0"/>
    </xf>
    <xf borderId="0" fillId="4" fontId="28" numFmtId="172" xfId="0" applyAlignment="1" applyFont="1" applyNumberFormat="1">
      <alignment horizontal="right" readingOrder="0" shrinkToFit="0" vertical="center" wrapText="0"/>
    </xf>
    <xf borderId="1" fillId="2" fontId="1" numFmtId="169" xfId="0" applyAlignment="1" applyBorder="1" applyFont="1" applyNumberFormat="1">
      <alignment vertical="center"/>
    </xf>
    <xf borderId="0" fillId="4" fontId="33" numFmtId="4" xfId="0" applyAlignment="1" applyFont="1" applyNumberFormat="1">
      <alignment horizontal="left" readingOrder="0" shrinkToFit="0" vertical="center" wrapText="0"/>
    </xf>
    <xf borderId="0" fillId="4" fontId="28" numFmtId="172" xfId="0" applyAlignment="1" applyFont="1" applyNumberFormat="1">
      <alignment horizontal="right" shrinkToFit="0" vertical="center" wrapText="0"/>
    </xf>
    <xf borderId="6" fillId="2" fontId="34" numFmtId="173" xfId="0" applyAlignment="1" applyBorder="1" applyFont="1" applyNumberFormat="1">
      <alignment horizontal="right" vertical="center"/>
    </xf>
    <xf borderId="0" fillId="4" fontId="20" numFmtId="4" xfId="0" applyAlignment="1" applyFont="1" applyNumberFormat="1">
      <alignment horizontal="right" readingOrder="0" shrinkToFit="0" vertical="center" wrapText="0"/>
    </xf>
    <xf borderId="0" fillId="0" fontId="35" numFmtId="0" xfId="0" applyAlignment="1" applyFont="1">
      <alignment vertical="center"/>
    </xf>
    <xf borderId="0" fillId="0" fontId="20" numFmtId="0" xfId="0" applyAlignment="1" applyFont="1">
      <alignment vertical="center"/>
    </xf>
    <xf borderId="0" fillId="0" fontId="20" numFmtId="0" xfId="0" applyAlignment="1" applyFont="1">
      <alignment readingOrder="0" vertical="center"/>
    </xf>
    <xf borderId="0" fillId="2" fontId="1" numFmtId="4" xfId="0" applyAlignment="1" applyFont="1" applyNumberFormat="1">
      <alignment vertical="center"/>
    </xf>
    <xf borderId="0" fillId="2" fontId="1" numFmtId="4" xfId="0" applyAlignment="1" applyFont="1" applyNumberFormat="1">
      <alignment readingOrder="0" vertical="center"/>
    </xf>
    <xf borderId="0" fillId="4" fontId="20" numFmtId="172" xfId="0" applyAlignment="1" applyFont="1" applyNumberFormat="1">
      <alignment horizontal="right" readingOrder="0" shrinkToFit="0" vertical="center" wrapText="0"/>
    </xf>
    <xf borderId="0" fillId="0" fontId="20" numFmtId="4" xfId="0" applyAlignment="1" applyFont="1" applyNumberFormat="1">
      <alignment horizontal="center" vertical="center"/>
    </xf>
    <xf borderId="66" fillId="5" fontId="2" numFmtId="168" xfId="0" applyAlignment="1" applyBorder="1" applyFont="1" applyNumberFormat="1">
      <alignment vertical="center"/>
    </xf>
    <xf borderId="69" fillId="5" fontId="2" numFmtId="169" xfId="0" applyAlignment="1" applyBorder="1" applyFont="1" applyNumberFormat="1">
      <alignment vertical="center"/>
    </xf>
    <xf borderId="74" fillId="5" fontId="2" numFmtId="170" xfId="0" applyAlignment="1" applyBorder="1" applyFont="1" applyNumberFormat="1">
      <alignment vertical="center"/>
    </xf>
    <xf borderId="0" fillId="4" fontId="28" numFmtId="174" xfId="0" applyAlignment="1" applyFont="1" applyNumberFormat="1">
      <alignment horizontal="right" readingOrder="0" shrinkToFit="0" vertical="center" wrapText="0"/>
    </xf>
    <xf borderId="0" fillId="0" fontId="36" numFmtId="4" xfId="0" applyAlignment="1" applyFont="1" applyNumberFormat="1">
      <alignment vertical="center"/>
    </xf>
    <xf borderId="0" fillId="4" fontId="20" numFmtId="4" xfId="0" applyAlignment="1" applyFont="1" applyNumberFormat="1">
      <alignment horizontal="center" readingOrder="0" vertical="center"/>
    </xf>
    <xf borderId="6" fillId="2" fontId="1" numFmtId="4" xfId="0" applyAlignment="1" applyBorder="1" applyFont="1" applyNumberFormat="1">
      <alignment horizontal="center" readingOrder="0" vertical="center"/>
    </xf>
    <xf borderId="86" fillId="2" fontId="7" numFmtId="168" xfId="0" applyAlignment="1" applyBorder="1" applyFont="1" applyNumberFormat="1">
      <alignment horizontal="right" vertical="center"/>
    </xf>
    <xf borderId="87" fillId="2" fontId="7" numFmtId="168" xfId="0" applyAlignment="1" applyBorder="1" applyFont="1" applyNumberFormat="1">
      <alignment horizontal="right" vertical="center"/>
    </xf>
    <xf borderId="0" fillId="4" fontId="20" numFmtId="4" xfId="0" applyAlignment="1" applyFont="1" applyNumberFormat="1">
      <alignment horizontal="left" shrinkToFit="0" vertical="center" wrapText="0"/>
    </xf>
    <xf borderId="47" fillId="0" fontId="20" numFmtId="168" xfId="0" applyAlignment="1" applyBorder="1" applyFont="1" applyNumberFormat="1">
      <alignment horizontal="right" vertical="center"/>
    </xf>
    <xf borderId="48" fillId="0" fontId="20" numFmtId="168" xfId="0" applyAlignment="1" applyBorder="1" applyFont="1" applyNumberFormat="1">
      <alignment horizontal="right" vertical="center"/>
    </xf>
    <xf borderId="22" fillId="0" fontId="1" numFmtId="169" xfId="0" applyAlignment="1" applyBorder="1" applyFont="1" applyNumberFormat="1">
      <alignment horizontal="right" vertical="center"/>
    </xf>
    <xf borderId="52" fillId="0" fontId="20" numFmtId="169" xfId="0" applyAlignment="1" applyBorder="1" applyFont="1" applyNumberFormat="1">
      <alignment horizontal="right" vertical="center"/>
    </xf>
    <xf borderId="22" fillId="0" fontId="20" numFmtId="168" xfId="0" applyAlignment="1" applyBorder="1" applyFont="1" applyNumberFormat="1">
      <alignment horizontal="right" vertical="center"/>
    </xf>
    <xf borderId="52" fillId="0" fontId="20" numFmtId="168" xfId="0" applyAlignment="1" applyBorder="1" applyFont="1" applyNumberFormat="1">
      <alignment horizontal="right" vertical="center"/>
    </xf>
    <xf borderId="22" fillId="0" fontId="20" numFmtId="169" xfId="0" applyAlignment="1" applyBorder="1" applyFont="1" applyNumberFormat="1">
      <alignment horizontal="right" vertical="center"/>
    </xf>
    <xf borderId="60" fillId="0" fontId="20" numFmtId="169" xfId="0" applyAlignment="1" applyBorder="1" applyFont="1" applyNumberFormat="1">
      <alignment horizontal="right" vertical="center"/>
    </xf>
    <xf borderId="22" fillId="0" fontId="20" numFmtId="170" xfId="0" applyAlignment="1" applyBorder="1" applyFont="1" applyNumberFormat="1">
      <alignment horizontal="right" vertical="center"/>
    </xf>
    <xf borderId="60" fillId="0" fontId="20" numFmtId="170" xfId="0" applyAlignment="1" applyBorder="1" applyFont="1" applyNumberFormat="1">
      <alignment horizontal="right" vertical="center"/>
    </xf>
    <xf borderId="22" fillId="0" fontId="1" numFmtId="168" xfId="0" applyAlignment="1" applyBorder="1" applyFont="1" applyNumberFormat="1">
      <alignment horizontal="right" vertical="center"/>
    </xf>
    <xf borderId="81" fillId="0" fontId="1" numFmtId="170" xfId="0" applyAlignment="1" applyBorder="1" applyFont="1" applyNumberFormat="1">
      <alignment horizontal="right" vertical="center"/>
    </xf>
    <xf borderId="82" fillId="0" fontId="20" numFmtId="170" xfId="0" applyAlignment="1" applyBorder="1" applyFont="1" applyNumberFormat="1">
      <alignment horizontal="right" vertical="center"/>
    </xf>
    <xf borderId="22" fillId="2" fontId="1" numFmtId="4" xfId="0" applyAlignment="1" applyBorder="1" applyFont="1" applyNumberFormat="1">
      <alignment horizontal="right" vertical="center"/>
    </xf>
    <xf borderId="52" fillId="4" fontId="20" numFmtId="4" xfId="0" applyAlignment="1" applyBorder="1" applyFont="1" applyNumberFormat="1">
      <alignment horizontal="right" vertical="center"/>
    </xf>
    <xf borderId="0" fillId="7" fontId="1" numFmtId="4" xfId="0" applyAlignment="1" applyFont="1" applyNumberFormat="1">
      <alignment horizontal="right" readingOrder="0" shrinkToFit="0" vertical="center" wrapText="0"/>
    </xf>
    <xf borderId="0" fillId="4" fontId="20" numFmtId="4" xfId="0" applyAlignment="1" applyFont="1" applyNumberFormat="1">
      <alignment horizontal="right" readingOrder="0" shrinkToFit="0" vertical="center" wrapText="0"/>
    </xf>
    <xf borderId="2" fillId="2" fontId="1" numFmtId="3" xfId="0" applyAlignment="1" applyBorder="1" applyFont="1" applyNumberFormat="1">
      <alignment vertical="center"/>
    </xf>
    <xf borderId="2" fillId="2" fontId="1" numFmtId="3" xfId="0" applyAlignment="1" applyBorder="1" applyFont="1" applyNumberFormat="1">
      <alignment readingOrder="0" vertical="center"/>
    </xf>
    <xf borderId="0" fillId="4" fontId="20" numFmtId="0" xfId="0" applyAlignment="1" applyFont="1">
      <alignment horizontal="center" readingOrder="0" shrinkToFit="0" vertical="center" wrapText="0"/>
    </xf>
    <xf borderId="0" fillId="7" fontId="20" numFmtId="4" xfId="0" applyAlignment="1" applyFont="1" applyNumberFormat="1">
      <alignment horizontal="right" readingOrder="0" shrinkToFit="0" vertical="center" wrapText="0"/>
    </xf>
    <xf borderId="22" fillId="0" fontId="1" numFmtId="3" xfId="0" applyAlignment="1" applyBorder="1" applyFont="1" applyNumberFormat="1">
      <alignment readingOrder="0" vertical="center"/>
    </xf>
    <xf borderId="0" fillId="0" fontId="37" numFmtId="0" xfId="0" applyAlignment="1" applyFont="1">
      <alignment vertical="center"/>
    </xf>
    <xf borderId="0" fillId="4" fontId="38" numFmtId="4" xfId="0" applyAlignment="1" applyFont="1" applyNumberFormat="1">
      <alignment horizontal="center" readingOrder="0" shrinkToFit="0" vertical="center" wrapText="0"/>
    </xf>
    <xf borderId="0" fillId="4" fontId="20" numFmtId="4" xfId="0" applyAlignment="1" applyFont="1" applyNumberFormat="1">
      <alignment horizontal="center" shrinkToFit="0" vertical="center" wrapText="0"/>
    </xf>
    <xf borderId="27" fillId="0" fontId="1" numFmtId="4" xfId="0" applyAlignment="1" applyBorder="1" applyFont="1" applyNumberFormat="1">
      <alignment horizontal="center" readingOrder="0" vertical="center"/>
    </xf>
    <xf borderId="59" fillId="0" fontId="1" numFmtId="168" xfId="0" applyAlignment="1" applyBorder="1" applyFont="1" applyNumberFormat="1">
      <alignment readingOrder="0" vertical="center"/>
    </xf>
    <xf borderId="59" fillId="6" fontId="1" numFmtId="4" xfId="0" applyAlignment="1" applyBorder="1" applyFont="1" applyNumberFormat="1">
      <alignment horizontal="center" readingOrder="0" vertical="center"/>
    </xf>
    <xf borderId="60" fillId="6" fontId="1" numFmtId="4" xfId="0" applyAlignment="1" applyBorder="1" applyFont="1" applyNumberFormat="1">
      <alignment horizontal="center" readingOrder="0" vertical="center"/>
    </xf>
    <xf borderId="22" fillId="6" fontId="1" numFmtId="4" xfId="0" applyAlignment="1" applyBorder="1" applyFont="1" applyNumberFormat="1">
      <alignment readingOrder="0" vertical="center"/>
    </xf>
    <xf borderId="22" fillId="6" fontId="20" numFmtId="169" xfId="0" applyAlignment="1" applyBorder="1" applyFont="1" applyNumberFormat="1">
      <alignment horizontal="right" vertical="center"/>
    </xf>
    <xf borderId="52" fillId="6" fontId="20" numFmtId="169" xfId="0" applyAlignment="1" applyBorder="1" applyFont="1" applyNumberFormat="1">
      <alignment horizontal="right" vertical="center"/>
    </xf>
    <xf borderId="53" fillId="6" fontId="20" numFmtId="169" xfId="0" applyAlignment="1" applyBorder="1" applyFont="1" applyNumberFormat="1">
      <alignment vertical="center"/>
    </xf>
    <xf borderId="0" fillId="4" fontId="20" numFmtId="4" xfId="0" applyAlignment="1" applyFont="1" applyNumberFormat="1">
      <alignment horizontal="left" readingOrder="0" shrinkToFit="0" vertical="center" wrapText="1"/>
    </xf>
    <xf borderId="6" fillId="4" fontId="1" numFmtId="4" xfId="0" applyAlignment="1" applyBorder="1" applyFont="1" applyNumberFormat="1">
      <alignment horizontal="center" readingOrder="0" vertical="center"/>
    </xf>
    <xf borderId="2" fillId="4" fontId="1" numFmtId="3" xfId="0" applyAlignment="1" applyBorder="1" applyFont="1" applyNumberFormat="1">
      <alignment readingOrder="0" vertical="center"/>
    </xf>
    <xf borderId="0" fillId="0" fontId="26" numFmtId="0" xfId="0" applyAlignment="1" applyFont="1">
      <alignment horizontal="center" readingOrder="0" vertical="center"/>
    </xf>
    <xf borderId="2" fillId="2" fontId="1" numFmtId="4" xfId="0" applyAlignment="1" applyBorder="1" applyFont="1" applyNumberFormat="1">
      <alignment horizontal="center" readingOrder="0" vertical="center"/>
    </xf>
    <xf borderId="6" fillId="9" fontId="1" numFmtId="4" xfId="0" applyAlignment="1" applyBorder="1" applyFill="1" applyFont="1" applyNumberFormat="1">
      <alignment horizontal="center" readingOrder="0" vertical="center"/>
    </xf>
    <xf borderId="2" fillId="9" fontId="1" numFmtId="3" xfId="0" applyAlignment="1" applyBorder="1" applyFont="1" applyNumberFormat="1">
      <alignment readingOrder="0" vertical="center"/>
    </xf>
    <xf borderId="59" fillId="0" fontId="1" numFmtId="4" xfId="0" applyAlignment="1" applyBorder="1" applyFont="1" applyNumberFormat="1">
      <alignment horizontal="center" readingOrder="0" vertical="center"/>
    </xf>
    <xf borderId="60" fillId="0" fontId="1" numFmtId="4" xfId="0" applyAlignment="1" applyBorder="1" applyFont="1" applyNumberFormat="1">
      <alignment horizontal="center" readingOrder="0" vertical="center"/>
    </xf>
    <xf borderId="22" fillId="0" fontId="1" numFmtId="4" xfId="0" applyAlignment="1" applyBorder="1" applyFont="1" applyNumberFormat="1">
      <alignment readingOrder="0" vertical="center"/>
    </xf>
    <xf borderId="0" fillId="6" fontId="20" numFmtId="4" xfId="0" applyAlignment="1" applyFont="1" applyNumberFormat="1">
      <alignment horizontal="center" readingOrder="0" vertical="center"/>
    </xf>
    <xf borderId="0" fillId="6" fontId="20" numFmtId="4" xfId="0" applyAlignment="1" applyFont="1" applyNumberFormat="1">
      <alignment horizontal="center" readingOrder="0" shrinkToFit="0" vertical="center" wrapText="0"/>
    </xf>
    <xf borderId="0" fillId="6" fontId="20" numFmtId="4" xfId="0" applyAlignment="1" applyFont="1" applyNumberFormat="1">
      <alignment horizontal="right" readingOrder="0" shrinkToFit="0" vertical="center" wrapText="0"/>
    </xf>
    <xf borderId="0" fillId="6" fontId="20" numFmtId="3" xfId="0" applyAlignment="1" applyFont="1" applyNumberFormat="1">
      <alignment horizontal="right" readingOrder="0" shrinkToFit="0" vertical="center" wrapText="0"/>
    </xf>
    <xf borderId="0" fillId="6" fontId="20" numFmtId="4" xfId="0" applyAlignment="1" applyFont="1" applyNumberFormat="1">
      <alignment horizontal="left" readingOrder="0" shrinkToFit="0" vertical="center" wrapText="0"/>
    </xf>
    <xf borderId="0" fillId="0" fontId="20" numFmtId="4" xfId="0" applyAlignment="1" applyFont="1" applyNumberFormat="1">
      <alignment horizontal="right" readingOrder="0" shrinkToFit="0" vertical="center" wrapText="0"/>
    </xf>
    <xf borderId="0" fillId="0" fontId="20" numFmtId="4" xfId="0" applyAlignment="1" applyFont="1" applyNumberFormat="1">
      <alignment horizontal="right" readingOrder="0" shrinkToFit="0" vertical="center" wrapText="0"/>
    </xf>
    <xf borderId="6" fillId="10" fontId="1" numFmtId="4" xfId="0" applyAlignment="1" applyBorder="1" applyFill="1" applyFont="1" applyNumberFormat="1">
      <alignment horizontal="center" readingOrder="0" vertical="center"/>
    </xf>
    <xf borderId="59" fillId="4" fontId="1" numFmtId="4" xfId="0" applyAlignment="1" applyBorder="1" applyFont="1" applyNumberFormat="1">
      <alignment horizontal="center" readingOrder="0" vertical="center"/>
    </xf>
    <xf borderId="60" fillId="4" fontId="1" numFmtId="4" xfId="0" applyAlignment="1" applyBorder="1" applyFont="1" applyNumberFormat="1">
      <alignment horizontal="center" readingOrder="0" vertical="center"/>
    </xf>
    <xf borderId="22" fillId="4" fontId="1" numFmtId="4" xfId="0" applyAlignment="1" applyBorder="1" applyFont="1" applyNumberFormat="1">
      <alignment readingOrder="0" vertical="center"/>
    </xf>
    <xf borderId="22" fillId="4" fontId="20" numFmtId="169" xfId="0" applyAlignment="1" applyBorder="1" applyFont="1" applyNumberFormat="1">
      <alignment horizontal="right" vertical="center"/>
    </xf>
    <xf borderId="52" fillId="4" fontId="20" numFmtId="169" xfId="0" applyAlignment="1" applyBorder="1" applyFont="1" applyNumberFormat="1">
      <alignment horizontal="right" vertical="center"/>
    </xf>
    <xf borderId="53" fillId="4" fontId="20" numFmtId="169" xfId="0" applyAlignment="1" applyBorder="1" applyFont="1" applyNumberFormat="1">
      <alignment vertical="center"/>
    </xf>
    <xf borderId="0" fillId="0" fontId="20" numFmtId="4" xfId="0" applyAlignment="1" applyFont="1" applyNumberFormat="1">
      <alignment horizontal="center" readingOrder="0" vertical="center"/>
    </xf>
    <xf borderId="0" fillId="0" fontId="20" numFmtId="4" xfId="0" applyAlignment="1" applyFont="1" applyNumberFormat="1">
      <alignment horizontal="center" readingOrder="0" shrinkToFit="0" vertical="center" wrapText="0"/>
    </xf>
    <xf borderId="0" fillId="0" fontId="20" numFmtId="3" xfId="0" applyAlignment="1" applyFont="1" applyNumberFormat="1">
      <alignment horizontal="right" readingOrder="0" shrinkToFit="0" vertical="center" wrapText="0"/>
    </xf>
    <xf borderId="0" fillId="0" fontId="20" numFmtId="4" xfId="0" applyAlignment="1" applyFont="1" applyNumberFormat="1">
      <alignment horizontal="left" readingOrder="0" shrinkToFit="0" vertical="center" wrapText="0"/>
    </xf>
    <xf borderId="0" fillId="7" fontId="20" numFmtId="4" xfId="0" applyAlignment="1" applyFont="1" applyNumberFormat="1">
      <alignment horizontal="center" readingOrder="0" vertical="center"/>
    </xf>
    <xf borderId="0" fillId="7" fontId="20" numFmtId="4" xfId="0" applyAlignment="1" applyFont="1" applyNumberFormat="1">
      <alignment horizontal="center" readingOrder="0" shrinkToFit="0" vertical="center" wrapText="0"/>
    </xf>
    <xf borderId="0" fillId="7" fontId="39" numFmtId="4" xfId="0" applyAlignment="1" applyFont="1" applyNumberFormat="1">
      <alignment horizontal="center" readingOrder="0" shrinkToFit="0" vertical="center" wrapText="0"/>
    </xf>
    <xf borderId="0" fillId="7" fontId="20" numFmtId="4" xfId="0" applyAlignment="1" applyFont="1" applyNumberFormat="1">
      <alignment horizontal="left" readingOrder="0" shrinkToFit="0" vertical="center" wrapText="0"/>
    </xf>
    <xf borderId="0" fillId="0" fontId="26" numFmtId="0" xfId="0" applyAlignment="1" applyFont="1">
      <alignment readingOrder="0" vertical="center"/>
    </xf>
    <xf borderId="2" fillId="2" fontId="1" numFmtId="4" xfId="0" applyAlignment="1" applyBorder="1" applyFont="1" applyNumberFormat="1">
      <alignment readingOrder="0" vertical="center"/>
    </xf>
    <xf borderId="6" fillId="2" fontId="1" numFmtId="3" xfId="0" applyAlignment="1" applyBorder="1" applyFont="1" applyNumberFormat="1">
      <alignment horizontal="center" vertical="center"/>
    </xf>
    <xf borderId="6" fillId="2" fontId="1" numFmtId="3" xfId="0" applyAlignment="1" applyBorder="1" applyFont="1" applyNumberFormat="1">
      <alignment horizontal="center" readingOrder="0" vertical="center"/>
    </xf>
    <xf borderId="0" fillId="0" fontId="20" numFmtId="3" xfId="0" applyAlignment="1" applyFont="1" applyNumberFormat="1">
      <alignment horizontal="right" readingOrder="0" shrinkToFit="0" vertical="center" wrapText="0"/>
    </xf>
    <xf borderId="0" fillId="4" fontId="20" numFmtId="3" xfId="0" applyAlignment="1" applyFont="1" applyNumberFormat="1">
      <alignment horizontal="right" shrinkToFit="0" vertical="center" wrapText="0"/>
    </xf>
    <xf borderId="0" fillId="4" fontId="1" numFmtId="4" xfId="0" applyAlignment="1" applyFont="1" applyNumberFormat="1">
      <alignment horizontal="left" shrinkToFit="0" vertical="center" wrapText="0"/>
    </xf>
    <xf borderId="0" fillId="4" fontId="1" numFmtId="4" xfId="0" applyAlignment="1" applyFont="1" applyNumberFormat="1">
      <alignment horizontal="center" readingOrder="0" vertical="center"/>
    </xf>
    <xf borderId="0" fillId="0" fontId="20" numFmtId="4" xfId="0" applyAlignment="1" applyFont="1" applyNumberFormat="1">
      <alignment horizontal="center" vertical="center"/>
    </xf>
    <xf borderId="0" fillId="0" fontId="28" numFmtId="4" xfId="0" applyAlignment="1" applyFont="1" applyNumberFormat="1">
      <alignment horizontal="center" readingOrder="0" shrinkToFit="0" vertical="center" wrapText="0"/>
    </xf>
    <xf borderId="0" fillId="0" fontId="1" numFmtId="4" xfId="0" applyAlignment="1" applyFont="1" applyNumberFormat="1">
      <alignment horizontal="right" readingOrder="0" shrinkToFit="0" vertical="center" wrapText="0"/>
    </xf>
    <xf borderId="0" fillId="4" fontId="20" numFmtId="4" xfId="0" applyAlignment="1" applyFont="1" applyNumberFormat="1">
      <alignment horizontal="center" readingOrder="0" shrinkToFit="0" vertical="center" wrapText="0"/>
    </xf>
    <xf borderId="0" fillId="0" fontId="26" numFmtId="4" xfId="0" applyAlignment="1" applyFont="1" applyNumberFormat="1">
      <alignment vertical="center"/>
    </xf>
    <xf borderId="11" fillId="5" fontId="2" numFmtId="4" xfId="0" applyAlignment="1" applyBorder="1" applyFont="1" applyNumberFormat="1">
      <alignment horizontal="center" readingOrder="0" vertical="center"/>
    </xf>
    <xf borderId="11" fillId="6" fontId="40" numFmtId="4" xfId="0" applyAlignment="1" applyBorder="1" applyFont="1" applyNumberFormat="1">
      <alignment horizontal="center" readingOrder="0" vertical="center"/>
    </xf>
    <xf borderId="11" fillId="6" fontId="20" numFmtId="171" xfId="0" applyAlignment="1" applyBorder="1" applyFont="1" applyNumberFormat="1">
      <alignment readingOrder="0" vertical="center"/>
    </xf>
    <xf borderId="3" fillId="2" fontId="1" numFmtId="4" xfId="0" applyAlignment="1" applyBorder="1" applyFont="1" applyNumberFormat="1">
      <alignment horizontal="center" readingOrder="0" vertical="center"/>
    </xf>
    <xf borderId="11" fillId="6" fontId="2" numFmtId="4" xfId="0" applyAlignment="1" applyBorder="1" applyFont="1" applyNumberFormat="1">
      <alignment horizontal="center" readingOrder="0" vertical="center"/>
    </xf>
    <xf borderId="11" fillId="6" fontId="1" numFmtId="169" xfId="0" applyAlignment="1" applyBorder="1" applyFont="1" applyNumberFormat="1">
      <alignment horizontal="right" vertical="center"/>
    </xf>
    <xf borderId="6" fillId="2" fontId="1" numFmtId="3" xfId="0" applyAlignment="1" applyBorder="1" applyFont="1" applyNumberFormat="1">
      <alignment horizontal="right" vertical="center"/>
    </xf>
    <xf borderId="6" fillId="10" fontId="1" numFmtId="4" xfId="0" applyAlignment="1" applyBorder="1" applyFont="1" applyNumberFormat="1">
      <alignment horizontal="right" readingOrder="0" vertical="center"/>
    </xf>
    <xf borderId="6" fillId="2" fontId="1" numFmtId="175" xfId="0" applyAlignment="1" applyBorder="1" applyFont="1" applyNumberFormat="1">
      <alignment horizontal="center" readingOrder="0" vertical="center"/>
    </xf>
    <xf borderId="6" fillId="0" fontId="6" numFmtId="175" xfId="0" applyAlignment="1" applyBorder="1" applyFont="1" applyNumberFormat="1">
      <alignment horizontal="right" readingOrder="0" vertical="center"/>
    </xf>
    <xf borderId="0" fillId="0" fontId="26" numFmtId="4" xfId="0" applyAlignment="1" applyFont="1" applyNumberFormat="1">
      <alignment readingOrder="0" vertical="center"/>
    </xf>
    <xf borderId="0" fillId="0" fontId="26" numFmtId="4" xfId="0" applyAlignment="1" applyFont="1" applyNumberFormat="1">
      <alignment horizontal="center" readingOrder="0" vertical="center"/>
    </xf>
    <xf borderId="0" fillId="7" fontId="26" numFmtId="0" xfId="0" applyAlignment="1" applyFont="1">
      <alignment readingOrder="0" vertical="center"/>
    </xf>
    <xf borderId="0" fillId="7" fontId="20" numFmtId="4" xfId="0" applyAlignment="1" applyFont="1" applyNumberFormat="1">
      <alignment horizontal="center" vertical="center"/>
    </xf>
    <xf borderId="0" fillId="7" fontId="20" numFmtId="3" xfId="0" applyAlignment="1" applyFont="1" applyNumberFormat="1">
      <alignment horizontal="right" readingOrder="0" shrinkToFit="0" vertical="center" wrapText="0"/>
    </xf>
    <xf borderId="0" fillId="4" fontId="41" numFmtId="3" xfId="0" applyAlignment="1" applyFont="1" applyNumberFormat="1">
      <alignment horizontal="right" readingOrder="0" shrinkToFit="0" vertical="center" wrapText="0"/>
    </xf>
    <xf borderId="0" fillId="4" fontId="20" numFmtId="169" xfId="0" applyAlignment="1" applyFont="1" applyNumberFormat="1">
      <alignment horizontal="right" readingOrder="0" shrinkToFit="0" vertical="center" wrapText="0"/>
    </xf>
    <xf borderId="0" fillId="2" fontId="20" numFmtId="4" xfId="0" applyAlignment="1" applyFont="1" applyNumberFormat="1">
      <alignment horizontal="center" vertical="center"/>
    </xf>
    <xf borderId="0" fillId="4" fontId="20" numFmtId="0" xfId="0" applyAlignment="1" applyFont="1">
      <alignment horizontal="right" shrinkToFit="0" vertical="center" wrapText="0"/>
    </xf>
    <xf borderId="0" fillId="0" fontId="41" numFmtId="4" xfId="0" applyAlignment="1" applyFont="1" applyNumberFormat="1">
      <alignment horizontal="right" readingOrder="0" shrinkToFit="0" vertical="center" wrapText="0"/>
    </xf>
    <xf borderId="0" fillId="7" fontId="41" numFmtId="176" xfId="0" applyAlignment="1" applyFont="1" applyNumberFormat="1">
      <alignment horizontal="right" readingOrder="0" shrinkToFit="0" vertical="center" wrapText="0"/>
    </xf>
    <xf borderId="0" fillId="0" fontId="42" numFmtId="169" xfId="0" applyAlignment="1" applyFont="1" applyNumberFormat="1">
      <alignment horizontal="left" readingOrder="0" shrinkToFit="0" vertical="center" wrapText="0"/>
    </xf>
    <xf borderId="0" fillId="4" fontId="20" numFmtId="4" xfId="0" applyAlignment="1" applyFont="1" applyNumberFormat="1">
      <alignment horizontal="right" shrinkToFit="0" vertical="center" wrapText="0"/>
    </xf>
    <xf borderId="0" fillId="4" fontId="20" numFmtId="3" xfId="0" applyAlignment="1" applyFont="1" applyNumberFormat="1">
      <alignment horizontal="right" shrinkToFit="0" vertical="center" wrapText="0"/>
    </xf>
    <xf borderId="0" fillId="2" fontId="1" numFmtId="4" xfId="0" applyAlignment="1" applyFont="1" applyNumberFormat="1">
      <alignment horizontal="center" vertical="center"/>
    </xf>
    <xf borderId="0" fillId="4" fontId="20" numFmtId="4" xfId="0" applyAlignment="1" applyFont="1" applyNumberFormat="1">
      <alignment horizontal="right" shrinkToFit="0" vertical="center" wrapText="0"/>
    </xf>
    <xf borderId="0" fillId="0" fontId="20" numFmtId="3" xfId="0" applyAlignment="1" applyFont="1" applyNumberFormat="1">
      <alignment horizontal="right" shrinkToFit="0" vertical="center" wrapText="0"/>
    </xf>
    <xf borderId="0" fillId="5" fontId="41" numFmtId="176" xfId="0" applyAlignment="1" applyFont="1" applyNumberFormat="1">
      <alignment horizontal="right" readingOrder="0" shrinkToFit="0" vertical="center" wrapText="0"/>
    </xf>
    <xf borderId="0" fillId="0" fontId="42" numFmtId="177" xfId="0" applyAlignment="1" applyFont="1" applyNumberFormat="1">
      <alignment horizontal="left" readingOrder="0" shrinkToFit="0" vertical="center" wrapText="0"/>
    </xf>
    <xf borderId="0" fillId="7" fontId="20" numFmtId="3" xfId="0" applyAlignment="1" applyFont="1" applyNumberFormat="1">
      <alignment horizontal="right" readingOrder="0" shrinkToFit="0" vertical="center" wrapText="0"/>
    </xf>
    <xf borderId="0" fillId="7" fontId="42" numFmtId="177" xfId="0" applyAlignment="1" applyFont="1" applyNumberFormat="1">
      <alignment horizontal="left" readingOrder="0" shrinkToFit="0" vertical="center" wrapText="0"/>
    </xf>
    <xf borderId="0" fillId="11" fontId="41" numFmtId="4" xfId="0" applyAlignment="1" applyFill="1" applyFont="1" applyNumberFormat="1">
      <alignment horizontal="center" readingOrder="0" shrinkToFit="0" vertical="center" wrapText="0"/>
    </xf>
    <xf borderId="0" fillId="11" fontId="41" numFmtId="4" xfId="0" applyAlignment="1" applyFont="1" applyNumberFormat="1">
      <alignment horizontal="right" readingOrder="0" shrinkToFit="0" vertical="center" wrapText="0"/>
    </xf>
    <xf borderId="0" fillId="11" fontId="41" numFmtId="3" xfId="0" applyAlignment="1" applyFont="1" applyNumberFormat="1">
      <alignment horizontal="right" readingOrder="0" shrinkToFit="0" vertical="center" wrapText="0"/>
    </xf>
    <xf borderId="0" fillId="11" fontId="41" numFmtId="4" xfId="0" applyAlignment="1" applyFont="1" applyNumberFormat="1">
      <alignment horizontal="left" readingOrder="0" shrinkToFit="0" vertical="center" wrapText="0"/>
    </xf>
    <xf borderId="0" fillId="11" fontId="41" numFmtId="4" xfId="0" applyAlignment="1" applyFont="1" applyNumberFormat="1">
      <alignment horizontal="center" readingOrder="0" vertical="center"/>
    </xf>
    <xf borderId="0" fillId="6" fontId="20" numFmtId="4" xfId="0" applyAlignment="1" applyFont="1" applyNumberFormat="1">
      <alignment horizontal="right" readingOrder="0" shrinkToFit="0" vertical="center" wrapText="0"/>
    </xf>
    <xf borderId="0" fillId="6" fontId="20" numFmtId="3" xfId="0" applyAlignment="1" applyFont="1" applyNumberFormat="1">
      <alignment horizontal="right" readingOrder="0" shrinkToFit="0" vertical="center" wrapText="0"/>
    </xf>
    <xf borderId="2" fillId="2" fontId="2" numFmtId="4" xfId="0" applyAlignment="1" applyBorder="1" applyFont="1" applyNumberFormat="1">
      <alignment horizontal="center" readingOrder="0" vertical="center"/>
    </xf>
    <xf borderId="0" fillId="0" fontId="26" numFmtId="0" xfId="0" applyAlignment="1" applyFont="1">
      <alignment horizontal="right" readingOrder="0" vertical="center"/>
    </xf>
    <xf borderId="0" fillId="0" fontId="26" numFmtId="4" xfId="0" applyAlignment="1" applyFont="1" applyNumberFormat="1">
      <alignment horizontal="right" readingOrder="0" vertical="center"/>
    </xf>
    <xf borderId="0" fillId="0" fontId="26" numFmtId="178" xfId="0" applyAlignment="1" applyFont="1" applyNumberFormat="1">
      <alignment readingOrder="0" vertical="center"/>
    </xf>
    <xf borderId="0" fillId="0" fontId="26" numFmtId="3" xfId="0" applyAlignment="1" applyFont="1" applyNumberFormat="1">
      <alignment vertical="center"/>
    </xf>
    <xf borderId="0" fillId="0" fontId="26" numFmtId="175" xfId="0" applyAlignment="1" applyFont="1" applyNumberFormat="1">
      <alignment vertical="center"/>
    </xf>
    <xf borderId="0" fillId="0" fontId="26" numFmtId="179" xfId="0" applyAlignment="1" applyFont="1" applyNumberFormat="1">
      <alignment vertical="center"/>
    </xf>
    <xf borderId="0" fillId="0" fontId="26" numFmtId="168" xfId="0" applyAlignment="1" applyFont="1" applyNumberFormat="1">
      <alignment readingOrder="0" vertical="center"/>
    </xf>
    <xf borderId="0" fillId="0" fontId="26" numFmtId="3" xfId="0" applyAlignment="1" applyFont="1" applyNumberFormat="1">
      <alignment readingOrder="0" vertical="center"/>
    </xf>
    <xf borderId="0" fillId="0" fontId="26" numFmtId="175" xfId="0" applyAlignment="1" applyFont="1" applyNumberFormat="1">
      <alignment readingOrder="0" vertical="center"/>
    </xf>
    <xf borderId="0" fillId="0" fontId="26" numFmtId="179" xfId="0" applyAlignment="1" applyFont="1" applyNumberFormat="1">
      <alignment readingOrder="0" vertical="center"/>
    </xf>
    <xf borderId="0" fillId="12" fontId="26" numFmtId="179" xfId="0" applyAlignment="1" applyFill="1" applyFont="1" applyNumberFormat="1">
      <alignment vertical="center"/>
    </xf>
    <xf borderId="0" fillId="12" fontId="26" numFmtId="168" xfId="0" applyAlignment="1" applyFont="1" applyNumberForma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7.xml"/><Relationship Id="rId42" Type="http://schemas.openxmlformats.org/officeDocument/2006/relationships/worksheet" Target="worksheets/sheet39.xml"/><Relationship Id="rId41" Type="http://schemas.openxmlformats.org/officeDocument/2006/relationships/worksheet" Target="worksheets/sheet38.xml"/><Relationship Id="rId44" Type="http://schemas.openxmlformats.org/officeDocument/2006/relationships/worksheet" Target="worksheets/sheet41.xml"/><Relationship Id="rId43" Type="http://schemas.openxmlformats.org/officeDocument/2006/relationships/worksheet" Target="worksheets/sheet40.xml"/><Relationship Id="rId46" Type="http://schemas.openxmlformats.org/officeDocument/2006/relationships/worksheet" Target="worksheets/sheet43.xml"/><Relationship Id="rId45" Type="http://schemas.openxmlformats.org/officeDocument/2006/relationships/worksheet" Target="worksheets/sheet42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48" Type="http://schemas.openxmlformats.org/officeDocument/2006/relationships/worksheet" Target="worksheets/sheet45.xml"/><Relationship Id="rId47" Type="http://schemas.openxmlformats.org/officeDocument/2006/relationships/worksheet" Target="worksheets/sheet44.xml"/><Relationship Id="rId49" Type="http://schemas.openxmlformats.org/officeDocument/2006/relationships/worksheet" Target="worksheets/sheet4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33" Type="http://schemas.openxmlformats.org/officeDocument/2006/relationships/worksheet" Target="worksheets/sheet30.xml"/><Relationship Id="rId32" Type="http://schemas.openxmlformats.org/officeDocument/2006/relationships/worksheet" Target="worksheets/sheet29.xml"/><Relationship Id="rId35" Type="http://schemas.openxmlformats.org/officeDocument/2006/relationships/worksheet" Target="worksheets/sheet32.xml"/><Relationship Id="rId34" Type="http://schemas.openxmlformats.org/officeDocument/2006/relationships/worksheet" Target="worksheets/sheet31.xml"/><Relationship Id="rId37" Type="http://schemas.openxmlformats.org/officeDocument/2006/relationships/worksheet" Target="worksheets/sheet34.xml"/><Relationship Id="rId36" Type="http://schemas.openxmlformats.org/officeDocument/2006/relationships/worksheet" Target="worksheets/sheet33.xml"/><Relationship Id="rId39" Type="http://schemas.openxmlformats.org/officeDocument/2006/relationships/worksheet" Target="worksheets/sheet36.xml"/><Relationship Id="rId38" Type="http://schemas.openxmlformats.org/officeDocument/2006/relationships/worksheet" Target="worksheets/sheet3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29" Type="http://schemas.openxmlformats.org/officeDocument/2006/relationships/worksheet" Target="worksheets/sheet26.xml"/><Relationship Id="rId50" Type="http://schemas.openxmlformats.org/officeDocument/2006/relationships/worksheet" Target="worksheets/sheet47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kcp.co.kr" TargetMode="External"/><Relationship Id="rId2" Type="http://schemas.openxmlformats.org/officeDocument/2006/relationships/hyperlink" Target="http://gsuite_0xtribe.com/" TargetMode="External"/><Relationship Id="rId3" Type="http://schemas.openxmlformats.org/officeDocument/2006/relationships/hyperlink" Target="http://name-cheap.com/" TargetMode="External"/><Relationship Id="rId4" Type="http://schemas.openxmlformats.org/officeDocument/2006/relationships/hyperlink" Target="http://postmarkapp.com/" TargetMode="External"/><Relationship Id="rId5" Type="http://schemas.openxmlformats.org/officeDocument/2006/relationships/hyperlink" Target="http://name-cheap.com/" TargetMode="External"/><Relationship Id="rId6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://gsuite_0xtribe.com/" TargetMode="External"/><Relationship Id="rId2" Type="http://schemas.openxmlformats.org/officeDocument/2006/relationships/hyperlink" Target="http://name-cheap.com/" TargetMode="External"/><Relationship Id="rId3" Type="http://schemas.openxmlformats.org/officeDocument/2006/relationships/hyperlink" Target="http://postmarkapp.com/" TargetMode="External"/><Relationship Id="rId4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://postmarkapp.com/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://name-cheap.com/" TargetMode="External"/><Relationship Id="rId2" Type="http://schemas.openxmlformats.org/officeDocument/2006/relationships/hyperlink" Target="http://postmarkapp.com/" TargetMode="External"/><Relationship Id="rId3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name-cheap.com/" TargetMode="External"/><Relationship Id="rId4" Type="http://schemas.openxmlformats.org/officeDocument/2006/relationships/hyperlink" Target="http://postmarkapp.com/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/" TargetMode="External"/><Relationship Id="rId4" Type="http://schemas.openxmlformats.org/officeDocument/2006/relationships/hyperlink" Target="http://name-cheap.com/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namecheap.com/" TargetMode="External"/><Relationship Id="rId4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apple.com/" TargetMode="External"/><Relationship Id="rId4" Type="http://schemas.openxmlformats.org/officeDocument/2006/relationships/hyperlink" Target="http://postmarkapp.com" TargetMode="External"/><Relationship Id="rId5" Type="http://schemas.openxmlformats.org/officeDocument/2006/relationships/hyperlink" Target="http://trip.com/" TargetMode="External"/><Relationship Id="rId6" Type="http://schemas.openxmlformats.org/officeDocument/2006/relationships/hyperlink" Target="http://trip.com/" TargetMode="External"/><Relationship Id="rId7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postmarkapp.com" TargetMode="External"/><Relationship Id="rId4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hyperlink" Target="http://namecheap.com" TargetMode="External"/><Relationship Id="rId4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e.com/currencyconverter/convert/?Amount=1&amp;From=USD&amp;To=KRW" TargetMode="External"/><Relationship Id="rId2" Type="http://schemas.openxmlformats.org/officeDocument/2006/relationships/hyperlink" Target="https://www.xe.com/currencyconverter/convert/?Amount=1&amp;From=SGD&amp;To=KRW" TargetMode="External"/><Relationship Id="rId3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0.xml"/><Relationship Id="rId5" Type="http://schemas.openxmlformats.org/officeDocument/2006/relationships/vmlDrawing" Target="../drawings/vmlDrawing1.v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hyperlink" Target="http://gate.io/" TargetMode="External"/><Relationship Id="rId5" Type="http://schemas.openxmlformats.org/officeDocument/2006/relationships/hyperlink" Target="http://gate.io/" TargetMode="External"/><Relationship Id="rId6" Type="http://schemas.openxmlformats.org/officeDocument/2006/relationships/drawing" Target="../drawings/drawing31.xml"/><Relationship Id="rId7" Type="http://schemas.openxmlformats.org/officeDocument/2006/relationships/vmlDrawing" Target="../drawings/vmlDrawing2.v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2.xml"/><Relationship Id="rId5" Type="http://schemas.openxmlformats.org/officeDocument/2006/relationships/vmlDrawing" Target="../drawings/vmlDrawing3.v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3.xml"/><Relationship Id="rId5" Type="http://schemas.openxmlformats.org/officeDocument/2006/relationships/vmlDrawing" Target="../drawings/vmlDrawing4.v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hyperlink" Target="https://www.xe.com/currencyconverter/convert/?Amount=1&amp;From=SGD&amp;To=KRW" TargetMode="External"/><Relationship Id="rId5" Type="http://schemas.openxmlformats.org/officeDocument/2006/relationships/drawing" Target="../drawings/drawing34.xml"/><Relationship Id="rId6" Type="http://schemas.openxmlformats.org/officeDocument/2006/relationships/vmlDrawing" Target="../drawings/vmlDrawing5.v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5.xml"/><Relationship Id="rId5" Type="http://schemas.openxmlformats.org/officeDocument/2006/relationships/vmlDrawing" Target="../drawings/vmlDrawing6.v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6.xml"/><Relationship Id="rId5" Type="http://schemas.openxmlformats.org/officeDocument/2006/relationships/vmlDrawing" Target="../drawings/vmlDrawing7.v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7.xml"/><Relationship Id="rId5" Type="http://schemas.openxmlformats.org/officeDocument/2006/relationships/vmlDrawing" Target="../drawings/vmlDrawing8.v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8.xml"/><Relationship Id="rId5" Type="http://schemas.openxmlformats.org/officeDocument/2006/relationships/vmlDrawing" Target="../drawings/vmlDrawing9.v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39.xml"/><Relationship Id="rId5" Type="http://schemas.openxmlformats.org/officeDocument/2006/relationships/vmlDrawing" Target="../drawings/vmlDrawing10.v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comments" Target="../comments11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40.xml"/><Relationship Id="rId5" Type="http://schemas.openxmlformats.org/officeDocument/2006/relationships/vmlDrawing" Target="../drawings/vmlDrawing11.v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comments" Target="../comments12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41.xml"/><Relationship Id="rId5" Type="http://schemas.openxmlformats.org/officeDocument/2006/relationships/vmlDrawing" Target="../drawings/vmlDrawing12.v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comments" Target="../comments13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42.xml"/><Relationship Id="rId5" Type="http://schemas.openxmlformats.org/officeDocument/2006/relationships/vmlDrawing" Target="../drawings/vmlDrawing13.v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comments" Target="../comments14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43.xml"/><Relationship Id="rId5" Type="http://schemas.openxmlformats.org/officeDocument/2006/relationships/vmlDrawing" Target="../drawings/vmlDrawing14.v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comments" Target="../comments15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44.xml"/><Relationship Id="rId5" Type="http://schemas.openxmlformats.org/officeDocument/2006/relationships/vmlDrawing" Target="../drawings/vmlDrawing15.vml"/></Relationships>
</file>

<file path=xl/worksheets/_rels/sheet45.xml.rels><?xml version="1.0" encoding="UTF-8" standalone="yes"?><Relationships xmlns="http://schemas.openxmlformats.org/package/2006/relationships"><Relationship Id="rId1" Type="http://schemas.openxmlformats.org/officeDocument/2006/relationships/comments" Target="../comments16.xml"/><Relationship Id="rId2" Type="http://schemas.openxmlformats.org/officeDocument/2006/relationships/hyperlink" Target="https://www.xe.com/currencyconverter/convert/?Amount=1&amp;From=USD&amp;To=KRW" TargetMode="External"/><Relationship Id="rId3" Type="http://schemas.openxmlformats.org/officeDocument/2006/relationships/hyperlink" Target="https://www.xe.com/currencyconverter/convert/?Amount=1&amp;From=SGD&amp;To=KRW" TargetMode="External"/><Relationship Id="rId4" Type="http://schemas.openxmlformats.org/officeDocument/2006/relationships/drawing" Target="../drawings/drawing45.xml"/><Relationship Id="rId5" Type="http://schemas.openxmlformats.org/officeDocument/2006/relationships/vmlDrawing" Target="../drawings/vmlDrawing16.vml"/></Relationships>
</file>

<file path=xl/worksheets/_rels/sheet4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 outlineLevelRow="1"/>
  <cols>
    <col customWidth="1" min="1" max="1" width="1.57"/>
    <col customWidth="1" min="2" max="2" width="12.0"/>
    <col customWidth="1" min="3" max="3" width="18.57"/>
    <col customWidth="1" min="4" max="4" width="24.43"/>
    <col customWidth="1" min="5" max="6" width="25.0"/>
    <col customWidth="1" min="7" max="7" width="39.43"/>
    <col customWidth="1" min="8" max="9" width="20.57"/>
    <col customWidth="1" min="10" max="10" width="11.57"/>
    <col customWidth="1" min="11" max="11" width="50.0"/>
    <col customWidth="1" min="12" max="24" width="9.0"/>
  </cols>
  <sheetData>
    <row r="1" ht="13.5" customHeight="1" outlineLevel="1">
      <c r="A1" s="1"/>
      <c r="B1" s="2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1" outlineLevel="1">
      <c r="A2" s="3"/>
      <c r="B2" s="4" t="s">
        <v>0</v>
      </c>
      <c r="C2" s="5"/>
      <c r="D2" s="5"/>
      <c r="E2" s="5"/>
      <c r="F2" s="5"/>
      <c r="G2" s="5"/>
      <c r="H2" s="6"/>
      <c r="I2" s="3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3.5" customHeight="1" outlineLevel="1">
      <c r="A3" s="1"/>
      <c r="B3" s="2"/>
      <c r="C3" s="2"/>
      <c r="D3" s="1"/>
      <c r="E3" s="1"/>
      <c r="F3" s="1"/>
      <c r="G3" s="1"/>
      <c r="H3" s="2"/>
      <c r="I3" s="8"/>
      <c r="J3" s="9" t="s">
        <v>1</v>
      </c>
      <c r="K3" s="9" t="s">
        <v>2</v>
      </c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3.5" customHeight="1" outlineLevel="1">
      <c r="A4" s="3"/>
      <c r="B4" s="6" t="s">
        <v>3</v>
      </c>
      <c r="C4" s="6"/>
      <c r="D4" s="3"/>
      <c r="E4" s="3"/>
      <c r="F4" s="3"/>
      <c r="G4" s="11">
        <v>44804.0</v>
      </c>
      <c r="H4" s="6"/>
      <c r="I4" s="12"/>
      <c r="J4" s="13" t="s">
        <v>4</v>
      </c>
      <c r="K4" s="13" t="s">
        <v>5</v>
      </c>
      <c r="L4" s="1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3.5" customHeight="1" outlineLevel="1">
      <c r="A5" s="6"/>
      <c r="B5" s="15" t="s">
        <v>6</v>
      </c>
      <c r="C5" s="16" t="s">
        <v>7</v>
      </c>
      <c r="D5" s="17" t="s">
        <v>8</v>
      </c>
      <c r="E5" s="18" t="s">
        <v>9</v>
      </c>
      <c r="F5" s="19" t="s">
        <v>10</v>
      </c>
      <c r="G5" s="20" t="s">
        <v>11</v>
      </c>
      <c r="H5" s="6"/>
      <c r="I5" s="21"/>
      <c r="J5" s="13" t="s">
        <v>12</v>
      </c>
      <c r="K5" s="13" t="s">
        <v>13</v>
      </c>
      <c r="L5" s="2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3.5" customHeight="1" outlineLevel="1">
      <c r="A6" s="1"/>
      <c r="B6" s="23" t="s">
        <v>14</v>
      </c>
      <c r="C6" s="24" t="s">
        <v>15</v>
      </c>
      <c r="D6" s="25"/>
      <c r="E6" s="26">
        <f>sumif(B20:B129,B6,E20:E129)</f>
        <v>50872576</v>
      </c>
      <c r="F6" s="27">
        <f>sumif(B20:B172,B6,F20:F172)</f>
        <v>40470136</v>
      </c>
      <c r="G6" s="28">
        <f t="shared" ref="G6:G9" si="1">D6+E6-F6</f>
        <v>10402440</v>
      </c>
      <c r="H6" s="2"/>
      <c r="I6" s="8"/>
      <c r="J6" s="13" t="s">
        <v>16</v>
      </c>
      <c r="K6" s="13" t="s">
        <v>17</v>
      </c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3.5" customHeight="1" outlineLevel="1">
      <c r="A7" s="1"/>
      <c r="B7" s="29" t="s">
        <v>18</v>
      </c>
      <c r="C7" s="30" t="s">
        <v>19</v>
      </c>
      <c r="D7" s="31"/>
      <c r="E7" s="32">
        <f>sumif(B20:B172,B7,E20:E129)</f>
        <v>0</v>
      </c>
      <c r="F7" s="33">
        <f>sumif(B20:B172,B7,F20:F172)</f>
        <v>0</v>
      </c>
      <c r="G7" s="34">
        <f t="shared" si="1"/>
        <v>0</v>
      </c>
      <c r="H7" s="35"/>
      <c r="I7" s="8"/>
      <c r="J7" s="13" t="s">
        <v>20</v>
      </c>
      <c r="K7" s="13" t="s">
        <v>21</v>
      </c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3.5" customHeight="1" outlineLevel="1">
      <c r="A8" s="1"/>
      <c r="B8" s="29" t="s">
        <v>22</v>
      </c>
      <c r="C8" s="30" t="s">
        <v>23</v>
      </c>
      <c r="D8" s="36"/>
      <c r="E8" s="37">
        <f>sumif(B20:B129,B8,E20:E172)</f>
        <v>0</v>
      </c>
      <c r="F8" s="38">
        <f>sumif(B20:B172,B8,F20:F172)</f>
        <v>0</v>
      </c>
      <c r="G8" s="39">
        <f t="shared" si="1"/>
        <v>0</v>
      </c>
      <c r="H8" s="2"/>
      <c r="I8" s="8"/>
      <c r="J8" s="13" t="s">
        <v>24</v>
      </c>
      <c r="K8" s="13" t="s">
        <v>25</v>
      </c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3.5" customHeight="1" outlineLevel="1">
      <c r="A9" s="1"/>
      <c r="B9" s="29" t="s">
        <v>26</v>
      </c>
      <c r="C9" s="30" t="s">
        <v>15</v>
      </c>
      <c r="D9" s="40"/>
      <c r="E9" s="41">
        <f>sumif(B20:B129,B9,E20:E129)</f>
        <v>0</v>
      </c>
      <c r="F9" s="42">
        <f>sumif(B20:B172,B9,F20:F172)</f>
        <v>0</v>
      </c>
      <c r="G9" s="43">
        <f t="shared" si="1"/>
        <v>0</v>
      </c>
      <c r="H9" s="2"/>
      <c r="I9" s="8"/>
      <c r="J9" s="13" t="s">
        <v>27</v>
      </c>
      <c r="K9" s="13" t="s">
        <v>28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outlineLevel="1">
      <c r="A10" s="1"/>
      <c r="B10" s="44"/>
      <c r="C10" s="45"/>
      <c r="D10" s="46"/>
      <c r="E10" s="41"/>
      <c r="F10" s="42"/>
      <c r="G10" s="47"/>
      <c r="H10" s="2"/>
      <c r="I10" s="8"/>
      <c r="J10" s="13" t="s">
        <v>29</v>
      </c>
      <c r="K10" s="13" t="s">
        <v>30</v>
      </c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outlineLevel="1">
      <c r="A11" s="1"/>
      <c r="B11" s="44"/>
      <c r="C11" s="45"/>
      <c r="D11" s="46"/>
      <c r="E11" s="41"/>
      <c r="F11" s="42"/>
      <c r="G11" s="47"/>
      <c r="H11" s="2"/>
      <c r="I11" s="8"/>
      <c r="J11" s="13" t="s">
        <v>31</v>
      </c>
      <c r="K11" s="13" t="s">
        <v>32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outlineLevel="1">
      <c r="A12" s="1"/>
      <c r="B12" s="44"/>
      <c r="C12" s="45"/>
      <c r="D12" s="48"/>
      <c r="E12" s="41"/>
      <c r="F12" s="42"/>
      <c r="G12" s="47"/>
      <c r="H12" s="2"/>
      <c r="I12" s="8"/>
      <c r="J12" s="13" t="s">
        <v>33</v>
      </c>
      <c r="K12" s="49" t="s">
        <v>34</v>
      </c>
      <c r="L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outlineLevel="1">
      <c r="A13" s="3"/>
      <c r="B13" s="18" t="s">
        <v>35</v>
      </c>
      <c r="C13" s="50"/>
      <c r="D13" s="51"/>
      <c r="E13" s="52"/>
      <c r="F13" s="53"/>
      <c r="G13" s="51"/>
      <c r="H13" s="54"/>
      <c r="I13" s="55"/>
      <c r="J13" s="13" t="s">
        <v>36</v>
      </c>
      <c r="K13" s="49" t="s">
        <v>37</v>
      </c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 outlineLevel="1">
      <c r="A14" s="3"/>
      <c r="B14" s="18" t="s">
        <v>38</v>
      </c>
      <c r="C14" s="50"/>
      <c r="D14" s="56"/>
      <c r="E14" s="57"/>
      <c r="F14" s="58"/>
      <c r="G14" s="58"/>
      <c r="H14" s="59"/>
      <c r="I14" s="60"/>
      <c r="J14" s="13" t="s">
        <v>39</v>
      </c>
      <c r="K14" s="49" t="s">
        <v>40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3.5" customHeight="1" outlineLevel="1">
      <c r="A15" s="3"/>
      <c r="B15" s="18"/>
      <c r="C15" s="50"/>
      <c r="D15" s="56"/>
      <c r="E15" s="57"/>
      <c r="F15" s="58"/>
      <c r="G15" s="58"/>
      <c r="H15" s="54"/>
      <c r="I15" s="6"/>
      <c r="J15" s="13" t="s">
        <v>41</v>
      </c>
      <c r="K15" s="49" t="s">
        <v>42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3.5" customHeight="1" outlineLevel="1">
      <c r="A16" s="3"/>
      <c r="B16" s="18"/>
      <c r="C16" s="50"/>
      <c r="D16" s="56"/>
      <c r="E16" s="57"/>
      <c r="F16" s="58"/>
      <c r="G16" s="58"/>
      <c r="H16" s="54"/>
      <c r="I16" s="6"/>
      <c r="J16" s="13"/>
      <c r="K16" s="4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3.5" customHeight="1">
      <c r="A17" s="1"/>
      <c r="B17" s="2"/>
      <c r="C17" s="2"/>
      <c r="D17" s="1"/>
      <c r="E17" s="61"/>
      <c r="F17" s="1"/>
      <c r="G17" s="1"/>
      <c r="H17" s="2"/>
      <c r="I17" s="62"/>
      <c r="J17" s="13"/>
      <c r="K17" s="4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>
      <c r="A18" s="6"/>
      <c r="B18" s="63" t="s">
        <v>43</v>
      </c>
      <c r="C18" s="63"/>
      <c r="D18" s="63"/>
      <c r="E18" s="64"/>
      <c r="F18" s="64"/>
      <c r="G18" s="63"/>
      <c r="H18" s="63"/>
      <c r="I18" s="65"/>
      <c r="J18" s="1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3.5" customHeight="1">
      <c r="A19" s="21"/>
      <c r="B19" s="66" t="s">
        <v>6</v>
      </c>
      <c r="C19" s="67" t="s">
        <v>44</v>
      </c>
      <c r="D19" s="67" t="s">
        <v>45</v>
      </c>
      <c r="E19" s="67" t="s">
        <v>46</v>
      </c>
      <c r="F19" s="67" t="s">
        <v>47</v>
      </c>
      <c r="G19" s="68" t="s">
        <v>48</v>
      </c>
      <c r="H19" s="66" t="s">
        <v>1</v>
      </c>
      <c r="I19" s="69"/>
      <c r="J19" s="1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0" customHeight="1">
      <c r="A20" s="8"/>
      <c r="B20" s="70" t="str">
        <f>B6</f>
        <v>신한 #672</v>
      </c>
      <c r="C20" s="71" t="s">
        <v>49</v>
      </c>
      <c r="D20" s="71" t="s">
        <v>50</v>
      </c>
      <c r="E20" s="72">
        <v>0.0</v>
      </c>
      <c r="F20" s="72">
        <v>0.0</v>
      </c>
      <c r="G20" s="73"/>
      <c r="H20" s="74"/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0" customHeight="1">
      <c r="A21" s="8"/>
      <c r="B21" s="75" t="str">
        <f>B6</f>
        <v>신한 #672</v>
      </c>
      <c r="C21" s="71" t="s">
        <v>51</v>
      </c>
      <c r="D21" s="71" t="s">
        <v>52</v>
      </c>
      <c r="E21" s="72">
        <v>5.0E7</v>
      </c>
      <c r="F21" s="72">
        <v>0.0</v>
      </c>
      <c r="G21" s="71" t="s">
        <v>53</v>
      </c>
      <c r="H21" s="74"/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0" customHeight="1">
      <c r="A22" s="8"/>
      <c r="B22" s="75" t="str">
        <f>B6</f>
        <v>신한 #672</v>
      </c>
      <c r="C22" s="71" t="s">
        <v>54</v>
      </c>
      <c r="D22" s="71" t="s">
        <v>52</v>
      </c>
      <c r="E22" s="72">
        <v>872557.0</v>
      </c>
      <c r="F22" s="72">
        <v>0.0</v>
      </c>
      <c r="G22" s="73"/>
      <c r="H22" s="74"/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0" customHeight="1">
      <c r="A23" s="8"/>
      <c r="B23" s="75" t="str">
        <f>B6</f>
        <v>신한 #672</v>
      </c>
      <c r="C23" s="71" t="s">
        <v>55</v>
      </c>
      <c r="D23" s="71" t="s">
        <v>52</v>
      </c>
      <c r="E23" s="72">
        <v>19.0</v>
      </c>
      <c r="F23" s="72">
        <v>0.0</v>
      </c>
      <c r="G23" s="73"/>
      <c r="H23" s="74"/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0" customHeight="1">
      <c r="A24" s="8"/>
      <c r="B24" s="75" t="str">
        <f>B6</f>
        <v>신한 #672</v>
      </c>
      <c r="C24" s="71" t="s">
        <v>56</v>
      </c>
      <c r="D24" s="71" t="s">
        <v>57</v>
      </c>
      <c r="E24" s="72">
        <v>0.0</v>
      </c>
      <c r="F24" s="72">
        <v>4400.0</v>
      </c>
      <c r="G24" s="71" t="s">
        <v>58</v>
      </c>
      <c r="H24" s="74" t="s">
        <v>33</v>
      </c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0" customHeight="1">
      <c r="A25" s="8"/>
      <c r="B25" s="75" t="str">
        <f>B6</f>
        <v>신한 #672</v>
      </c>
      <c r="C25" s="71" t="s">
        <v>59</v>
      </c>
      <c r="D25" s="71" t="s">
        <v>57</v>
      </c>
      <c r="E25" s="72">
        <v>0.0</v>
      </c>
      <c r="F25" s="72">
        <v>6447167.0</v>
      </c>
      <c r="G25" s="71" t="s">
        <v>60</v>
      </c>
      <c r="H25" s="74" t="s">
        <v>41</v>
      </c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0" customHeight="1">
      <c r="A26" s="8"/>
      <c r="B26" s="75" t="str">
        <f>B6</f>
        <v>신한 #672</v>
      </c>
      <c r="C26" s="71" t="s">
        <v>61</v>
      </c>
      <c r="D26" s="71" t="s">
        <v>57</v>
      </c>
      <c r="E26" s="72">
        <v>0.0</v>
      </c>
      <c r="F26" s="72">
        <v>6447167.0</v>
      </c>
      <c r="G26" s="71" t="s">
        <v>62</v>
      </c>
      <c r="H26" s="74" t="s">
        <v>41</v>
      </c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0" customHeight="1">
      <c r="A27" s="8"/>
      <c r="B27" s="75" t="str">
        <f>B6</f>
        <v>신한 #672</v>
      </c>
      <c r="C27" s="71" t="s">
        <v>61</v>
      </c>
      <c r="D27" s="71" t="s">
        <v>57</v>
      </c>
      <c r="E27" s="72">
        <v>0.0</v>
      </c>
      <c r="F27" s="72">
        <v>6447167.0</v>
      </c>
      <c r="G27" s="71" t="s">
        <v>63</v>
      </c>
      <c r="H27" s="74" t="s">
        <v>41</v>
      </c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0" customHeight="1">
      <c r="A28" s="8"/>
      <c r="B28" s="75" t="str">
        <f>B6</f>
        <v>신한 #672</v>
      </c>
      <c r="C28" s="71" t="s">
        <v>64</v>
      </c>
      <c r="D28" s="71" t="s">
        <v>57</v>
      </c>
      <c r="E28" s="72">
        <v>0.0</v>
      </c>
      <c r="F28" s="72">
        <v>6446667.0</v>
      </c>
      <c r="G28" s="71" t="s">
        <v>65</v>
      </c>
      <c r="H28" s="74" t="s">
        <v>41</v>
      </c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0" customHeight="1">
      <c r="A29" s="8"/>
      <c r="B29" s="75" t="str">
        <f>B6</f>
        <v>신한 #672</v>
      </c>
      <c r="C29" s="71" t="s">
        <v>64</v>
      </c>
      <c r="D29" s="71" t="s">
        <v>57</v>
      </c>
      <c r="E29" s="72">
        <v>0.0</v>
      </c>
      <c r="F29" s="72">
        <v>2015103.0</v>
      </c>
      <c r="G29" s="71" t="s">
        <v>66</v>
      </c>
      <c r="H29" s="74" t="s">
        <v>41</v>
      </c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0" customHeight="1">
      <c r="A30" s="8"/>
      <c r="B30" s="75" t="str">
        <f>B6</f>
        <v>신한 #672</v>
      </c>
      <c r="C30" s="71" t="s">
        <v>67</v>
      </c>
      <c r="D30" s="71" t="s">
        <v>57</v>
      </c>
      <c r="E30" s="72">
        <v>0.0</v>
      </c>
      <c r="F30" s="72">
        <v>1684965.0</v>
      </c>
      <c r="G30" s="71" t="s">
        <v>68</v>
      </c>
      <c r="H30" s="74" t="s">
        <v>41</v>
      </c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0" customHeight="1">
      <c r="A31" s="8"/>
      <c r="B31" s="75" t="str">
        <f>B6</f>
        <v>신한 #672</v>
      </c>
      <c r="C31" s="71" t="s">
        <v>69</v>
      </c>
      <c r="D31" s="71" t="s">
        <v>57</v>
      </c>
      <c r="E31" s="72">
        <v>0.0</v>
      </c>
      <c r="F31" s="72">
        <v>7832500.0</v>
      </c>
      <c r="G31" s="71" t="s">
        <v>70</v>
      </c>
      <c r="H31" s="74" t="s">
        <v>16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0" customHeight="1">
      <c r="A32" s="8"/>
      <c r="B32" s="75" t="str">
        <f>B6</f>
        <v>신한 #672</v>
      </c>
      <c r="C32" s="71" t="s">
        <v>71</v>
      </c>
      <c r="D32" s="71" t="s">
        <v>57</v>
      </c>
      <c r="E32" s="72">
        <v>0.0</v>
      </c>
      <c r="F32" s="72">
        <v>3089200.0</v>
      </c>
      <c r="G32" s="71" t="s">
        <v>72</v>
      </c>
      <c r="H32" s="74" t="s">
        <v>12</v>
      </c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0" customHeight="1">
      <c r="A33" s="8"/>
      <c r="B33" s="75" t="str">
        <f>B6</f>
        <v>신한 #672</v>
      </c>
      <c r="C33" s="71" t="s">
        <v>73</v>
      </c>
      <c r="D33" s="71" t="s">
        <v>57</v>
      </c>
      <c r="E33" s="72">
        <v>0.0</v>
      </c>
      <c r="F33" s="72">
        <v>55800.0</v>
      </c>
      <c r="G33" s="71" t="s">
        <v>74</v>
      </c>
      <c r="H33" s="74" t="s">
        <v>12</v>
      </c>
      <c r="I33" s="1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0" customHeight="1">
      <c r="A34" s="8"/>
      <c r="B34" s="76"/>
      <c r="C34" s="77"/>
      <c r="D34" s="78"/>
      <c r="E34" s="79"/>
      <c r="F34" s="79"/>
      <c r="G34" s="77"/>
      <c r="H34" s="76"/>
      <c r="I34" s="1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0" customHeight="1">
      <c r="A35" s="8"/>
      <c r="B35" s="76"/>
      <c r="C35" s="80"/>
      <c r="D35" s="81"/>
      <c r="E35" s="82"/>
      <c r="F35" s="82"/>
      <c r="G35" s="80"/>
      <c r="H35" s="76"/>
      <c r="I35" s="1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0" customHeight="1">
      <c r="A36" s="8"/>
      <c r="B36" s="76"/>
      <c r="C36" s="80"/>
      <c r="D36" s="81"/>
      <c r="E36" s="82"/>
      <c r="F36" s="82"/>
      <c r="G36" s="80"/>
      <c r="H36" s="76"/>
      <c r="I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0" customHeight="1">
      <c r="A37" s="8"/>
      <c r="B37" s="76"/>
      <c r="C37" s="80"/>
      <c r="D37" s="81"/>
      <c r="E37" s="82"/>
      <c r="F37" s="82"/>
      <c r="G37" s="80"/>
      <c r="H37" s="76"/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0" customHeight="1">
      <c r="A38" s="8"/>
      <c r="B38" s="76"/>
      <c r="C38" s="80"/>
      <c r="D38" s="81"/>
      <c r="E38" s="82"/>
      <c r="F38" s="82"/>
      <c r="G38" s="80"/>
      <c r="H38" s="76"/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0" customHeight="1">
      <c r="A39" s="8"/>
      <c r="B39" s="76"/>
      <c r="C39" s="80"/>
      <c r="D39" s="81"/>
      <c r="E39" s="82"/>
      <c r="F39" s="82"/>
      <c r="G39" s="80"/>
      <c r="H39" s="76"/>
      <c r="I39" s="1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0" customHeight="1">
      <c r="A40" s="8"/>
      <c r="B40" s="76"/>
      <c r="C40" s="80"/>
      <c r="D40" s="81"/>
      <c r="E40" s="82"/>
      <c r="F40" s="82"/>
      <c r="G40" s="80"/>
      <c r="H40" s="76"/>
      <c r="I40" s="1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0" customHeight="1">
      <c r="A41" s="8"/>
      <c r="B41" s="76"/>
      <c r="C41" s="80"/>
      <c r="D41" s="81"/>
      <c r="E41" s="82"/>
      <c r="F41" s="82"/>
      <c r="G41" s="80"/>
      <c r="H41" s="76"/>
      <c r="I41" s="1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0" customHeight="1">
      <c r="A42" s="8"/>
      <c r="B42" s="76"/>
      <c r="C42" s="80"/>
      <c r="D42" s="81"/>
      <c r="E42" s="82"/>
      <c r="F42" s="82"/>
      <c r="G42" s="80"/>
      <c r="H42" s="76"/>
      <c r="I42" s="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0" customHeight="1">
      <c r="A43" s="8"/>
      <c r="B43" s="76"/>
      <c r="C43" s="80"/>
      <c r="D43" s="81"/>
      <c r="E43" s="82"/>
      <c r="F43" s="82"/>
      <c r="G43" s="80"/>
      <c r="H43" s="76"/>
      <c r="I43" s="1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0" customHeight="1">
      <c r="A44" s="8"/>
      <c r="B44" s="76"/>
      <c r="C44" s="80"/>
      <c r="D44" s="81"/>
      <c r="E44" s="82"/>
      <c r="F44" s="82"/>
      <c r="G44" s="80"/>
      <c r="H44" s="76"/>
      <c r="I44" s="1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0" customHeight="1">
      <c r="A45" s="8"/>
      <c r="B45" s="76"/>
      <c r="C45" s="80"/>
      <c r="D45" s="81"/>
      <c r="E45" s="82"/>
      <c r="F45" s="82"/>
      <c r="G45" s="80"/>
      <c r="H45" s="76"/>
      <c r="I45" s="1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0" customHeight="1">
      <c r="A46" s="8"/>
      <c r="B46" s="76"/>
      <c r="C46" s="80"/>
      <c r="D46" s="81"/>
      <c r="E46" s="82"/>
      <c r="F46" s="82"/>
      <c r="G46" s="80"/>
      <c r="H46" s="76"/>
      <c r="I46" s="1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0" customHeight="1">
      <c r="A47" s="8"/>
      <c r="B47" s="76"/>
      <c r="C47" s="80"/>
      <c r="D47" s="81"/>
      <c r="E47" s="82"/>
      <c r="F47" s="82"/>
      <c r="G47" s="80"/>
      <c r="H47" s="76"/>
      <c r="I47" s="1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0" customHeight="1">
      <c r="A48" s="8"/>
      <c r="B48" s="76"/>
      <c r="C48" s="80"/>
      <c r="D48" s="81"/>
      <c r="E48" s="82"/>
      <c r="F48" s="82"/>
      <c r="G48" s="80"/>
      <c r="H48" s="76"/>
      <c r="I48" s="1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0" customHeight="1">
      <c r="A49" s="8"/>
      <c r="B49" s="76"/>
      <c r="C49" s="80"/>
      <c r="D49" s="81"/>
      <c r="E49" s="82"/>
      <c r="F49" s="82"/>
      <c r="G49" s="80"/>
      <c r="H49" s="76"/>
      <c r="I49" s="1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0" customHeight="1">
      <c r="A50" s="8"/>
      <c r="B50" s="76"/>
      <c r="C50" s="80"/>
      <c r="D50" s="81"/>
      <c r="E50" s="82"/>
      <c r="F50" s="82"/>
      <c r="G50" s="80"/>
      <c r="H50" s="76"/>
      <c r="I50" s="1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0" customHeight="1">
      <c r="A51" s="8"/>
      <c r="B51" s="76"/>
      <c r="C51" s="80"/>
      <c r="D51" s="81"/>
      <c r="E51" s="82"/>
      <c r="F51" s="82"/>
      <c r="G51" s="80"/>
      <c r="H51" s="76"/>
      <c r="I51" s="1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0" customHeight="1">
      <c r="A52" s="8"/>
      <c r="B52" s="76"/>
      <c r="C52" s="80"/>
      <c r="D52" s="81"/>
      <c r="E52" s="82"/>
      <c r="F52" s="82"/>
      <c r="G52" s="80"/>
      <c r="H52" s="76"/>
      <c r="I52" s="1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0" customHeight="1">
      <c r="A53" s="8"/>
      <c r="B53" s="76"/>
      <c r="C53" s="80"/>
      <c r="D53" s="81"/>
      <c r="E53" s="82"/>
      <c r="F53" s="82"/>
      <c r="G53" s="80"/>
      <c r="H53" s="76"/>
      <c r="I53" s="1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0" customHeight="1">
      <c r="A54" s="8"/>
      <c r="B54" s="76"/>
      <c r="C54" s="80"/>
      <c r="D54" s="81"/>
      <c r="E54" s="82"/>
      <c r="F54" s="82"/>
      <c r="G54" s="80"/>
      <c r="H54" s="76"/>
      <c r="I54" s="1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0" customHeight="1">
      <c r="A55" s="8"/>
      <c r="B55" s="76"/>
      <c r="C55" s="80"/>
      <c r="D55" s="81"/>
      <c r="E55" s="82"/>
      <c r="F55" s="82"/>
      <c r="G55" s="80"/>
      <c r="H55" s="76"/>
      <c r="I55" s="1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0" customHeight="1">
      <c r="A56" s="8"/>
      <c r="B56" s="76"/>
      <c r="C56" s="80"/>
      <c r="D56" s="81"/>
      <c r="E56" s="82"/>
      <c r="F56" s="82"/>
      <c r="G56" s="80"/>
      <c r="H56" s="76"/>
      <c r="I56" s="1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0" customHeight="1">
      <c r="A57" s="8"/>
      <c r="B57" s="76"/>
      <c r="C57" s="80"/>
      <c r="D57" s="81"/>
      <c r="E57" s="82"/>
      <c r="F57" s="82"/>
      <c r="G57" s="80"/>
      <c r="H57" s="76"/>
      <c r="I57" s="1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0" customHeight="1">
      <c r="A58" s="8"/>
      <c r="B58" s="76"/>
      <c r="C58" s="80"/>
      <c r="D58" s="81"/>
      <c r="E58" s="82"/>
      <c r="F58" s="82"/>
      <c r="G58" s="80"/>
      <c r="H58" s="76"/>
      <c r="I58" s="1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0" customHeight="1">
      <c r="A59" s="8"/>
      <c r="B59" s="76"/>
      <c r="C59" s="80"/>
      <c r="D59" s="81"/>
      <c r="E59" s="82"/>
      <c r="F59" s="82"/>
      <c r="G59" s="80"/>
      <c r="H59" s="76"/>
      <c r="I59" s="1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0" customHeight="1">
      <c r="A60" s="8"/>
      <c r="B60" s="76"/>
      <c r="C60" s="80"/>
      <c r="D60" s="81"/>
      <c r="E60" s="82"/>
      <c r="F60" s="82"/>
      <c r="G60" s="80"/>
      <c r="H60" s="76"/>
      <c r="I60" s="1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0" customHeight="1">
      <c r="A61" s="8"/>
      <c r="B61" s="76"/>
      <c r="C61" s="80"/>
      <c r="D61" s="81"/>
      <c r="E61" s="82"/>
      <c r="F61" s="82"/>
      <c r="G61" s="80"/>
      <c r="H61" s="76"/>
      <c r="I61" s="1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0" customHeight="1">
      <c r="A62" s="8"/>
      <c r="B62" s="76"/>
      <c r="C62" s="80"/>
      <c r="D62" s="81"/>
      <c r="E62" s="82"/>
      <c r="F62" s="82"/>
      <c r="G62" s="80"/>
      <c r="H62" s="76"/>
      <c r="I62" s="1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0" customHeight="1">
      <c r="A63" s="8"/>
      <c r="B63" s="76"/>
      <c r="C63" s="80"/>
      <c r="D63" s="81"/>
      <c r="E63" s="82"/>
      <c r="F63" s="82"/>
      <c r="G63" s="80"/>
      <c r="H63" s="76"/>
      <c r="I63" s="1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0" customHeight="1">
      <c r="A64" s="8"/>
      <c r="B64" s="76"/>
      <c r="C64" s="80"/>
      <c r="D64" s="81"/>
      <c r="E64" s="82"/>
      <c r="F64" s="82"/>
      <c r="G64" s="80"/>
      <c r="H64" s="76"/>
      <c r="I64" s="1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0" customHeight="1">
      <c r="A65" s="8"/>
      <c r="B65" s="76"/>
      <c r="C65" s="80"/>
      <c r="D65" s="81"/>
      <c r="E65" s="82"/>
      <c r="F65" s="82"/>
      <c r="G65" s="80"/>
      <c r="H65" s="76"/>
      <c r="I65" s="1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0" customHeight="1">
      <c r="A66" s="8"/>
      <c r="B66" s="76"/>
      <c r="C66" s="80"/>
      <c r="D66" s="81"/>
      <c r="E66" s="82"/>
      <c r="F66" s="82"/>
      <c r="G66" s="80"/>
      <c r="H66" s="76"/>
      <c r="I66" s="1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0" customHeight="1">
      <c r="A67" s="8"/>
      <c r="B67" s="76"/>
      <c r="C67" s="80"/>
      <c r="D67" s="81"/>
      <c r="E67" s="82"/>
      <c r="F67" s="82"/>
      <c r="G67" s="80"/>
      <c r="H67" s="76"/>
      <c r="I67" s="1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0" customHeight="1">
      <c r="A68" s="8"/>
      <c r="B68" s="76"/>
      <c r="C68" s="80"/>
      <c r="D68" s="81"/>
      <c r="E68" s="82"/>
      <c r="F68" s="82"/>
      <c r="G68" s="80"/>
      <c r="H68" s="76"/>
      <c r="I68" s="1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0" customHeight="1">
      <c r="A69" s="8"/>
      <c r="B69" s="76"/>
      <c r="C69" s="80"/>
      <c r="D69" s="81"/>
      <c r="E69" s="82"/>
      <c r="F69" s="82"/>
      <c r="G69" s="80"/>
      <c r="H69" s="76"/>
      <c r="I69" s="1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0" customHeight="1">
      <c r="A70" s="8"/>
      <c r="B70" s="76"/>
      <c r="C70" s="80"/>
      <c r="D70" s="81"/>
      <c r="E70" s="82"/>
      <c r="F70" s="82"/>
      <c r="G70" s="80"/>
      <c r="H70" s="76"/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0" customHeight="1">
      <c r="A71" s="8"/>
      <c r="B71" s="76"/>
      <c r="C71" s="80"/>
      <c r="D71" s="81"/>
      <c r="E71" s="82"/>
      <c r="F71" s="82"/>
      <c r="G71" s="80"/>
      <c r="H71" s="76"/>
      <c r="I71" s="1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0" customHeight="1">
      <c r="A72" s="8"/>
      <c r="B72" s="76"/>
      <c r="C72" s="80"/>
      <c r="D72" s="81"/>
      <c r="E72" s="82"/>
      <c r="F72" s="82"/>
      <c r="G72" s="80"/>
      <c r="H72" s="76"/>
      <c r="I72" s="1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0" customHeight="1">
      <c r="A73" s="8"/>
      <c r="B73" s="76"/>
      <c r="C73" s="80"/>
      <c r="D73" s="81"/>
      <c r="E73" s="82"/>
      <c r="F73" s="82"/>
      <c r="G73" s="80"/>
      <c r="H73" s="76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0" customHeight="1">
      <c r="A74" s="8"/>
      <c r="B74" s="76"/>
      <c r="C74" s="80"/>
      <c r="D74" s="81"/>
      <c r="E74" s="82"/>
      <c r="F74" s="82"/>
      <c r="G74" s="80"/>
      <c r="H74" s="76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0" customHeight="1">
      <c r="A75" s="8"/>
      <c r="B75" s="76"/>
      <c r="C75" s="80"/>
      <c r="D75" s="81"/>
      <c r="E75" s="82"/>
      <c r="F75" s="82"/>
      <c r="G75" s="80"/>
      <c r="H75" s="76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0" customHeight="1">
      <c r="A76" s="8"/>
      <c r="B76" s="76"/>
      <c r="C76" s="80"/>
      <c r="D76" s="81"/>
      <c r="E76" s="82"/>
      <c r="F76" s="82"/>
      <c r="G76" s="80"/>
      <c r="H76" s="76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0" customHeight="1">
      <c r="A77" s="8"/>
      <c r="B77" s="76"/>
      <c r="C77" s="80"/>
      <c r="D77" s="81"/>
      <c r="E77" s="82"/>
      <c r="F77" s="82"/>
      <c r="G77" s="80"/>
      <c r="H77" s="76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0" customHeight="1">
      <c r="A78" s="8"/>
      <c r="B78" s="76"/>
      <c r="C78" s="80"/>
      <c r="D78" s="81"/>
      <c r="E78" s="82"/>
      <c r="F78" s="82"/>
      <c r="G78" s="80"/>
      <c r="H78" s="76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0" customHeight="1">
      <c r="A79" s="8"/>
      <c r="B79" s="76"/>
      <c r="C79" s="80"/>
      <c r="D79" s="81"/>
      <c r="E79" s="82"/>
      <c r="F79" s="82"/>
      <c r="G79" s="80"/>
      <c r="H79" s="76"/>
      <c r="I79" s="1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0" customHeight="1">
      <c r="A80" s="8"/>
      <c r="B80" s="76"/>
      <c r="C80" s="80"/>
      <c r="D80" s="81"/>
      <c r="E80" s="82"/>
      <c r="F80" s="82"/>
      <c r="G80" s="80"/>
      <c r="H80" s="76"/>
      <c r="I80" s="1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0" customHeight="1">
      <c r="A81" s="8"/>
      <c r="B81" s="76"/>
      <c r="C81" s="80"/>
      <c r="D81" s="81"/>
      <c r="E81" s="82"/>
      <c r="F81" s="82"/>
      <c r="G81" s="80"/>
      <c r="H81" s="76"/>
      <c r="I81" s="1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0" customHeight="1">
      <c r="A82" s="8"/>
      <c r="B82" s="76"/>
      <c r="C82" s="80"/>
      <c r="D82" s="81"/>
      <c r="E82" s="82"/>
      <c r="F82" s="82"/>
      <c r="G82" s="80"/>
      <c r="H82" s="76"/>
      <c r="I82" s="1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0" customHeight="1">
      <c r="A83" s="8"/>
      <c r="B83" s="76"/>
      <c r="C83" s="80"/>
      <c r="D83" s="81"/>
      <c r="E83" s="82"/>
      <c r="F83" s="82"/>
      <c r="G83" s="80"/>
      <c r="H83" s="76"/>
      <c r="I83" s="1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0" customHeight="1">
      <c r="A84" s="8"/>
      <c r="B84" s="76"/>
      <c r="C84" s="80"/>
      <c r="D84" s="81"/>
      <c r="E84" s="82"/>
      <c r="F84" s="82"/>
      <c r="G84" s="80"/>
      <c r="H84" s="76"/>
      <c r="I84" s="1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0" customHeight="1">
      <c r="A85" s="8"/>
      <c r="B85" s="76"/>
      <c r="C85" s="80"/>
      <c r="D85" s="81"/>
      <c r="E85" s="82"/>
      <c r="F85" s="82"/>
      <c r="G85" s="80"/>
      <c r="H85" s="76"/>
      <c r="I85" s="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0" customHeight="1">
      <c r="A86" s="8"/>
      <c r="B86" s="76"/>
      <c r="C86" s="80"/>
      <c r="D86" s="81"/>
      <c r="E86" s="82"/>
      <c r="F86" s="82"/>
      <c r="G86" s="80"/>
      <c r="H86" s="76"/>
      <c r="I86" s="1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0" customHeight="1">
      <c r="A87" s="8"/>
      <c r="B87" s="76"/>
      <c r="C87" s="80"/>
      <c r="D87" s="81"/>
      <c r="E87" s="82"/>
      <c r="F87" s="82"/>
      <c r="G87" s="80"/>
      <c r="H87" s="76"/>
      <c r="I87" s="1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0" customHeight="1">
      <c r="A88" s="8"/>
      <c r="B88" s="76"/>
      <c r="C88" s="80"/>
      <c r="D88" s="81"/>
      <c r="E88" s="82"/>
      <c r="F88" s="82"/>
      <c r="G88" s="80"/>
      <c r="H88" s="76"/>
      <c r="I88" s="1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0" customHeight="1">
      <c r="A89" s="8"/>
      <c r="B89" s="76"/>
      <c r="C89" s="80"/>
      <c r="D89" s="81"/>
      <c r="E89" s="82"/>
      <c r="F89" s="82"/>
      <c r="G89" s="80"/>
      <c r="H89" s="76"/>
      <c r="I89" s="1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0" customHeight="1">
      <c r="A90" s="8"/>
      <c r="B90" s="76"/>
      <c r="C90" s="80"/>
      <c r="D90" s="81"/>
      <c r="E90" s="82"/>
      <c r="F90" s="82"/>
      <c r="G90" s="80"/>
      <c r="H90" s="76"/>
      <c r="I90" s="1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0" customHeight="1">
      <c r="A91" s="8"/>
      <c r="B91" s="76"/>
      <c r="C91" s="80"/>
      <c r="D91" s="81"/>
      <c r="E91" s="82"/>
      <c r="F91" s="82"/>
      <c r="G91" s="80"/>
      <c r="H91" s="76"/>
      <c r="I91" s="1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0" customHeight="1">
      <c r="A92" s="8"/>
      <c r="B92" s="76"/>
      <c r="C92" s="80"/>
      <c r="D92" s="81"/>
      <c r="E92" s="82"/>
      <c r="F92" s="82"/>
      <c r="G92" s="80"/>
      <c r="H92" s="76"/>
      <c r="I92" s="1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0" customHeight="1">
      <c r="A93" s="8"/>
      <c r="B93" s="76"/>
      <c r="C93" s="80"/>
      <c r="D93" s="81"/>
      <c r="E93" s="82"/>
      <c r="F93" s="82"/>
      <c r="G93" s="80"/>
      <c r="H93" s="76"/>
      <c r="I93" s="1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0" customHeight="1">
      <c r="A94" s="8"/>
      <c r="B94" s="76"/>
      <c r="C94" s="80"/>
      <c r="D94" s="81"/>
      <c r="E94" s="82"/>
      <c r="F94" s="82"/>
      <c r="G94" s="80"/>
      <c r="H94" s="76"/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0" customHeight="1">
      <c r="A95" s="8"/>
      <c r="B95" s="76"/>
      <c r="C95" s="80"/>
      <c r="D95" s="81"/>
      <c r="E95" s="82"/>
      <c r="F95" s="82"/>
      <c r="G95" s="80"/>
      <c r="H95" s="76"/>
      <c r="I95" s="1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0" customHeight="1">
      <c r="A96" s="8"/>
      <c r="B96" s="76"/>
      <c r="C96" s="80"/>
      <c r="D96" s="81"/>
      <c r="E96" s="82"/>
      <c r="F96" s="82"/>
      <c r="G96" s="80"/>
      <c r="H96" s="76"/>
      <c r="I96" s="1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0" customHeight="1">
      <c r="A97" s="8"/>
      <c r="B97" s="76"/>
      <c r="C97" s="80"/>
      <c r="D97" s="81"/>
      <c r="E97" s="82"/>
      <c r="F97" s="82"/>
      <c r="G97" s="80"/>
      <c r="H97" s="76"/>
      <c r="I97" s="1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0" customHeight="1">
      <c r="A98" s="8"/>
      <c r="B98" s="76"/>
      <c r="C98" s="80"/>
      <c r="D98" s="81"/>
      <c r="E98" s="82"/>
      <c r="F98" s="82"/>
      <c r="G98" s="80"/>
      <c r="H98" s="76"/>
      <c r="I98" s="1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0" customHeight="1">
      <c r="A99" s="8"/>
      <c r="B99" s="76"/>
      <c r="C99" s="80"/>
      <c r="D99" s="81"/>
      <c r="E99" s="82"/>
      <c r="F99" s="82"/>
      <c r="G99" s="80"/>
      <c r="H99" s="76"/>
      <c r="I99" s="1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0" customHeight="1">
      <c r="A100" s="8"/>
      <c r="B100" s="76"/>
      <c r="C100" s="80"/>
      <c r="D100" s="81"/>
      <c r="E100" s="82"/>
      <c r="F100" s="82"/>
      <c r="G100" s="80"/>
      <c r="H100" s="76"/>
      <c r="I100" s="1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0" customHeight="1">
      <c r="A101" s="8"/>
      <c r="B101" s="76"/>
      <c r="C101" s="80"/>
      <c r="D101" s="81"/>
      <c r="E101" s="82"/>
      <c r="F101" s="82"/>
      <c r="G101" s="80"/>
      <c r="H101" s="76"/>
      <c r="I101" s="1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0" customHeight="1">
      <c r="A102" s="8"/>
      <c r="B102" s="76"/>
      <c r="C102" s="80"/>
      <c r="D102" s="81"/>
      <c r="E102" s="82"/>
      <c r="F102" s="82"/>
      <c r="G102" s="80"/>
      <c r="H102" s="76"/>
      <c r="I102" s="1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0" customHeight="1">
      <c r="A103" s="8"/>
      <c r="B103" s="76"/>
      <c r="C103" s="80"/>
      <c r="D103" s="81"/>
      <c r="E103" s="82"/>
      <c r="F103" s="82"/>
      <c r="G103" s="80"/>
      <c r="H103" s="76"/>
      <c r="I103" s="1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0" customHeight="1">
      <c r="A104" s="8"/>
      <c r="B104" s="76"/>
      <c r="C104" s="80"/>
      <c r="D104" s="81"/>
      <c r="E104" s="82"/>
      <c r="F104" s="82"/>
      <c r="G104" s="80"/>
      <c r="H104" s="76"/>
      <c r="I104" s="1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0" customHeight="1">
      <c r="A105" s="8"/>
      <c r="B105" s="76"/>
      <c r="C105" s="80"/>
      <c r="D105" s="81"/>
      <c r="E105" s="82"/>
      <c r="F105" s="82"/>
      <c r="G105" s="80"/>
      <c r="H105" s="76"/>
      <c r="I105" s="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0" customHeight="1">
      <c r="A106" s="8"/>
      <c r="B106" s="76"/>
      <c r="C106" s="80"/>
      <c r="D106" s="81"/>
      <c r="E106" s="82"/>
      <c r="F106" s="82"/>
      <c r="G106" s="80"/>
      <c r="H106" s="76"/>
      <c r="I106" s="1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0" customHeight="1">
      <c r="A107" s="8"/>
      <c r="B107" s="76"/>
      <c r="C107" s="80"/>
      <c r="D107" s="81"/>
      <c r="E107" s="82"/>
      <c r="F107" s="82"/>
      <c r="G107" s="80"/>
      <c r="H107" s="76"/>
      <c r="I107" s="1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0" customHeight="1">
      <c r="A108" s="8"/>
      <c r="B108" s="76"/>
      <c r="C108" s="80"/>
      <c r="D108" s="81"/>
      <c r="E108" s="82"/>
      <c r="F108" s="82"/>
      <c r="G108" s="80"/>
      <c r="H108" s="76"/>
      <c r="I108" s="1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0" customHeight="1">
      <c r="A109" s="8"/>
      <c r="B109" s="76"/>
      <c r="C109" s="80"/>
      <c r="D109" s="81"/>
      <c r="E109" s="82"/>
      <c r="F109" s="82"/>
      <c r="G109" s="80"/>
      <c r="H109" s="76"/>
      <c r="I109" s="1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0" customHeight="1">
      <c r="A110" s="8"/>
      <c r="B110" s="76"/>
      <c r="C110" s="80"/>
      <c r="D110" s="81"/>
      <c r="E110" s="82"/>
      <c r="F110" s="82"/>
      <c r="G110" s="80"/>
      <c r="H110" s="76"/>
      <c r="I110" s="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0" customHeight="1">
      <c r="A111" s="8"/>
      <c r="B111" s="76"/>
      <c r="C111" s="80"/>
      <c r="D111" s="81"/>
      <c r="E111" s="82"/>
      <c r="F111" s="82"/>
      <c r="G111" s="80"/>
      <c r="H111" s="76"/>
      <c r="I111" s="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0" customHeight="1">
      <c r="A112" s="8"/>
      <c r="B112" s="76"/>
      <c r="C112" s="80"/>
      <c r="D112" s="81"/>
      <c r="E112" s="82"/>
      <c r="F112" s="82"/>
      <c r="G112" s="80"/>
      <c r="H112" s="76"/>
      <c r="I112" s="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0" customHeight="1">
      <c r="A113" s="8"/>
      <c r="B113" s="76"/>
      <c r="C113" s="80"/>
      <c r="D113" s="81"/>
      <c r="E113" s="82"/>
      <c r="F113" s="82"/>
      <c r="G113" s="80"/>
      <c r="H113" s="76"/>
      <c r="I113" s="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0" customHeight="1">
      <c r="A114" s="8"/>
      <c r="B114" s="76"/>
      <c r="C114" s="80"/>
      <c r="D114" s="81"/>
      <c r="E114" s="82"/>
      <c r="F114" s="82"/>
      <c r="G114" s="80"/>
      <c r="H114" s="76"/>
      <c r="I114" s="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0" customHeight="1">
      <c r="A115" s="8"/>
      <c r="B115" s="76"/>
      <c r="C115" s="80"/>
      <c r="D115" s="81"/>
      <c r="E115" s="82"/>
      <c r="F115" s="82"/>
      <c r="G115" s="80"/>
      <c r="H115" s="76"/>
      <c r="I115" s="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0" customHeight="1">
      <c r="A116" s="8"/>
      <c r="B116" s="76"/>
      <c r="C116" s="80"/>
      <c r="D116" s="81"/>
      <c r="E116" s="82"/>
      <c r="F116" s="82"/>
      <c r="G116" s="80"/>
      <c r="H116" s="76"/>
      <c r="I116" s="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0" customHeight="1">
      <c r="A117" s="8"/>
      <c r="B117" s="76"/>
      <c r="C117" s="80"/>
      <c r="D117" s="81"/>
      <c r="E117" s="82"/>
      <c r="F117" s="82"/>
      <c r="G117" s="80"/>
      <c r="H117" s="76"/>
      <c r="I117" s="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0" customHeight="1">
      <c r="A118" s="8"/>
      <c r="B118" s="76"/>
      <c r="C118" s="80"/>
      <c r="D118" s="81"/>
      <c r="E118" s="82"/>
      <c r="F118" s="82"/>
      <c r="G118" s="80"/>
      <c r="H118" s="76"/>
      <c r="I118" s="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0" customHeight="1">
      <c r="A119" s="8"/>
      <c r="B119" s="76"/>
      <c r="C119" s="80"/>
      <c r="D119" s="81"/>
      <c r="E119" s="82"/>
      <c r="F119" s="82"/>
      <c r="G119" s="80"/>
      <c r="H119" s="76"/>
      <c r="I119" s="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0" customHeight="1">
      <c r="A120" s="8"/>
      <c r="B120" s="76"/>
      <c r="C120" s="80"/>
      <c r="D120" s="81"/>
      <c r="E120" s="82"/>
      <c r="F120" s="82"/>
      <c r="G120" s="80"/>
      <c r="H120" s="76"/>
      <c r="I120" s="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0" customHeight="1">
      <c r="A121" s="8"/>
      <c r="B121" s="76"/>
      <c r="C121" s="80"/>
      <c r="D121" s="81"/>
      <c r="E121" s="82"/>
      <c r="F121" s="82"/>
      <c r="G121" s="80"/>
      <c r="H121" s="76"/>
      <c r="I121" s="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0" customHeight="1">
      <c r="A122" s="8"/>
      <c r="B122" s="76"/>
      <c r="C122" s="80"/>
      <c r="D122" s="81"/>
      <c r="E122" s="82"/>
      <c r="F122" s="82"/>
      <c r="G122" s="80"/>
      <c r="H122" s="76"/>
      <c r="I122" s="1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0" customHeight="1">
      <c r="A123" s="8"/>
      <c r="B123" s="76"/>
      <c r="C123" s="80"/>
      <c r="D123" s="81"/>
      <c r="E123" s="82"/>
      <c r="F123" s="82"/>
      <c r="G123" s="80"/>
      <c r="H123" s="76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0" customHeight="1">
      <c r="A124" s="8"/>
      <c r="B124" s="76"/>
      <c r="C124" s="80"/>
      <c r="D124" s="81"/>
      <c r="E124" s="82"/>
      <c r="F124" s="82"/>
      <c r="G124" s="80"/>
      <c r="H124" s="76"/>
      <c r="I124" s="1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0" customHeight="1">
      <c r="A125" s="8"/>
      <c r="B125" s="76"/>
      <c r="C125" s="80"/>
      <c r="D125" s="81"/>
      <c r="E125" s="82"/>
      <c r="F125" s="82"/>
      <c r="G125" s="80"/>
      <c r="H125" s="76"/>
      <c r="I125" s="1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0" customHeight="1">
      <c r="A126" s="8"/>
      <c r="B126" s="76"/>
      <c r="C126" s="80"/>
      <c r="D126" s="81"/>
      <c r="E126" s="82"/>
      <c r="F126" s="82"/>
      <c r="G126" s="80"/>
      <c r="H126" s="76"/>
      <c r="I126" s="1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0" customHeight="1">
      <c r="A127" s="8"/>
      <c r="B127" s="76"/>
      <c r="C127" s="80"/>
      <c r="D127" s="81"/>
      <c r="E127" s="82"/>
      <c r="F127" s="82"/>
      <c r="G127" s="80"/>
      <c r="H127" s="76"/>
      <c r="I127" s="1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0" customHeight="1">
      <c r="A128" s="8"/>
      <c r="B128" s="76"/>
      <c r="C128" s="80"/>
      <c r="D128" s="81"/>
      <c r="E128" s="82"/>
      <c r="F128" s="82"/>
      <c r="G128" s="80"/>
      <c r="H128" s="76"/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0" customHeight="1">
      <c r="A129" s="8"/>
      <c r="B129" s="76"/>
      <c r="C129" s="80"/>
      <c r="D129" s="81"/>
      <c r="E129" s="82"/>
      <c r="F129" s="82"/>
      <c r="G129" s="80"/>
      <c r="H129" s="76"/>
      <c r="I129" s="1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0" customHeight="1">
      <c r="A130" s="8"/>
      <c r="B130" s="76"/>
      <c r="C130" s="80"/>
      <c r="D130" s="81"/>
      <c r="E130" s="82"/>
      <c r="F130" s="82"/>
      <c r="G130" s="80"/>
      <c r="H130" s="76"/>
      <c r="I130" s="1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0" customHeight="1">
      <c r="A131" s="8"/>
      <c r="B131" s="76"/>
      <c r="C131" s="80"/>
      <c r="D131" s="81"/>
      <c r="E131" s="82"/>
      <c r="F131" s="82"/>
      <c r="G131" s="80"/>
      <c r="H131" s="76"/>
      <c r="I131" s="1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0" customHeight="1">
      <c r="A132" s="8"/>
      <c r="B132" s="76"/>
      <c r="C132" s="80"/>
      <c r="D132" s="81"/>
      <c r="E132" s="82"/>
      <c r="F132" s="82"/>
      <c r="G132" s="80"/>
      <c r="H132" s="76"/>
      <c r="I132" s="1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0" customHeight="1">
      <c r="A133" s="8"/>
      <c r="B133" s="76"/>
      <c r="C133" s="80"/>
      <c r="D133" s="81"/>
      <c r="E133" s="82"/>
      <c r="F133" s="82"/>
      <c r="G133" s="80"/>
      <c r="H133" s="76"/>
      <c r="I133" s="1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0" customHeight="1">
      <c r="A134" s="8"/>
      <c r="B134" s="76"/>
      <c r="C134" s="80"/>
      <c r="D134" s="81"/>
      <c r="E134" s="82"/>
      <c r="F134" s="82"/>
      <c r="G134" s="80"/>
      <c r="H134" s="76"/>
      <c r="I134" s="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0" customHeight="1">
      <c r="A135" s="8"/>
      <c r="B135" s="76"/>
      <c r="C135" s="80"/>
      <c r="D135" s="81"/>
      <c r="E135" s="82"/>
      <c r="F135" s="82"/>
      <c r="G135" s="80"/>
      <c r="H135" s="76"/>
      <c r="I135" s="1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0" customHeight="1">
      <c r="A136" s="8"/>
      <c r="B136" s="76"/>
      <c r="C136" s="80"/>
      <c r="D136" s="81"/>
      <c r="E136" s="82"/>
      <c r="F136" s="82"/>
      <c r="G136" s="80"/>
      <c r="H136" s="76"/>
      <c r="I136" s="1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0" customHeight="1">
      <c r="A137" s="8"/>
      <c r="B137" s="76"/>
      <c r="C137" s="80"/>
      <c r="D137" s="81"/>
      <c r="E137" s="82"/>
      <c r="F137" s="82"/>
      <c r="G137" s="80"/>
      <c r="H137" s="76"/>
      <c r="I137" s="1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0" customHeight="1">
      <c r="A138" s="8"/>
      <c r="B138" s="76"/>
      <c r="C138" s="80"/>
      <c r="D138" s="81"/>
      <c r="E138" s="82"/>
      <c r="F138" s="82"/>
      <c r="G138" s="80"/>
      <c r="H138" s="76"/>
      <c r="I138" s="1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0" customHeight="1">
      <c r="A139" s="8"/>
      <c r="B139" s="76"/>
      <c r="C139" s="80"/>
      <c r="D139" s="81"/>
      <c r="E139" s="82"/>
      <c r="F139" s="82"/>
      <c r="G139" s="80"/>
      <c r="H139" s="76"/>
      <c r="I139" s="1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0" customHeight="1">
      <c r="A140" s="8"/>
      <c r="B140" s="76"/>
      <c r="C140" s="80"/>
      <c r="D140" s="81"/>
      <c r="E140" s="82"/>
      <c r="F140" s="82"/>
      <c r="G140" s="80"/>
      <c r="H140" s="76"/>
      <c r="I140" s="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0" customHeight="1">
      <c r="A141" s="8"/>
      <c r="B141" s="76"/>
      <c r="C141" s="80"/>
      <c r="D141" s="81"/>
      <c r="E141" s="82"/>
      <c r="F141" s="82"/>
      <c r="G141" s="80"/>
      <c r="H141" s="76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0" customHeight="1">
      <c r="A142" s="8"/>
      <c r="B142" s="76"/>
      <c r="C142" s="80"/>
      <c r="D142" s="81"/>
      <c r="E142" s="82"/>
      <c r="F142" s="82"/>
      <c r="G142" s="80"/>
      <c r="H142" s="76"/>
      <c r="I142" s="1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0" customHeight="1">
      <c r="A143" s="8"/>
      <c r="B143" s="76"/>
      <c r="C143" s="80"/>
      <c r="D143" s="81"/>
      <c r="E143" s="82"/>
      <c r="F143" s="82"/>
      <c r="G143" s="80"/>
      <c r="H143" s="76"/>
      <c r="I143" s="1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0" customHeight="1">
      <c r="A144" s="8"/>
      <c r="B144" s="76"/>
      <c r="C144" s="80"/>
      <c r="D144" s="81"/>
      <c r="E144" s="82"/>
      <c r="F144" s="82"/>
      <c r="G144" s="80"/>
      <c r="H144" s="76"/>
      <c r="I144" s="1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0" customHeight="1">
      <c r="A145" s="8"/>
      <c r="B145" s="76"/>
      <c r="C145" s="80"/>
      <c r="D145" s="81"/>
      <c r="E145" s="82"/>
      <c r="F145" s="82"/>
      <c r="G145" s="80"/>
      <c r="H145" s="76"/>
      <c r="I145" s="1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0" customHeight="1">
      <c r="A146" s="8"/>
      <c r="B146" s="76"/>
      <c r="C146" s="80"/>
      <c r="D146" s="81"/>
      <c r="E146" s="82"/>
      <c r="F146" s="82"/>
      <c r="G146" s="80"/>
      <c r="H146" s="76"/>
      <c r="I146" s="1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0" customHeight="1">
      <c r="A147" s="8"/>
      <c r="B147" s="76"/>
      <c r="C147" s="80"/>
      <c r="D147" s="81"/>
      <c r="E147" s="82"/>
      <c r="F147" s="82"/>
      <c r="G147" s="80"/>
      <c r="H147" s="76"/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0" customHeight="1">
      <c r="A148" s="8"/>
      <c r="B148" s="76"/>
      <c r="C148" s="80"/>
      <c r="D148" s="81"/>
      <c r="E148" s="82"/>
      <c r="F148" s="82"/>
      <c r="G148" s="80"/>
      <c r="H148" s="76"/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0" customHeight="1">
      <c r="A149" s="8"/>
      <c r="B149" s="76"/>
      <c r="C149" s="80"/>
      <c r="D149" s="81"/>
      <c r="E149" s="82"/>
      <c r="F149" s="82"/>
      <c r="G149" s="80"/>
      <c r="H149" s="76"/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0" customHeight="1">
      <c r="A150" s="8"/>
      <c r="B150" s="76"/>
      <c r="C150" s="80"/>
      <c r="D150" s="81"/>
      <c r="E150" s="82"/>
      <c r="F150" s="82"/>
      <c r="G150" s="80"/>
      <c r="H150" s="76"/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0" customHeight="1">
      <c r="A151" s="8"/>
      <c r="B151" s="76"/>
      <c r="C151" s="80"/>
      <c r="D151" s="81"/>
      <c r="E151" s="82"/>
      <c r="F151" s="82"/>
      <c r="G151" s="80"/>
      <c r="H151" s="76"/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0" customHeight="1">
      <c r="A152" s="8"/>
      <c r="B152" s="76"/>
      <c r="C152" s="80"/>
      <c r="D152" s="81"/>
      <c r="E152" s="82"/>
      <c r="F152" s="82"/>
      <c r="G152" s="80"/>
      <c r="H152" s="76"/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0" customHeight="1">
      <c r="A153" s="8"/>
      <c r="B153" s="76"/>
      <c r="C153" s="80"/>
      <c r="D153" s="81"/>
      <c r="E153" s="82"/>
      <c r="F153" s="82"/>
      <c r="G153" s="80"/>
      <c r="H153" s="76"/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0" customHeight="1">
      <c r="A154" s="8"/>
      <c r="B154" s="76"/>
      <c r="C154" s="80"/>
      <c r="D154" s="81"/>
      <c r="E154" s="82"/>
      <c r="F154" s="82"/>
      <c r="G154" s="80"/>
      <c r="H154" s="76"/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0" customHeight="1">
      <c r="A155" s="8"/>
      <c r="B155" s="76"/>
      <c r="C155" s="80"/>
      <c r="D155" s="81"/>
      <c r="E155" s="82"/>
      <c r="F155" s="82"/>
      <c r="G155" s="80"/>
      <c r="H155" s="76"/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0" customHeight="1">
      <c r="A156" s="8"/>
      <c r="B156" s="76"/>
      <c r="C156" s="80"/>
      <c r="D156" s="81"/>
      <c r="E156" s="82"/>
      <c r="F156" s="82"/>
      <c r="G156" s="80"/>
      <c r="H156" s="76"/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0" customHeight="1">
      <c r="A157" s="8"/>
      <c r="B157" s="76"/>
      <c r="C157" s="80"/>
      <c r="D157" s="81"/>
      <c r="E157" s="82"/>
      <c r="F157" s="82"/>
      <c r="G157" s="80"/>
      <c r="H157" s="76"/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0" customHeight="1">
      <c r="A158" s="8"/>
      <c r="B158" s="76"/>
      <c r="C158" s="80"/>
      <c r="D158" s="81"/>
      <c r="E158" s="82"/>
      <c r="F158" s="82"/>
      <c r="G158" s="80"/>
      <c r="H158" s="76"/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0" customHeight="1">
      <c r="A159" s="8"/>
      <c r="B159" s="76"/>
      <c r="C159" s="80"/>
      <c r="D159" s="81"/>
      <c r="E159" s="82"/>
      <c r="F159" s="82"/>
      <c r="G159" s="80"/>
      <c r="H159" s="76"/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0" customHeight="1">
      <c r="A160" s="8"/>
      <c r="B160" s="76"/>
      <c r="C160" s="80"/>
      <c r="D160" s="81"/>
      <c r="E160" s="82"/>
      <c r="F160" s="82"/>
      <c r="G160" s="80"/>
      <c r="H160" s="76"/>
      <c r="I160" s="1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0" customHeight="1">
      <c r="A161" s="8"/>
      <c r="B161" s="76"/>
      <c r="C161" s="80"/>
      <c r="D161" s="81"/>
      <c r="E161" s="82"/>
      <c r="F161" s="82"/>
      <c r="G161" s="80"/>
      <c r="H161" s="76"/>
      <c r="I161" s="1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0" customHeight="1">
      <c r="A162" s="8"/>
      <c r="B162" s="76"/>
      <c r="C162" s="80"/>
      <c r="D162" s="81"/>
      <c r="E162" s="82"/>
      <c r="F162" s="82"/>
      <c r="G162" s="80"/>
      <c r="H162" s="76"/>
      <c r="I162" s="1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0" customHeight="1">
      <c r="A163" s="8"/>
      <c r="B163" s="76"/>
      <c r="C163" s="80"/>
      <c r="D163" s="81"/>
      <c r="E163" s="82"/>
      <c r="F163" s="82"/>
      <c r="G163" s="80"/>
      <c r="H163" s="76"/>
      <c r="I163" s="1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0" customHeight="1">
      <c r="A164" s="8"/>
      <c r="B164" s="76"/>
      <c r="C164" s="80"/>
      <c r="D164" s="81"/>
      <c r="E164" s="82"/>
      <c r="F164" s="82"/>
      <c r="G164" s="80"/>
      <c r="H164" s="76"/>
      <c r="I164" s="1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0" customHeight="1">
      <c r="A165" s="8"/>
      <c r="B165" s="76"/>
      <c r="C165" s="80"/>
      <c r="D165" s="81"/>
      <c r="E165" s="82"/>
      <c r="F165" s="82"/>
      <c r="G165" s="80"/>
      <c r="H165" s="76"/>
      <c r="I165" s="1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0" customHeight="1">
      <c r="A166" s="8"/>
      <c r="B166" s="76"/>
      <c r="C166" s="80"/>
      <c r="D166" s="81"/>
      <c r="E166" s="82"/>
      <c r="F166" s="82"/>
      <c r="G166" s="80"/>
      <c r="H166" s="76"/>
      <c r="I166" s="1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0" customHeight="1">
      <c r="A167" s="8"/>
      <c r="B167" s="76"/>
      <c r="C167" s="80"/>
      <c r="D167" s="81"/>
      <c r="E167" s="82"/>
      <c r="F167" s="82"/>
      <c r="G167" s="80"/>
      <c r="H167" s="76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0" customHeight="1">
      <c r="A168" s="8"/>
      <c r="B168" s="76"/>
      <c r="C168" s="80"/>
      <c r="D168" s="81"/>
      <c r="E168" s="82"/>
      <c r="F168" s="82"/>
      <c r="G168" s="80"/>
      <c r="H168" s="76"/>
      <c r="I168" s="1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0" customHeight="1">
      <c r="A169" s="8"/>
      <c r="B169" s="76"/>
      <c r="C169" s="80"/>
      <c r="D169" s="81"/>
      <c r="E169" s="82"/>
      <c r="F169" s="82"/>
      <c r="G169" s="80"/>
      <c r="H169" s="76"/>
      <c r="I169" s="1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0" customHeight="1">
      <c r="A170" s="8"/>
      <c r="B170" s="76"/>
      <c r="C170" s="80"/>
      <c r="D170" s="81"/>
      <c r="E170" s="82"/>
      <c r="F170" s="82"/>
      <c r="G170" s="80"/>
      <c r="H170" s="76"/>
      <c r="I170" s="1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0" customHeight="1">
      <c r="A171" s="8"/>
      <c r="B171" s="76"/>
      <c r="C171" s="80"/>
      <c r="D171" s="81"/>
      <c r="E171" s="82"/>
      <c r="F171" s="82"/>
      <c r="G171" s="80"/>
      <c r="H171" s="76"/>
      <c r="I171" s="1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0" customHeight="1">
      <c r="A172" s="8"/>
      <c r="B172" s="76"/>
      <c r="C172" s="80"/>
      <c r="D172" s="81"/>
      <c r="E172" s="82"/>
      <c r="F172" s="82"/>
      <c r="G172" s="80"/>
      <c r="H172" s="76"/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</sheetData>
  <autoFilter ref="$B$19:$H$172">
    <sortState ref="B19:H172">
      <sortCondition ref="B19:B172"/>
    </sortState>
  </autoFilter>
  <customSheetViews>
    <customSheetView guid="{CD2BF927-9D79-47FC-BBA8-927062D6B3F5}" filter="1" showAutoFilter="1">
      <autoFilter ref="$B$19:$H$172"/>
    </customSheetView>
  </customSheetViews>
  <mergeCells count="5">
    <mergeCell ref="B2:G2"/>
    <mergeCell ref="B13:C13"/>
    <mergeCell ref="B14:C14"/>
    <mergeCell ref="B15:C15"/>
    <mergeCell ref="B16:C16"/>
  </mergeCells>
  <dataValidations>
    <dataValidation type="list" allowBlank="1" sqref="H20:H172">
      <formula1>$J$4:$J$17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 outlineLevelRow="1"/>
  <cols>
    <col customWidth="1" min="1" max="1" width="1.57"/>
    <col customWidth="1" min="2" max="2" width="12.0"/>
    <col customWidth="1" min="3" max="3" width="18.57"/>
    <col customWidth="1" min="4" max="4" width="24.43"/>
    <col customWidth="1" min="5" max="6" width="25.0"/>
    <col customWidth="1" min="7" max="7" width="39.43"/>
    <col customWidth="1" min="8" max="9" width="20.57"/>
    <col customWidth="1" min="10" max="10" width="11.57"/>
    <col customWidth="1" min="11" max="11" width="50.0"/>
    <col customWidth="1" min="12" max="24" width="9.0"/>
  </cols>
  <sheetData>
    <row r="1" ht="13.5" customHeight="1" outlineLevel="1">
      <c r="A1" s="1"/>
      <c r="B1" s="2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1" outlineLevel="1">
      <c r="A2" s="3"/>
      <c r="B2" s="4" t="s">
        <v>0</v>
      </c>
      <c r="C2" s="5"/>
      <c r="D2" s="5"/>
      <c r="E2" s="5"/>
      <c r="F2" s="5"/>
      <c r="G2" s="5"/>
      <c r="H2" s="6"/>
      <c r="I2" s="3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3.5" customHeight="1" outlineLevel="1">
      <c r="A3" s="1"/>
      <c r="B3" s="2"/>
      <c r="C3" s="2"/>
      <c r="D3" s="1"/>
      <c r="E3" s="1"/>
      <c r="F3" s="1"/>
      <c r="G3" s="1"/>
      <c r="H3" s="2"/>
      <c r="I3" s="8"/>
      <c r="J3" s="9" t="s">
        <v>1</v>
      </c>
      <c r="K3" s="9" t="s">
        <v>2</v>
      </c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3.5" customHeight="1" outlineLevel="1">
      <c r="A4" s="3"/>
      <c r="B4" s="6" t="s">
        <v>3</v>
      </c>
      <c r="C4" s="6"/>
      <c r="D4" s="3"/>
      <c r="E4" s="3"/>
      <c r="F4" s="3"/>
      <c r="G4" s="11">
        <v>44804.0</v>
      </c>
      <c r="H4" s="6"/>
      <c r="I4" s="12"/>
      <c r="J4" s="13" t="s">
        <v>4</v>
      </c>
      <c r="K4" s="13" t="s">
        <v>5</v>
      </c>
      <c r="L4" s="1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3.5" customHeight="1" outlineLevel="1">
      <c r="A5" s="6"/>
      <c r="B5" s="15" t="s">
        <v>6</v>
      </c>
      <c r="C5" s="16" t="s">
        <v>7</v>
      </c>
      <c r="D5" s="17" t="s">
        <v>8</v>
      </c>
      <c r="E5" s="18" t="s">
        <v>9</v>
      </c>
      <c r="F5" s="19" t="s">
        <v>10</v>
      </c>
      <c r="G5" s="20" t="s">
        <v>11</v>
      </c>
      <c r="H5" s="6"/>
      <c r="I5" s="21"/>
      <c r="J5" s="13" t="s">
        <v>12</v>
      </c>
      <c r="K5" s="13" t="s">
        <v>13</v>
      </c>
      <c r="L5" s="2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3.5" customHeight="1" outlineLevel="1">
      <c r="A6" s="1"/>
      <c r="B6" s="23" t="s">
        <v>14</v>
      </c>
      <c r="C6" s="24" t="s">
        <v>15</v>
      </c>
      <c r="D6" s="25">
        <v>1.040244E7</v>
      </c>
      <c r="E6" s="26">
        <f>sumif(B20:B129,B6,E20:E129)</f>
        <v>128447937</v>
      </c>
      <c r="F6" s="27">
        <f>sumif(B20:B172,B6,F20:F172)</f>
        <v>47664363</v>
      </c>
      <c r="G6" s="28">
        <f t="shared" ref="G6:G9" si="1">D6+E6-F6</f>
        <v>91186014</v>
      </c>
      <c r="H6" s="2"/>
      <c r="I6" s="8"/>
      <c r="J6" s="13" t="s">
        <v>16</v>
      </c>
      <c r="K6" s="13" t="s">
        <v>17</v>
      </c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3.5" customHeight="1" outlineLevel="1">
      <c r="A7" s="1"/>
      <c r="B7" s="29" t="s">
        <v>18</v>
      </c>
      <c r="C7" s="30" t="s">
        <v>19</v>
      </c>
      <c r="D7" s="31"/>
      <c r="E7" s="32">
        <f>sumif(B20:B172,B7,E20:E129)</f>
        <v>0</v>
      </c>
      <c r="F7" s="33">
        <f>sumif(B20:B172,B7,F20:F172)</f>
        <v>0</v>
      </c>
      <c r="G7" s="34">
        <f t="shared" si="1"/>
        <v>0</v>
      </c>
      <c r="H7" s="35"/>
      <c r="I7" s="8"/>
      <c r="J7" s="13" t="s">
        <v>20</v>
      </c>
      <c r="K7" s="13" t="s">
        <v>21</v>
      </c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3.5" customHeight="1" outlineLevel="1">
      <c r="A8" s="1"/>
      <c r="B8" s="29" t="s">
        <v>22</v>
      </c>
      <c r="C8" s="30" t="s">
        <v>23</v>
      </c>
      <c r="D8" s="36"/>
      <c r="E8" s="37">
        <f>sumif(B20:B129,B8,E20:E172)</f>
        <v>0</v>
      </c>
      <c r="F8" s="38">
        <f>sumif(B20:B172,B8,F20:F172)</f>
        <v>0</v>
      </c>
      <c r="G8" s="39">
        <f t="shared" si="1"/>
        <v>0</v>
      </c>
      <c r="H8" s="2"/>
      <c r="I8" s="8"/>
      <c r="J8" s="13" t="s">
        <v>24</v>
      </c>
      <c r="K8" s="13" t="s">
        <v>25</v>
      </c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3.5" customHeight="1" outlineLevel="1">
      <c r="A9" s="1"/>
      <c r="B9" s="29" t="s">
        <v>26</v>
      </c>
      <c r="C9" s="30" t="s">
        <v>15</v>
      </c>
      <c r="D9" s="40"/>
      <c r="E9" s="41">
        <f>sumif(B20:B129,B9,E20:E129)</f>
        <v>0</v>
      </c>
      <c r="F9" s="42">
        <f>sumif(B20:B172,B9,F20:F172)</f>
        <v>0</v>
      </c>
      <c r="G9" s="43">
        <f t="shared" si="1"/>
        <v>0</v>
      </c>
      <c r="H9" s="2"/>
      <c r="I9" s="8"/>
      <c r="J9" s="13" t="s">
        <v>27</v>
      </c>
      <c r="K9" s="13" t="s">
        <v>28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outlineLevel="1">
      <c r="A10" s="1"/>
      <c r="B10" s="44"/>
      <c r="C10" s="45"/>
      <c r="D10" s="46"/>
      <c r="E10" s="41"/>
      <c r="F10" s="42"/>
      <c r="G10" s="47"/>
      <c r="H10" s="2"/>
      <c r="I10" s="8"/>
      <c r="J10" s="13" t="s">
        <v>29</v>
      </c>
      <c r="K10" s="13" t="s">
        <v>30</v>
      </c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outlineLevel="1">
      <c r="A11" s="1"/>
      <c r="B11" s="44"/>
      <c r="C11" s="45"/>
      <c r="D11" s="46"/>
      <c r="E11" s="41"/>
      <c r="F11" s="42"/>
      <c r="G11" s="47"/>
      <c r="H11" s="2"/>
      <c r="I11" s="8"/>
      <c r="J11" s="13" t="s">
        <v>31</v>
      </c>
      <c r="K11" s="13" t="s">
        <v>32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outlineLevel="1">
      <c r="A12" s="1"/>
      <c r="B12" s="44"/>
      <c r="C12" s="45"/>
      <c r="D12" s="48"/>
      <c r="E12" s="41"/>
      <c r="F12" s="42"/>
      <c r="G12" s="47"/>
      <c r="H12" s="2"/>
      <c r="I12" s="8"/>
      <c r="J12" s="13" t="s">
        <v>33</v>
      </c>
      <c r="K12" s="49" t="s">
        <v>34</v>
      </c>
      <c r="L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outlineLevel="1">
      <c r="A13" s="3"/>
      <c r="B13" s="18" t="s">
        <v>35</v>
      </c>
      <c r="C13" s="50"/>
      <c r="D13" s="51"/>
      <c r="E13" s="52"/>
      <c r="F13" s="53"/>
      <c r="G13" s="51"/>
      <c r="H13" s="54"/>
      <c r="I13" s="55"/>
      <c r="J13" s="13" t="s">
        <v>36</v>
      </c>
      <c r="K13" s="49" t="s">
        <v>37</v>
      </c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 outlineLevel="1">
      <c r="A14" s="3"/>
      <c r="B14" s="18" t="s">
        <v>38</v>
      </c>
      <c r="C14" s="50"/>
      <c r="D14" s="56"/>
      <c r="E14" s="57"/>
      <c r="F14" s="58"/>
      <c r="G14" s="58"/>
      <c r="H14" s="59"/>
      <c r="I14" s="60"/>
      <c r="J14" s="13" t="s">
        <v>39</v>
      </c>
      <c r="K14" s="49" t="s">
        <v>40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3.5" customHeight="1" outlineLevel="1">
      <c r="A15" s="3"/>
      <c r="B15" s="18"/>
      <c r="C15" s="50"/>
      <c r="D15" s="56"/>
      <c r="E15" s="57"/>
      <c r="F15" s="58"/>
      <c r="G15" s="58"/>
      <c r="H15" s="54"/>
      <c r="I15" s="6"/>
      <c r="J15" s="13" t="s">
        <v>41</v>
      </c>
      <c r="K15" s="49" t="s">
        <v>42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3.5" customHeight="1" outlineLevel="1">
      <c r="A16" s="3"/>
      <c r="B16" s="18"/>
      <c r="C16" s="50"/>
      <c r="D16" s="56"/>
      <c r="E16" s="57"/>
      <c r="F16" s="58"/>
      <c r="G16" s="58"/>
      <c r="H16" s="54"/>
      <c r="I16" s="6"/>
      <c r="J16" s="13" t="s">
        <v>75</v>
      </c>
      <c r="K16" s="49" t="s">
        <v>76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3.5" customHeight="1">
      <c r="A17" s="1"/>
      <c r="B17" s="2"/>
      <c r="C17" s="2"/>
      <c r="D17" s="1"/>
      <c r="E17" s="61"/>
      <c r="F17" s="1"/>
      <c r="G17" s="1"/>
      <c r="H17" s="2"/>
      <c r="I17" s="62"/>
      <c r="J17" s="83" t="s">
        <v>77</v>
      </c>
      <c r="K17" s="84" t="s">
        <v>78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>
      <c r="A18" s="6"/>
      <c r="B18" s="63" t="s">
        <v>43</v>
      </c>
      <c r="C18" s="63"/>
      <c r="D18" s="63"/>
      <c r="E18" s="64"/>
      <c r="F18" s="64"/>
      <c r="G18" s="63"/>
      <c r="H18" s="63"/>
      <c r="I18" s="65"/>
      <c r="J18" s="1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3.5" customHeight="1">
      <c r="A19" s="21"/>
      <c r="B19" s="67" t="s">
        <v>6</v>
      </c>
      <c r="C19" s="67" t="s">
        <v>44</v>
      </c>
      <c r="D19" s="67" t="s">
        <v>45</v>
      </c>
      <c r="E19" s="67" t="s">
        <v>46</v>
      </c>
      <c r="F19" s="67" t="s">
        <v>47</v>
      </c>
      <c r="G19" s="68" t="s">
        <v>48</v>
      </c>
      <c r="H19" s="66" t="s">
        <v>1</v>
      </c>
      <c r="I19" s="69"/>
      <c r="J19" s="1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0" customHeight="1">
      <c r="A20" s="8"/>
      <c r="B20" s="85" t="str">
        <f>B6</f>
        <v>신한 #672</v>
      </c>
      <c r="C20" s="71" t="s">
        <v>79</v>
      </c>
      <c r="D20" s="71" t="s">
        <v>57</v>
      </c>
      <c r="E20" s="72">
        <v>0.0</v>
      </c>
      <c r="F20" s="72">
        <v>177040.0</v>
      </c>
      <c r="G20" s="71" t="s">
        <v>80</v>
      </c>
      <c r="H20" s="74" t="s">
        <v>31</v>
      </c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0" customHeight="1">
      <c r="A21" s="8"/>
      <c r="B21" s="85" t="str">
        <f>B6</f>
        <v>신한 #672</v>
      </c>
      <c r="C21" s="71" t="s">
        <v>81</v>
      </c>
      <c r="D21" s="71" t="s">
        <v>57</v>
      </c>
      <c r="E21" s="72">
        <v>0.0</v>
      </c>
      <c r="F21" s="72">
        <v>1770630.0</v>
      </c>
      <c r="G21" s="71" t="s">
        <v>82</v>
      </c>
      <c r="H21" s="74" t="s">
        <v>31</v>
      </c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0" customHeight="1">
      <c r="A22" s="8"/>
      <c r="B22" s="86" t="str">
        <f>B6</f>
        <v>신한 #672</v>
      </c>
      <c r="C22" s="71" t="s">
        <v>83</v>
      </c>
      <c r="D22" s="71" t="s">
        <v>84</v>
      </c>
      <c r="E22" s="72">
        <v>676.0</v>
      </c>
      <c r="F22" s="72">
        <v>0.0</v>
      </c>
      <c r="G22" s="71" t="s">
        <v>85</v>
      </c>
      <c r="H22" s="74" t="s">
        <v>75</v>
      </c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0" customHeight="1">
      <c r="A23" s="8"/>
      <c r="B23" s="86" t="str">
        <f>B6</f>
        <v>신한 #672</v>
      </c>
      <c r="C23" s="71" t="s">
        <v>86</v>
      </c>
      <c r="D23" s="71" t="s">
        <v>57</v>
      </c>
      <c r="E23" s="72">
        <v>0.0</v>
      </c>
      <c r="F23" s="72">
        <v>3916500.0</v>
      </c>
      <c r="G23" s="71" t="s">
        <v>70</v>
      </c>
      <c r="H23" s="74" t="s">
        <v>16</v>
      </c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0" customHeight="1">
      <c r="A24" s="8"/>
      <c r="B24" s="86" t="str">
        <f>B6</f>
        <v>신한 #672</v>
      </c>
      <c r="C24" s="71" t="s">
        <v>87</v>
      </c>
      <c r="D24" s="71" t="s">
        <v>88</v>
      </c>
      <c r="E24" s="72">
        <v>0.0</v>
      </c>
      <c r="F24" s="72">
        <v>30000.0</v>
      </c>
      <c r="G24" s="71" t="s">
        <v>89</v>
      </c>
      <c r="H24" s="74" t="s">
        <v>29</v>
      </c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0" customHeight="1">
      <c r="A25" s="8"/>
      <c r="B25" s="86" t="str">
        <f>B6</f>
        <v>신한 #672</v>
      </c>
      <c r="C25" s="71" t="s">
        <v>90</v>
      </c>
      <c r="D25" s="71" t="s">
        <v>91</v>
      </c>
      <c r="E25" s="72">
        <v>1.28439661E8</v>
      </c>
      <c r="F25" s="72">
        <v>0.0</v>
      </c>
      <c r="G25" s="71" t="s">
        <v>92</v>
      </c>
      <c r="H25" s="74" t="s">
        <v>77</v>
      </c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0" customHeight="1">
      <c r="A26" s="8"/>
      <c r="B26" s="86" t="str">
        <f>B6</f>
        <v>신한 #672</v>
      </c>
      <c r="C26" s="71" t="s">
        <v>93</v>
      </c>
      <c r="D26" s="71" t="s">
        <v>88</v>
      </c>
      <c r="E26" s="72">
        <v>0.0</v>
      </c>
      <c r="F26" s="72">
        <v>5800.0</v>
      </c>
      <c r="G26" s="71" t="s">
        <v>94</v>
      </c>
      <c r="H26" s="74" t="s">
        <v>12</v>
      </c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0" customHeight="1">
      <c r="A27" s="8"/>
      <c r="B27" s="86" t="str">
        <f>B6</f>
        <v>신한 #672</v>
      </c>
      <c r="C27" s="71" t="s">
        <v>95</v>
      </c>
      <c r="D27" s="71" t="s">
        <v>88</v>
      </c>
      <c r="E27" s="72">
        <v>0.0</v>
      </c>
      <c r="F27" s="72">
        <v>10700.0</v>
      </c>
      <c r="G27" s="71" t="s">
        <v>96</v>
      </c>
      <c r="H27" s="74" t="s">
        <v>29</v>
      </c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0" customHeight="1">
      <c r="A28" s="8"/>
      <c r="B28" s="86" t="str">
        <f>B6</f>
        <v>신한 #672</v>
      </c>
      <c r="C28" s="71" t="s">
        <v>97</v>
      </c>
      <c r="D28" s="71" t="s">
        <v>88</v>
      </c>
      <c r="E28" s="72">
        <v>0.0</v>
      </c>
      <c r="F28" s="72">
        <v>7600.0</v>
      </c>
      <c r="G28" s="71" t="s">
        <v>98</v>
      </c>
      <c r="H28" s="74" t="s">
        <v>12</v>
      </c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0" customHeight="1">
      <c r="A29" s="8"/>
      <c r="B29" s="86" t="str">
        <f>B6</f>
        <v>신한 #672</v>
      </c>
      <c r="C29" s="71" t="s">
        <v>99</v>
      </c>
      <c r="D29" s="71" t="s">
        <v>88</v>
      </c>
      <c r="E29" s="72">
        <v>7600.0</v>
      </c>
      <c r="F29" s="72">
        <v>0.0</v>
      </c>
      <c r="G29" s="71" t="s">
        <v>98</v>
      </c>
      <c r="H29" s="74" t="s">
        <v>12</v>
      </c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0" customHeight="1">
      <c r="A30" s="8"/>
      <c r="B30" s="86" t="str">
        <f>B6</f>
        <v>신한 #672</v>
      </c>
      <c r="C30" s="71" t="s">
        <v>100</v>
      </c>
      <c r="D30" s="71" t="s">
        <v>88</v>
      </c>
      <c r="E30" s="72">
        <v>0.0</v>
      </c>
      <c r="F30" s="72">
        <v>3000.0</v>
      </c>
      <c r="G30" s="71" t="s">
        <v>101</v>
      </c>
      <c r="H30" s="74" t="s">
        <v>12</v>
      </c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0" customHeight="1">
      <c r="A31" s="8"/>
      <c r="B31" s="86" t="str">
        <f>B6</f>
        <v>신한 #672</v>
      </c>
      <c r="C31" s="71" t="s">
        <v>102</v>
      </c>
      <c r="D31" s="71" t="s">
        <v>88</v>
      </c>
      <c r="E31" s="72">
        <v>0.0</v>
      </c>
      <c r="F31" s="72">
        <v>4600.0</v>
      </c>
      <c r="G31" s="71" t="s">
        <v>101</v>
      </c>
      <c r="H31" s="74" t="s">
        <v>12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0" customHeight="1">
      <c r="A32" s="8"/>
      <c r="B32" s="86" t="str">
        <f>B6</f>
        <v>신한 #672</v>
      </c>
      <c r="C32" s="71" t="s">
        <v>103</v>
      </c>
      <c r="D32" s="71" t="s">
        <v>88</v>
      </c>
      <c r="E32" s="72">
        <v>0.0</v>
      </c>
      <c r="F32" s="72">
        <v>300000.0</v>
      </c>
      <c r="G32" s="71" t="s">
        <v>104</v>
      </c>
      <c r="H32" s="74" t="s">
        <v>29</v>
      </c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0" customHeight="1">
      <c r="A33" s="8"/>
      <c r="B33" s="86" t="str">
        <f>B6</f>
        <v>신한 #672</v>
      </c>
      <c r="C33" s="71" t="s">
        <v>105</v>
      </c>
      <c r="D33" s="71" t="s">
        <v>88</v>
      </c>
      <c r="E33" s="72">
        <v>0.0</v>
      </c>
      <c r="F33" s="72">
        <v>22600.0</v>
      </c>
      <c r="G33" s="71" t="s">
        <v>106</v>
      </c>
      <c r="H33" s="74" t="s">
        <v>12</v>
      </c>
      <c r="I33" s="1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0" customHeight="1">
      <c r="A34" s="8"/>
      <c r="B34" s="86" t="str">
        <f>B6</f>
        <v>신한 #672</v>
      </c>
      <c r="C34" s="71" t="s">
        <v>107</v>
      </c>
      <c r="D34" s="71" t="s">
        <v>88</v>
      </c>
      <c r="E34" s="72">
        <v>0.0</v>
      </c>
      <c r="F34" s="72">
        <v>16700.0</v>
      </c>
      <c r="G34" s="71" t="s">
        <v>108</v>
      </c>
      <c r="H34" s="74" t="s">
        <v>29</v>
      </c>
      <c r="I34" s="1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0" customHeight="1">
      <c r="A35" s="8"/>
      <c r="B35" s="86" t="str">
        <f>B6</f>
        <v>신한 #672</v>
      </c>
      <c r="C35" s="71" t="s">
        <v>109</v>
      </c>
      <c r="D35" s="71" t="s">
        <v>57</v>
      </c>
      <c r="E35" s="72">
        <v>0.0</v>
      </c>
      <c r="F35" s="72">
        <v>5739378.0</v>
      </c>
      <c r="G35" s="71" t="s">
        <v>110</v>
      </c>
      <c r="H35" s="74" t="s">
        <v>41</v>
      </c>
      <c r="I35" s="1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0" customHeight="1">
      <c r="A36" s="8"/>
      <c r="B36" s="86" t="str">
        <f>B6</f>
        <v>신한 #672</v>
      </c>
      <c r="C36" s="71" t="s">
        <v>111</v>
      </c>
      <c r="D36" s="71" t="s">
        <v>57</v>
      </c>
      <c r="E36" s="72">
        <v>0.0</v>
      </c>
      <c r="F36" s="72">
        <v>5434828.0</v>
      </c>
      <c r="G36" s="71" t="s">
        <v>112</v>
      </c>
      <c r="H36" s="74" t="s">
        <v>41</v>
      </c>
      <c r="I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0" customHeight="1">
      <c r="A37" s="8"/>
      <c r="B37" s="86" t="str">
        <f>B6</f>
        <v>신한 #672</v>
      </c>
      <c r="C37" s="71" t="s">
        <v>111</v>
      </c>
      <c r="D37" s="71" t="s">
        <v>57</v>
      </c>
      <c r="E37" s="72">
        <v>0.0</v>
      </c>
      <c r="F37" s="72">
        <v>6061058.0</v>
      </c>
      <c r="G37" s="71" t="s">
        <v>113</v>
      </c>
      <c r="H37" s="74" t="s">
        <v>41</v>
      </c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0" customHeight="1">
      <c r="A38" s="8"/>
      <c r="B38" s="86" t="str">
        <f>B6</f>
        <v>신한 #672</v>
      </c>
      <c r="C38" s="71" t="s">
        <v>114</v>
      </c>
      <c r="D38" s="71" t="s">
        <v>57</v>
      </c>
      <c r="E38" s="72">
        <v>0.0</v>
      </c>
      <c r="F38" s="72">
        <v>5646698.0</v>
      </c>
      <c r="G38" s="71" t="s">
        <v>115</v>
      </c>
      <c r="H38" s="74" t="s">
        <v>41</v>
      </c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0" customHeight="1">
      <c r="A39" s="8"/>
      <c r="B39" s="86" t="str">
        <f>B6</f>
        <v>신한 #672</v>
      </c>
      <c r="C39" s="71" t="s">
        <v>114</v>
      </c>
      <c r="D39" s="71" t="s">
        <v>57</v>
      </c>
      <c r="E39" s="72">
        <v>0.0</v>
      </c>
      <c r="F39" s="72">
        <v>2275450.0</v>
      </c>
      <c r="G39" s="71" t="s">
        <v>116</v>
      </c>
      <c r="H39" s="74" t="s">
        <v>41</v>
      </c>
      <c r="I39" s="1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0" customHeight="1">
      <c r="A40" s="8"/>
      <c r="B40" s="86" t="str">
        <f>B6</f>
        <v>신한 #672</v>
      </c>
      <c r="C40" s="71" t="s">
        <v>117</v>
      </c>
      <c r="D40" s="71" t="s">
        <v>57</v>
      </c>
      <c r="E40" s="72">
        <v>0.0</v>
      </c>
      <c r="F40" s="72">
        <v>4904960.0</v>
      </c>
      <c r="G40" s="71" t="s">
        <v>118</v>
      </c>
      <c r="H40" s="74" t="s">
        <v>41</v>
      </c>
      <c r="I40" s="1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0" customHeight="1">
      <c r="A41" s="8"/>
      <c r="B41" s="86" t="str">
        <f>B6</f>
        <v>신한 #672</v>
      </c>
      <c r="C41" s="71" t="s">
        <v>117</v>
      </c>
      <c r="D41" s="71" t="s">
        <v>57</v>
      </c>
      <c r="E41" s="72">
        <v>0.0</v>
      </c>
      <c r="F41" s="72">
        <v>2340480.0</v>
      </c>
      <c r="G41" s="71" t="s">
        <v>119</v>
      </c>
      <c r="H41" s="74" t="s">
        <v>41</v>
      </c>
      <c r="I41" s="1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0" customHeight="1">
      <c r="A42" s="8"/>
      <c r="B42" s="86" t="str">
        <f>B6</f>
        <v>신한 #672</v>
      </c>
      <c r="C42" s="71" t="s">
        <v>120</v>
      </c>
      <c r="D42" s="71" t="s">
        <v>57</v>
      </c>
      <c r="E42" s="72">
        <v>0.0</v>
      </c>
      <c r="F42" s="72">
        <v>1777491.0</v>
      </c>
      <c r="G42" s="71" t="s">
        <v>112</v>
      </c>
      <c r="H42" s="74" t="s">
        <v>41</v>
      </c>
      <c r="I42" s="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0" customHeight="1">
      <c r="A43" s="8"/>
      <c r="B43" s="86" t="str">
        <f>B6</f>
        <v>신한 #672</v>
      </c>
      <c r="C43" s="71" t="s">
        <v>121</v>
      </c>
      <c r="D43" s="71" t="s">
        <v>57</v>
      </c>
      <c r="E43" s="72">
        <v>0.0</v>
      </c>
      <c r="F43" s="72">
        <v>3396328.0</v>
      </c>
      <c r="G43" s="71" t="s">
        <v>122</v>
      </c>
      <c r="H43" s="74" t="s">
        <v>41</v>
      </c>
      <c r="I43" s="1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0" customHeight="1">
      <c r="A44" s="8"/>
      <c r="B44" s="86" t="str">
        <f>B6</f>
        <v>신한 #672</v>
      </c>
      <c r="C44" s="71" t="s">
        <v>121</v>
      </c>
      <c r="D44" s="71" t="s">
        <v>57</v>
      </c>
      <c r="E44" s="72">
        <v>0.0</v>
      </c>
      <c r="F44" s="72">
        <v>1012000.0</v>
      </c>
      <c r="G44" s="71" t="s">
        <v>115</v>
      </c>
      <c r="H44" s="74" t="s">
        <v>41</v>
      </c>
      <c r="I44" s="1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0" customHeight="1">
      <c r="A45" s="8"/>
      <c r="B45" s="86" t="str">
        <f>B6</f>
        <v>신한 #672</v>
      </c>
      <c r="C45" s="71" t="s">
        <v>123</v>
      </c>
      <c r="D45" s="71" t="s">
        <v>88</v>
      </c>
      <c r="E45" s="72">
        <v>0.0</v>
      </c>
      <c r="F45" s="72">
        <v>100000.0</v>
      </c>
      <c r="G45" s="71" t="s">
        <v>124</v>
      </c>
      <c r="H45" s="74" t="s">
        <v>29</v>
      </c>
      <c r="I45" s="1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0" customHeight="1">
      <c r="A46" s="8"/>
      <c r="B46" s="86" t="str">
        <f>B6</f>
        <v>신한 #672</v>
      </c>
      <c r="C46" s="71" t="s">
        <v>125</v>
      </c>
      <c r="D46" s="71" t="s">
        <v>88</v>
      </c>
      <c r="E46" s="72">
        <v>0.0</v>
      </c>
      <c r="F46" s="72">
        <v>43000.0</v>
      </c>
      <c r="G46" s="71" t="s">
        <v>126</v>
      </c>
      <c r="H46" s="74" t="s">
        <v>29</v>
      </c>
      <c r="I46" s="1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0" customHeight="1">
      <c r="A47" s="8"/>
      <c r="B47" s="86" t="str">
        <f>B6</f>
        <v>신한 #672</v>
      </c>
      <c r="C47" s="71" t="s">
        <v>127</v>
      </c>
      <c r="D47" s="71" t="s">
        <v>88</v>
      </c>
      <c r="E47" s="72">
        <v>0.0</v>
      </c>
      <c r="F47" s="72">
        <v>75000.0</v>
      </c>
      <c r="G47" s="71" t="s">
        <v>128</v>
      </c>
      <c r="H47" s="74" t="s">
        <v>29</v>
      </c>
      <c r="I47" s="1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0" customHeight="1">
      <c r="A48" s="8"/>
      <c r="B48" s="86" t="str">
        <f>B6</f>
        <v>신한 #672</v>
      </c>
      <c r="C48" s="71" t="s">
        <v>129</v>
      </c>
      <c r="D48" s="71" t="s">
        <v>88</v>
      </c>
      <c r="E48" s="72">
        <v>0.0</v>
      </c>
      <c r="F48" s="72">
        <v>7200.0</v>
      </c>
      <c r="G48" s="71" t="s">
        <v>130</v>
      </c>
      <c r="H48" s="74" t="s">
        <v>29</v>
      </c>
      <c r="I48" s="1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0" customHeight="1">
      <c r="A49" s="8"/>
      <c r="B49" s="86" t="str">
        <f>B6</f>
        <v>신한 #672</v>
      </c>
      <c r="C49" s="71" t="s">
        <v>131</v>
      </c>
      <c r="D49" s="71" t="s">
        <v>88</v>
      </c>
      <c r="E49" s="72">
        <v>0.0</v>
      </c>
      <c r="F49" s="72">
        <v>8187.0</v>
      </c>
      <c r="G49" s="71" t="s">
        <v>132</v>
      </c>
      <c r="H49" s="74" t="s">
        <v>12</v>
      </c>
      <c r="I49" s="1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0" customHeight="1">
      <c r="A50" s="8"/>
      <c r="B50" s="86" t="str">
        <f>B6</f>
        <v>신한 #672</v>
      </c>
      <c r="C50" s="71" t="s">
        <v>133</v>
      </c>
      <c r="D50" s="71" t="s">
        <v>88</v>
      </c>
      <c r="E50" s="72">
        <v>0.0</v>
      </c>
      <c r="F50" s="72">
        <v>5600.0</v>
      </c>
      <c r="G50" s="71" t="s">
        <v>134</v>
      </c>
      <c r="H50" s="74" t="s">
        <v>12</v>
      </c>
      <c r="I50" s="1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0" customHeight="1">
      <c r="A51" s="8"/>
      <c r="B51" s="86" t="str">
        <f>B6</f>
        <v>신한 #672</v>
      </c>
      <c r="C51" s="71" t="s">
        <v>135</v>
      </c>
      <c r="D51" s="71" t="s">
        <v>88</v>
      </c>
      <c r="E51" s="72">
        <v>0.0</v>
      </c>
      <c r="F51" s="72">
        <v>54816.0</v>
      </c>
      <c r="G51" s="71" t="s">
        <v>136</v>
      </c>
      <c r="H51" s="74" t="s">
        <v>12</v>
      </c>
      <c r="I51" s="1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0" customHeight="1">
      <c r="A52" s="8"/>
      <c r="B52" s="86" t="str">
        <f>B6</f>
        <v>신한 #672</v>
      </c>
      <c r="C52" s="71" t="s">
        <v>137</v>
      </c>
      <c r="D52" s="71" t="s">
        <v>88</v>
      </c>
      <c r="E52" s="72">
        <v>0.0</v>
      </c>
      <c r="F52" s="72">
        <v>4251.0</v>
      </c>
      <c r="G52" s="71" t="s">
        <v>138</v>
      </c>
      <c r="H52" s="74" t="s">
        <v>12</v>
      </c>
      <c r="I52" s="1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0" customHeight="1">
      <c r="A53" s="8"/>
      <c r="B53" s="86" t="str">
        <f>B6</f>
        <v>신한 #672</v>
      </c>
      <c r="C53" s="71" t="s">
        <v>139</v>
      </c>
      <c r="D53" s="71" t="s">
        <v>88</v>
      </c>
      <c r="E53" s="72">
        <v>0.0</v>
      </c>
      <c r="F53" s="72">
        <v>1036073.0</v>
      </c>
      <c r="G53" s="71" t="s">
        <v>140</v>
      </c>
      <c r="H53" s="74" t="s">
        <v>12</v>
      </c>
      <c r="I53" s="1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0" customHeight="1">
      <c r="A54" s="8"/>
      <c r="B54" s="86" t="str">
        <f>B6</f>
        <v>신한 #672</v>
      </c>
      <c r="C54" s="71" t="s">
        <v>141</v>
      </c>
      <c r="D54" s="71" t="s">
        <v>57</v>
      </c>
      <c r="E54" s="72">
        <v>0.0</v>
      </c>
      <c r="F54" s="72">
        <v>955300.0</v>
      </c>
      <c r="G54" s="71" t="s">
        <v>142</v>
      </c>
      <c r="H54" s="74" t="s">
        <v>39</v>
      </c>
      <c r="I54" s="1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0" customHeight="1">
      <c r="A55" s="8"/>
      <c r="B55" s="86" t="str">
        <f>B6</f>
        <v>신한 #672</v>
      </c>
      <c r="C55" s="71" t="s">
        <v>143</v>
      </c>
      <c r="D55" s="71" t="s">
        <v>88</v>
      </c>
      <c r="E55" s="72">
        <v>0.0</v>
      </c>
      <c r="F55" s="72">
        <v>3981.0</v>
      </c>
      <c r="G55" s="71" t="s">
        <v>144</v>
      </c>
      <c r="H55" s="74" t="s">
        <v>12</v>
      </c>
      <c r="I55" s="1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0" customHeight="1">
      <c r="A56" s="8"/>
      <c r="B56" s="86" t="str">
        <f>B6</f>
        <v>신한 #672</v>
      </c>
      <c r="C56" s="71" t="s">
        <v>145</v>
      </c>
      <c r="D56" s="71" t="s">
        <v>88</v>
      </c>
      <c r="E56" s="72">
        <v>0.0</v>
      </c>
      <c r="F56" s="72">
        <v>13500.0</v>
      </c>
      <c r="G56" s="71" t="s">
        <v>146</v>
      </c>
      <c r="H56" s="74" t="s">
        <v>29</v>
      </c>
      <c r="I56" s="1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0" customHeight="1">
      <c r="A57" s="8"/>
      <c r="B57" s="86" t="str">
        <f>B6</f>
        <v>신한 #672</v>
      </c>
      <c r="C57" s="71" t="s">
        <v>147</v>
      </c>
      <c r="D57" s="71" t="s">
        <v>88</v>
      </c>
      <c r="E57" s="72">
        <v>0.0</v>
      </c>
      <c r="F57" s="72">
        <v>24569.0</v>
      </c>
      <c r="G57" s="71" t="s">
        <v>148</v>
      </c>
      <c r="H57" s="74" t="s">
        <v>12</v>
      </c>
      <c r="I57" s="1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0" customHeight="1">
      <c r="A58" s="8"/>
      <c r="B58" s="86" t="str">
        <f>B6</f>
        <v>신한 #672</v>
      </c>
      <c r="C58" s="71" t="s">
        <v>149</v>
      </c>
      <c r="D58" s="71" t="s">
        <v>88</v>
      </c>
      <c r="E58" s="72">
        <v>0.0</v>
      </c>
      <c r="F58" s="72">
        <v>3641.0</v>
      </c>
      <c r="G58" s="71" t="s">
        <v>150</v>
      </c>
      <c r="H58" s="74" t="s">
        <v>12</v>
      </c>
      <c r="I58" s="1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0" customHeight="1">
      <c r="A59" s="8"/>
      <c r="B59" s="86" t="str">
        <f>B6</f>
        <v>신한 #672</v>
      </c>
      <c r="C59" s="71" t="s">
        <v>151</v>
      </c>
      <c r="D59" s="71" t="s">
        <v>88</v>
      </c>
      <c r="E59" s="72">
        <v>0.0</v>
      </c>
      <c r="F59" s="72">
        <v>29537.0</v>
      </c>
      <c r="G59" s="71" t="s">
        <v>152</v>
      </c>
      <c r="H59" s="74" t="s">
        <v>12</v>
      </c>
      <c r="I59" s="1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0" customHeight="1">
      <c r="A60" s="8"/>
      <c r="B60" s="86" t="str">
        <f>B6</f>
        <v>신한 #672</v>
      </c>
      <c r="C60" s="71" t="s">
        <v>153</v>
      </c>
      <c r="D60" s="71" t="s">
        <v>88</v>
      </c>
      <c r="E60" s="72">
        <v>0.0</v>
      </c>
      <c r="F60" s="72">
        <v>7705.0</v>
      </c>
      <c r="G60" s="71" t="s">
        <v>154</v>
      </c>
      <c r="H60" s="74" t="s">
        <v>12</v>
      </c>
      <c r="I60" s="1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0" customHeight="1">
      <c r="A61" s="8"/>
      <c r="B61" s="86" t="str">
        <f>B6</f>
        <v>신한 #672</v>
      </c>
      <c r="C61" s="71" t="s">
        <v>155</v>
      </c>
      <c r="D61" s="71" t="s">
        <v>88</v>
      </c>
      <c r="E61" s="72">
        <v>0.0</v>
      </c>
      <c r="F61" s="72">
        <v>13412.0</v>
      </c>
      <c r="G61" s="71" t="s">
        <v>156</v>
      </c>
      <c r="H61" s="74" t="s">
        <v>12</v>
      </c>
      <c r="I61" s="1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0" customHeight="1">
      <c r="A62" s="8"/>
      <c r="B62" s="86" t="str">
        <f>B6</f>
        <v>신한 #672</v>
      </c>
      <c r="C62" s="71" t="s">
        <v>157</v>
      </c>
      <c r="D62" s="71" t="s">
        <v>88</v>
      </c>
      <c r="E62" s="72">
        <v>0.0</v>
      </c>
      <c r="F62" s="72">
        <v>104740.0</v>
      </c>
      <c r="G62" s="71" t="s">
        <v>158</v>
      </c>
      <c r="H62" s="74" t="s">
        <v>12</v>
      </c>
      <c r="I62" s="1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0" customHeight="1">
      <c r="A63" s="8"/>
      <c r="B63" s="86" t="str">
        <f>B6</f>
        <v>신한 #672</v>
      </c>
      <c r="C63" s="71" t="s">
        <v>159</v>
      </c>
      <c r="D63" s="71" t="s">
        <v>88</v>
      </c>
      <c r="E63" s="72">
        <v>0.0</v>
      </c>
      <c r="F63" s="72">
        <v>15000.0</v>
      </c>
      <c r="G63" s="71" t="s">
        <v>160</v>
      </c>
      <c r="H63" s="74" t="s">
        <v>29</v>
      </c>
      <c r="I63" s="1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0" customHeight="1">
      <c r="A64" s="8"/>
      <c r="B64" s="86" t="str">
        <f>B6</f>
        <v>신한 #672</v>
      </c>
      <c r="C64" s="71" t="s">
        <v>161</v>
      </c>
      <c r="D64" s="71" t="s">
        <v>88</v>
      </c>
      <c r="E64" s="72">
        <v>0.0</v>
      </c>
      <c r="F64" s="72">
        <v>6571.0</v>
      </c>
      <c r="G64" s="71" t="s">
        <v>162</v>
      </c>
      <c r="H64" s="74" t="s">
        <v>12</v>
      </c>
      <c r="I64" s="1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0" customHeight="1">
      <c r="A65" s="8"/>
      <c r="B65" s="86" t="str">
        <f>B6</f>
        <v>신한 #672</v>
      </c>
      <c r="C65" s="71" t="s">
        <v>163</v>
      </c>
      <c r="D65" s="71" t="s">
        <v>88</v>
      </c>
      <c r="E65" s="72">
        <v>0.0</v>
      </c>
      <c r="F65" s="72">
        <v>169000.0</v>
      </c>
      <c r="G65" s="71" t="s">
        <v>164</v>
      </c>
      <c r="H65" s="74" t="s">
        <v>29</v>
      </c>
      <c r="I65" s="1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0" customHeight="1">
      <c r="A66" s="8"/>
      <c r="B66" s="86" t="str">
        <f>B6</f>
        <v>신한 #672</v>
      </c>
      <c r="C66" s="71" t="s">
        <v>165</v>
      </c>
      <c r="D66" s="71" t="s">
        <v>88</v>
      </c>
      <c r="E66" s="72">
        <v>0.0</v>
      </c>
      <c r="F66" s="72">
        <v>47439.0</v>
      </c>
      <c r="G66" s="71" t="s">
        <v>166</v>
      </c>
      <c r="H66" s="74" t="s">
        <v>12</v>
      </c>
      <c r="I66" s="1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0" customHeight="1">
      <c r="A67" s="8"/>
      <c r="B67" s="86" t="str">
        <f>B6</f>
        <v>신한 #672</v>
      </c>
      <c r="C67" s="71" t="s">
        <v>167</v>
      </c>
      <c r="D67" s="71" t="s">
        <v>88</v>
      </c>
      <c r="E67" s="72">
        <v>0.0</v>
      </c>
      <c r="F67" s="72">
        <v>82000.0</v>
      </c>
      <c r="G67" s="71" t="s">
        <v>168</v>
      </c>
      <c r="H67" s="74" t="s">
        <v>29</v>
      </c>
      <c r="I67" s="1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0" customHeight="1">
      <c r="A68" s="8"/>
      <c r="B68" s="87"/>
      <c r="C68" s="77"/>
      <c r="D68" s="78"/>
      <c r="E68" s="79"/>
      <c r="F68" s="79"/>
      <c r="G68" s="77"/>
      <c r="H68" s="76"/>
      <c r="I68" s="1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0" customHeight="1">
      <c r="A69" s="8"/>
      <c r="B69" s="76"/>
      <c r="C69" s="80"/>
      <c r="D69" s="81"/>
      <c r="E69" s="82"/>
      <c r="F69" s="82"/>
      <c r="G69" s="80"/>
      <c r="H69" s="76"/>
      <c r="I69" s="1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0" customHeight="1">
      <c r="A70" s="8"/>
      <c r="B70" s="76"/>
      <c r="C70" s="80"/>
      <c r="D70" s="81"/>
      <c r="E70" s="82"/>
      <c r="F70" s="82"/>
      <c r="G70" s="80"/>
      <c r="H70" s="76"/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0" customHeight="1">
      <c r="A71" s="8"/>
      <c r="B71" s="76"/>
      <c r="C71" s="80"/>
      <c r="D71" s="81"/>
      <c r="E71" s="82"/>
      <c r="F71" s="82"/>
      <c r="G71" s="80"/>
      <c r="H71" s="76"/>
      <c r="I71" s="1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0" customHeight="1">
      <c r="A72" s="8"/>
      <c r="B72" s="76"/>
      <c r="C72" s="80"/>
      <c r="D72" s="81"/>
      <c r="E72" s="82"/>
      <c r="F72" s="82"/>
      <c r="G72" s="80"/>
      <c r="H72" s="76"/>
      <c r="I72" s="1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0" customHeight="1">
      <c r="A73" s="8"/>
      <c r="B73" s="76"/>
      <c r="C73" s="80"/>
      <c r="D73" s="81"/>
      <c r="E73" s="82"/>
      <c r="F73" s="82"/>
      <c r="G73" s="80"/>
      <c r="H73" s="76"/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0" customHeight="1">
      <c r="A74" s="8"/>
      <c r="B74" s="76"/>
      <c r="C74" s="80"/>
      <c r="D74" s="81"/>
      <c r="E74" s="82"/>
      <c r="F74" s="82"/>
      <c r="G74" s="80"/>
      <c r="H74" s="76"/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0" customHeight="1">
      <c r="A75" s="8"/>
      <c r="B75" s="76"/>
      <c r="C75" s="80"/>
      <c r="D75" s="81"/>
      <c r="E75" s="82"/>
      <c r="F75" s="82"/>
      <c r="G75" s="80"/>
      <c r="H75" s="76"/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0" customHeight="1">
      <c r="A76" s="8"/>
      <c r="B76" s="76"/>
      <c r="C76" s="80"/>
      <c r="D76" s="81"/>
      <c r="E76" s="82"/>
      <c r="F76" s="82"/>
      <c r="G76" s="80"/>
      <c r="H76" s="76"/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0" customHeight="1">
      <c r="A77" s="8"/>
      <c r="B77" s="76"/>
      <c r="C77" s="80"/>
      <c r="D77" s="81"/>
      <c r="E77" s="82"/>
      <c r="F77" s="82"/>
      <c r="G77" s="80"/>
      <c r="H77" s="76"/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0" customHeight="1">
      <c r="A78" s="8"/>
      <c r="B78" s="76"/>
      <c r="C78" s="80"/>
      <c r="D78" s="81"/>
      <c r="E78" s="82"/>
      <c r="F78" s="82"/>
      <c r="G78" s="80"/>
      <c r="H78" s="76"/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0" customHeight="1">
      <c r="A79" s="8"/>
      <c r="B79" s="76"/>
      <c r="C79" s="80"/>
      <c r="D79" s="81"/>
      <c r="E79" s="82"/>
      <c r="F79" s="82"/>
      <c r="G79" s="80"/>
      <c r="H79" s="76"/>
      <c r="I79" s="1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0" customHeight="1">
      <c r="A80" s="8"/>
      <c r="B80" s="76"/>
      <c r="C80" s="80"/>
      <c r="D80" s="81"/>
      <c r="E80" s="82"/>
      <c r="F80" s="82"/>
      <c r="G80" s="80"/>
      <c r="H80" s="76"/>
      <c r="I80" s="1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0" customHeight="1">
      <c r="A81" s="8"/>
      <c r="B81" s="76"/>
      <c r="C81" s="80"/>
      <c r="D81" s="81"/>
      <c r="E81" s="82"/>
      <c r="F81" s="82"/>
      <c r="G81" s="80"/>
      <c r="H81" s="76"/>
      <c r="I81" s="1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0" customHeight="1">
      <c r="A82" s="8"/>
      <c r="B82" s="76"/>
      <c r="C82" s="80"/>
      <c r="D82" s="81"/>
      <c r="E82" s="82"/>
      <c r="F82" s="82"/>
      <c r="G82" s="80"/>
      <c r="H82" s="76"/>
      <c r="I82" s="1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0" customHeight="1">
      <c r="A83" s="8"/>
      <c r="B83" s="76"/>
      <c r="C83" s="80"/>
      <c r="D83" s="81"/>
      <c r="E83" s="82"/>
      <c r="F83" s="82"/>
      <c r="G83" s="80"/>
      <c r="H83" s="76"/>
      <c r="I83" s="1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0" customHeight="1">
      <c r="A84" s="8"/>
      <c r="B84" s="76"/>
      <c r="C84" s="80"/>
      <c r="D84" s="81"/>
      <c r="E84" s="82"/>
      <c r="F84" s="82"/>
      <c r="G84" s="80"/>
      <c r="H84" s="76"/>
      <c r="I84" s="1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0" customHeight="1">
      <c r="A85" s="8"/>
      <c r="B85" s="76"/>
      <c r="C85" s="80"/>
      <c r="D85" s="81"/>
      <c r="E85" s="82"/>
      <c r="F85" s="82"/>
      <c r="G85" s="80"/>
      <c r="H85" s="76"/>
      <c r="I85" s="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0" customHeight="1">
      <c r="A86" s="8"/>
      <c r="B86" s="76"/>
      <c r="C86" s="80"/>
      <c r="D86" s="81"/>
      <c r="E86" s="82"/>
      <c r="F86" s="82"/>
      <c r="G86" s="80"/>
      <c r="H86" s="76"/>
      <c r="I86" s="1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0" customHeight="1">
      <c r="A87" s="8"/>
      <c r="B87" s="76"/>
      <c r="C87" s="80"/>
      <c r="D87" s="81"/>
      <c r="E87" s="82"/>
      <c r="F87" s="82"/>
      <c r="G87" s="80"/>
      <c r="H87" s="76"/>
      <c r="I87" s="1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0" customHeight="1">
      <c r="A88" s="8"/>
      <c r="B88" s="76"/>
      <c r="C88" s="80"/>
      <c r="D88" s="81"/>
      <c r="E88" s="82"/>
      <c r="F88" s="82"/>
      <c r="G88" s="80"/>
      <c r="H88" s="76"/>
      <c r="I88" s="1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0" customHeight="1">
      <c r="A89" s="8"/>
      <c r="B89" s="76"/>
      <c r="C89" s="80"/>
      <c r="D89" s="81"/>
      <c r="E89" s="82"/>
      <c r="F89" s="82"/>
      <c r="G89" s="80"/>
      <c r="H89" s="76"/>
      <c r="I89" s="1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0" customHeight="1">
      <c r="A90" s="8"/>
      <c r="B90" s="76"/>
      <c r="C90" s="80"/>
      <c r="D90" s="81"/>
      <c r="E90" s="82"/>
      <c r="F90" s="82"/>
      <c r="G90" s="80"/>
      <c r="H90" s="76"/>
      <c r="I90" s="1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0" customHeight="1">
      <c r="A91" s="8"/>
      <c r="B91" s="76"/>
      <c r="C91" s="80"/>
      <c r="D91" s="81"/>
      <c r="E91" s="82"/>
      <c r="F91" s="82"/>
      <c r="G91" s="80"/>
      <c r="H91" s="76"/>
      <c r="I91" s="1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0" customHeight="1">
      <c r="A92" s="8"/>
      <c r="B92" s="76"/>
      <c r="C92" s="80"/>
      <c r="D92" s="81"/>
      <c r="E92" s="82"/>
      <c r="F92" s="82"/>
      <c r="G92" s="80"/>
      <c r="H92" s="76"/>
      <c r="I92" s="1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0" customHeight="1">
      <c r="A93" s="8"/>
      <c r="B93" s="76"/>
      <c r="C93" s="80"/>
      <c r="D93" s="81"/>
      <c r="E93" s="82"/>
      <c r="F93" s="82"/>
      <c r="G93" s="80"/>
      <c r="H93" s="76"/>
      <c r="I93" s="1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0" customHeight="1">
      <c r="A94" s="8"/>
      <c r="B94" s="76"/>
      <c r="C94" s="80"/>
      <c r="D94" s="81"/>
      <c r="E94" s="82"/>
      <c r="F94" s="82"/>
      <c r="G94" s="80"/>
      <c r="H94" s="76"/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0" customHeight="1">
      <c r="A95" s="8"/>
      <c r="B95" s="76"/>
      <c r="C95" s="80"/>
      <c r="D95" s="81"/>
      <c r="E95" s="82"/>
      <c r="F95" s="82"/>
      <c r="G95" s="80"/>
      <c r="H95" s="76"/>
      <c r="I95" s="1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0" customHeight="1">
      <c r="A96" s="8"/>
      <c r="B96" s="76"/>
      <c r="C96" s="80"/>
      <c r="D96" s="81"/>
      <c r="E96" s="82"/>
      <c r="F96" s="82"/>
      <c r="G96" s="80"/>
      <c r="H96" s="76"/>
      <c r="I96" s="1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0" customHeight="1">
      <c r="A97" s="8"/>
      <c r="B97" s="76"/>
      <c r="C97" s="80"/>
      <c r="D97" s="81"/>
      <c r="E97" s="82"/>
      <c r="F97" s="82"/>
      <c r="G97" s="80"/>
      <c r="H97" s="76"/>
      <c r="I97" s="1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0" customHeight="1">
      <c r="A98" s="8"/>
      <c r="B98" s="76"/>
      <c r="C98" s="80"/>
      <c r="D98" s="81"/>
      <c r="E98" s="82"/>
      <c r="F98" s="82"/>
      <c r="G98" s="80"/>
      <c r="H98" s="76"/>
      <c r="I98" s="1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0" customHeight="1">
      <c r="A99" s="8"/>
      <c r="B99" s="76"/>
      <c r="C99" s="80"/>
      <c r="D99" s="81"/>
      <c r="E99" s="82"/>
      <c r="F99" s="82"/>
      <c r="G99" s="80"/>
      <c r="H99" s="76"/>
      <c r="I99" s="1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0" customHeight="1">
      <c r="A100" s="8"/>
      <c r="B100" s="76"/>
      <c r="C100" s="80"/>
      <c r="D100" s="81"/>
      <c r="E100" s="82"/>
      <c r="F100" s="82"/>
      <c r="G100" s="80"/>
      <c r="H100" s="76"/>
      <c r="I100" s="1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0" customHeight="1">
      <c r="A101" s="8"/>
      <c r="B101" s="76"/>
      <c r="C101" s="80"/>
      <c r="D101" s="81"/>
      <c r="E101" s="82"/>
      <c r="F101" s="82"/>
      <c r="G101" s="80"/>
      <c r="H101" s="76"/>
      <c r="I101" s="1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0" customHeight="1">
      <c r="A102" s="8"/>
      <c r="B102" s="76"/>
      <c r="C102" s="80"/>
      <c r="D102" s="81"/>
      <c r="E102" s="82"/>
      <c r="F102" s="82"/>
      <c r="G102" s="80"/>
      <c r="H102" s="76"/>
      <c r="I102" s="1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0" customHeight="1">
      <c r="A103" s="8"/>
      <c r="B103" s="76"/>
      <c r="C103" s="80"/>
      <c r="D103" s="81"/>
      <c r="E103" s="82"/>
      <c r="F103" s="82"/>
      <c r="G103" s="80"/>
      <c r="H103" s="76"/>
      <c r="I103" s="1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0" customHeight="1">
      <c r="A104" s="8"/>
      <c r="B104" s="76"/>
      <c r="C104" s="80"/>
      <c r="D104" s="81"/>
      <c r="E104" s="82"/>
      <c r="F104" s="82"/>
      <c r="G104" s="80"/>
      <c r="H104" s="76"/>
      <c r="I104" s="1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0" customHeight="1">
      <c r="A105" s="8"/>
      <c r="B105" s="76"/>
      <c r="C105" s="80"/>
      <c r="D105" s="81"/>
      <c r="E105" s="82"/>
      <c r="F105" s="82"/>
      <c r="G105" s="80"/>
      <c r="H105" s="76"/>
      <c r="I105" s="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0" customHeight="1">
      <c r="A106" s="8"/>
      <c r="B106" s="76"/>
      <c r="C106" s="80"/>
      <c r="D106" s="81"/>
      <c r="E106" s="82"/>
      <c r="F106" s="82"/>
      <c r="G106" s="80"/>
      <c r="H106" s="76"/>
      <c r="I106" s="1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0" customHeight="1">
      <c r="A107" s="8"/>
      <c r="B107" s="76"/>
      <c r="C107" s="80"/>
      <c r="D107" s="81"/>
      <c r="E107" s="82"/>
      <c r="F107" s="82"/>
      <c r="G107" s="80"/>
      <c r="H107" s="76"/>
      <c r="I107" s="1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0" customHeight="1">
      <c r="A108" s="8"/>
      <c r="B108" s="76"/>
      <c r="C108" s="80"/>
      <c r="D108" s="81"/>
      <c r="E108" s="82"/>
      <c r="F108" s="82"/>
      <c r="G108" s="80"/>
      <c r="H108" s="76"/>
      <c r="I108" s="1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0" customHeight="1">
      <c r="A109" s="8"/>
      <c r="B109" s="76"/>
      <c r="C109" s="80"/>
      <c r="D109" s="81"/>
      <c r="E109" s="82"/>
      <c r="F109" s="82"/>
      <c r="G109" s="80"/>
      <c r="H109" s="76"/>
      <c r="I109" s="1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0" customHeight="1">
      <c r="A110" s="8"/>
      <c r="B110" s="76"/>
      <c r="C110" s="80"/>
      <c r="D110" s="81"/>
      <c r="E110" s="82"/>
      <c r="F110" s="82"/>
      <c r="G110" s="80"/>
      <c r="H110" s="76"/>
      <c r="I110" s="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0" customHeight="1">
      <c r="A111" s="8"/>
      <c r="B111" s="76"/>
      <c r="C111" s="80"/>
      <c r="D111" s="81"/>
      <c r="E111" s="82"/>
      <c r="F111" s="82"/>
      <c r="G111" s="80"/>
      <c r="H111" s="76"/>
      <c r="I111" s="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0" customHeight="1">
      <c r="A112" s="8"/>
      <c r="B112" s="76"/>
      <c r="C112" s="80"/>
      <c r="D112" s="81"/>
      <c r="E112" s="82"/>
      <c r="F112" s="82"/>
      <c r="G112" s="80"/>
      <c r="H112" s="76"/>
      <c r="I112" s="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0" customHeight="1">
      <c r="A113" s="8"/>
      <c r="B113" s="76"/>
      <c r="C113" s="80"/>
      <c r="D113" s="81"/>
      <c r="E113" s="82"/>
      <c r="F113" s="82"/>
      <c r="G113" s="80"/>
      <c r="H113" s="76"/>
      <c r="I113" s="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0" customHeight="1">
      <c r="A114" s="8"/>
      <c r="B114" s="76"/>
      <c r="C114" s="80"/>
      <c r="D114" s="81"/>
      <c r="E114" s="82"/>
      <c r="F114" s="82"/>
      <c r="G114" s="80"/>
      <c r="H114" s="76"/>
      <c r="I114" s="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0" customHeight="1">
      <c r="A115" s="8"/>
      <c r="B115" s="76"/>
      <c r="C115" s="80"/>
      <c r="D115" s="81"/>
      <c r="E115" s="82"/>
      <c r="F115" s="82"/>
      <c r="G115" s="80"/>
      <c r="H115" s="76"/>
      <c r="I115" s="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0" customHeight="1">
      <c r="A116" s="8"/>
      <c r="B116" s="76"/>
      <c r="C116" s="80"/>
      <c r="D116" s="81"/>
      <c r="E116" s="82"/>
      <c r="F116" s="82"/>
      <c r="G116" s="80"/>
      <c r="H116" s="76"/>
      <c r="I116" s="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0" customHeight="1">
      <c r="A117" s="8"/>
      <c r="B117" s="76"/>
      <c r="C117" s="80"/>
      <c r="D117" s="81"/>
      <c r="E117" s="82"/>
      <c r="F117" s="82"/>
      <c r="G117" s="80"/>
      <c r="H117" s="76"/>
      <c r="I117" s="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0" customHeight="1">
      <c r="A118" s="8"/>
      <c r="B118" s="76"/>
      <c r="C118" s="80"/>
      <c r="D118" s="81"/>
      <c r="E118" s="82"/>
      <c r="F118" s="82"/>
      <c r="G118" s="80"/>
      <c r="H118" s="76"/>
      <c r="I118" s="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0" customHeight="1">
      <c r="A119" s="8"/>
      <c r="B119" s="76"/>
      <c r="C119" s="80"/>
      <c r="D119" s="81"/>
      <c r="E119" s="82"/>
      <c r="F119" s="82"/>
      <c r="G119" s="80"/>
      <c r="H119" s="76"/>
      <c r="I119" s="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0" customHeight="1">
      <c r="A120" s="8"/>
      <c r="B120" s="76"/>
      <c r="C120" s="80"/>
      <c r="D120" s="81"/>
      <c r="E120" s="82"/>
      <c r="F120" s="82"/>
      <c r="G120" s="80"/>
      <c r="H120" s="76"/>
      <c r="I120" s="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0" customHeight="1">
      <c r="A121" s="8"/>
      <c r="B121" s="76"/>
      <c r="C121" s="80"/>
      <c r="D121" s="81"/>
      <c r="E121" s="82"/>
      <c r="F121" s="82"/>
      <c r="G121" s="80"/>
      <c r="H121" s="76"/>
      <c r="I121" s="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0" customHeight="1">
      <c r="A122" s="8"/>
      <c r="B122" s="76"/>
      <c r="C122" s="80"/>
      <c r="D122" s="81"/>
      <c r="E122" s="82"/>
      <c r="F122" s="82"/>
      <c r="G122" s="80"/>
      <c r="H122" s="76"/>
      <c r="I122" s="1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0" customHeight="1">
      <c r="A123" s="8"/>
      <c r="B123" s="76"/>
      <c r="C123" s="80"/>
      <c r="D123" s="81"/>
      <c r="E123" s="82"/>
      <c r="F123" s="82"/>
      <c r="G123" s="80"/>
      <c r="H123" s="76"/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0" customHeight="1">
      <c r="A124" s="8"/>
      <c r="B124" s="76"/>
      <c r="C124" s="80"/>
      <c r="D124" s="81"/>
      <c r="E124" s="82"/>
      <c r="F124" s="82"/>
      <c r="G124" s="80"/>
      <c r="H124" s="76"/>
      <c r="I124" s="1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0" customHeight="1">
      <c r="A125" s="8"/>
      <c r="B125" s="76"/>
      <c r="C125" s="80"/>
      <c r="D125" s="81"/>
      <c r="E125" s="82"/>
      <c r="F125" s="82"/>
      <c r="G125" s="80"/>
      <c r="H125" s="76"/>
      <c r="I125" s="1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0" customHeight="1">
      <c r="A126" s="8"/>
      <c r="B126" s="76"/>
      <c r="C126" s="80"/>
      <c r="D126" s="81"/>
      <c r="E126" s="82"/>
      <c r="F126" s="82"/>
      <c r="G126" s="80"/>
      <c r="H126" s="76"/>
      <c r="I126" s="1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0" customHeight="1">
      <c r="A127" s="8"/>
      <c r="B127" s="76"/>
      <c r="C127" s="80"/>
      <c r="D127" s="81"/>
      <c r="E127" s="82"/>
      <c r="F127" s="82"/>
      <c r="G127" s="80"/>
      <c r="H127" s="76"/>
      <c r="I127" s="1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0" customHeight="1">
      <c r="A128" s="8"/>
      <c r="B128" s="76"/>
      <c r="C128" s="80"/>
      <c r="D128" s="81"/>
      <c r="E128" s="82"/>
      <c r="F128" s="82"/>
      <c r="G128" s="80"/>
      <c r="H128" s="76"/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0" customHeight="1">
      <c r="A129" s="8"/>
      <c r="B129" s="76"/>
      <c r="C129" s="80"/>
      <c r="D129" s="81"/>
      <c r="E129" s="82"/>
      <c r="F129" s="82"/>
      <c r="G129" s="80"/>
      <c r="H129" s="76"/>
      <c r="I129" s="1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0" customHeight="1">
      <c r="A130" s="8"/>
      <c r="B130" s="76"/>
      <c r="C130" s="80"/>
      <c r="D130" s="81"/>
      <c r="E130" s="82"/>
      <c r="F130" s="82"/>
      <c r="G130" s="80"/>
      <c r="H130" s="76"/>
      <c r="I130" s="1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0" customHeight="1">
      <c r="A131" s="8"/>
      <c r="B131" s="76"/>
      <c r="C131" s="80"/>
      <c r="D131" s="81"/>
      <c r="E131" s="82"/>
      <c r="F131" s="82"/>
      <c r="G131" s="80"/>
      <c r="H131" s="76"/>
      <c r="I131" s="1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0" customHeight="1">
      <c r="A132" s="8"/>
      <c r="B132" s="76"/>
      <c r="C132" s="80"/>
      <c r="D132" s="81"/>
      <c r="E132" s="82"/>
      <c r="F132" s="82"/>
      <c r="G132" s="80"/>
      <c r="H132" s="76"/>
      <c r="I132" s="1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0" customHeight="1">
      <c r="A133" s="8"/>
      <c r="B133" s="76"/>
      <c r="C133" s="80"/>
      <c r="D133" s="81"/>
      <c r="E133" s="82"/>
      <c r="F133" s="82"/>
      <c r="G133" s="80"/>
      <c r="H133" s="76"/>
      <c r="I133" s="1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0" customHeight="1">
      <c r="A134" s="8"/>
      <c r="B134" s="76"/>
      <c r="C134" s="80"/>
      <c r="D134" s="81"/>
      <c r="E134" s="82"/>
      <c r="F134" s="82"/>
      <c r="G134" s="80"/>
      <c r="H134" s="76"/>
      <c r="I134" s="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0" customHeight="1">
      <c r="A135" s="8"/>
      <c r="B135" s="76"/>
      <c r="C135" s="80"/>
      <c r="D135" s="81"/>
      <c r="E135" s="82"/>
      <c r="F135" s="82"/>
      <c r="G135" s="80"/>
      <c r="H135" s="76"/>
      <c r="I135" s="1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0" customHeight="1">
      <c r="A136" s="8"/>
      <c r="B136" s="76"/>
      <c r="C136" s="80"/>
      <c r="D136" s="81"/>
      <c r="E136" s="82"/>
      <c r="F136" s="82"/>
      <c r="G136" s="80"/>
      <c r="H136" s="76"/>
      <c r="I136" s="1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0" customHeight="1">
      <c r="A137" s="8"/>
      <c r="B137" s="76"/>
      <c r="C137" s="80"/>
      <c r="D137" s="81"/>
      <c r="E137" s="82"/>
      <c r="F137" s="82"/>
      <c r="G137" s="80"/>
      <c r="H137" s="76"/>
      <c r="I137" s="1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0" customHeight="1">
      <c r="A138" s="8"/>
      <c r="B138" s="76"/>
      <c r="C138" s="80"/>
      <c r="D138" s="81"/>
      <c r="E138" s="82"/>
      <c r="F138" s="82"/>
      <c r="G138" s="80"/>
      <c r="H138" s="76"/>
      <c r="I138" s="1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0" customHeight="1">
      <c r="A139" s="8"/>
      <c r="B139" s="76"/>
      <c r="C139" s="80"/>
      <c r="D139" s="81"/>
      <c r="E139" s="82"/>
      <c r="F139" s="82"/>
      <c r="G139" s="80"/>
      <c r="H139" s="76"/>
      <c r="I139" s="1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0" customHeight="1">
      <c r="A140" s="8"/>
      <c r="B140" s="76"/>
      <c r="C140" s="80"/>
      <c r="D140" s="81"/>
      <c r="E140" s="82"/>
      <c r="F140" s="82"/>
      <c r="G140" s="80"/>
      <c r="H140" s="76"/>
      <c r="I140" s="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0" customHeight="1">
      <c r="A141" s="8"/>
      <c r="B141" s="76"/>
      <c r="C141" s="80"/>
      <c r="D141" s="81"/>
      <c r="E141" s="82"/>
      <c r="F141" s="82"/>
      <c r="G141" s="80"/>
      <c r="H141" s="76"/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0" customHeight="1">
      <c r="A142" s="8"/>
      <c r="B142" s="76"/>
      <c r="C142" s="80"/>
      <c r="D142" s="81"/>
      <c r="E142" s="82"/>
      <c r="F142" s="82"/>
      <c r="G142" s="80"/>
      <c r="H142" s="76"/>
      <c r="I142" s="1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0" customHeight="1">
      <c r="A143" s="8"/>
      <c r="B143" s="76"/>
      <c r="C143" s="80"/>
      <c r="D143" s="81"/>
      <c r="E143" s="82"/>
      <c r="F143" s="82"/>
      <c r="G143" s="80"/>
      <c r="H143" s="76"/>
      <c r="I143" s="1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0" customHeight="1">
      <c r="A144" s="8"/>
      <c r="B144" s="76"/>
      <c r="C144" s="80"/>
      <c r="D144" s="81"/>
      <c r="E144" s="82"/>
      <c r="F144" s="82"/>
      <c r="G144" s="80"/>
      <c r="H144" s="76"/>
      <c r="I144" s="1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0" customHeight="1">
      <c r="A145" s="8"/>
      <c r="B145" s="76"/>
      <c r="C145" s="80"/>
      <c r="D145" s="81"/>
      <c r="E145" s="82"/>
      <c r="F145" s="82"/>
      <c r="G145" s="80"/>
      <c r="H145" s="76"/>
      <c r="I145" s="1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0" customHeight="1">
      <c r="A146" s="8"/>
      <c r="B146" s="76"/>
      <c r="C146" s="80"/>
      <c r="D146" s="81"/>
      <c r="E146" s="82"/>
      <c r="F146" s="82"/>
      <c r="G146" s="80"/>
      <c r="H146" s="76"/>
      <c r="I146" s="1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0" customHeight="1">
      <c r="A147" s="8"/>
      <c r="B147" s="76"/>
      <c r="C147" s="80"/>
      <c r="D147" s="81"/>
      <c r="E147" s="82"/>
      <c r="F147" s="82"/>
      <c r="G147" s="80"/>
      <c r="H147" s="76"/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0" customHeight="1">
      <c r="A148" s="8"/>
      <c r="B148" s="76"/>
      <c r="C148" s="80"/>
      <c r="D148" s="81"/>
      <c r="E148" s="82"/>
      <c r="F148" s="82"/>
      <c r="G148" s="80"/>
      <c r="H148" s="76"/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0" customHeight="1">
      <c r="A149" s="8"/>
      <c r="B149" s="76"/>
      <c r="C149" s="80"/>
      <c r="D149" s="81"/>
      <c r="E149" s="82"/>
      <c r="F149" s="82"/>
      <c r="G149" s="80"/>
      <c r="H149" s="76"/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0" customHeight="1">
      <c r="A150" s="8"/>
      <c r="B150" s="76"/>
      <c r="C150" s="80"/>
      <c r="D150" s="81"/>
      <c r="E150" s="82"/>
      <c r="F150" s="82"/>
      <c r="G150" s="80"/>
      <c r="H150" s="76"/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0" customHeight="1">
      <c r="A151" s="8"/>
      <c r="B151" s="76"/>
      <c r="C151" s="80"/>
      <c r="D151" s="81"/>
      <c r="E151" s="82"/>
      <c r="F151" s="82"/>
      <c r="G151" s="80"/>
      <c r="H151" s="76"/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0" customHeight="1">
      <c r="A152" s="8"/>
      <c r="B152" s="76"/>
      <c r="C152" s="80"/>
      <c r="D152" s="81"/>
      <c r="E152" s="82"/>
      <c r="F152" s="82"/>
      <c r="G152" s="80"/>
      <c r="H152" s="76"/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0" customHeight="1">
      <c r="A153" s="8"/>
      <c r="B153" s="76"/>
      <c r="C153" s="80"/>
      <c r="D153" s="81"/>
      <c r="E153" s="82"/>
      <c r="F153" s="82"/>
      <c r="G153" s="80"/>
      <c r="H153" s="76"/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0" customHeight="1">
      <c r="A154" s="8"/>
      <c r="B154" s="76"/>
      <c r="C154" s="80"/>
      <c r="D154" s="81"/>
      <c r="E154" s="82"/>
      <c r="F154" s="82"/>
      <c r="G154" s="80"/>
      <c r="H154" s="76"/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0" customHeight="1">
      <c r="A155" s="8"/>
      <c r="B155" s="76"/>
      <c r="C155" s="80"/>
      <c r="D155" s="81"/>
      <c r="E155" s="82"/>
      <c r="F155" s="82"/>
      <c r="G155" s="80"/>
      <c r="H155" s="76"/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0" customHeight="1">
      <c r="A156" s="8"/>
      <c r="B156" s="76"/>
      <c r="C156" s="80"/>
      <c r="D156" s="81"/>
      <c r="E156" s="82"/>
      <c r="F156" s="82"/>
      <c r="G156" s="80"/>
      <c r="H156" s="76"/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0" customHeight="1">
      <c r="A157" s="8"/>
      <c r="B157" s="76"/>
      <c r="C157" s="80"/>
      <c r="D157" s="81"/>
      <c r="E157" s="82"/>
      <c r="F157" s="82"/>
      <c r="G157" s="80"/>
      <c r="H157" s="76"/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0" customHeight="1">
      <c r="A158" s="8"/>
      <c r="B158" s="76"/>
      <c r="C158" s="80"/>
      <c r="D158" s="81"/>
      <c r="E158" s="82"/>
      <c r="F158" s="82"/>
      <c r="G158" s="80"/>
      <c r="H158" s="76"/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0" customHeight="1">
      <c r="A159" s="8"/>
      <c r="B159" s="76"/>
      <c r="C159" s="80"/>
      <c r="D159" s="81"/>
      <c r="E159" s="82"/>
      <c r="F159" s="82"/>
      <c r="G159" s="80"/>
      <c r="H159" s="76"/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0" customHeight="1">
      <c r="A160" s="8"/>
      <c r="B160" s="76"/>
      <c r="C160" s="80"/>
      <c r="D160" s="81"/>
      <c r="E160" s="82"/>
      <c r="F160" s="82"/>
      <c r="G160" s="80"/>
      <c r="H160" s="76"/>
      <c r="I160" s="1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0" customHeight="1">
      <c r="A161" s="8"/>
      <c r="B161" s="76"/>
      <c r="C161" s="80"/>
      <c r="D161" s="81"/>
      <c r="E161" s="82"/>
      <c r="F161" s="82"/>
      <c r="G161" s="80"/>
      <c r="H161" s="76"/>
      <c r="I161" s="1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0" customHeight="1">
      <c r="A162" s="8"/>
      <c r="B162" s="76"/>
      <c r="C162" s="80"/>
      <c r="D162" s="81"/>
      <c r="E162" s="82"/>
      <c r="F162" s="82"/>
      <c r="G162" s="80"/>
      <c r="H162" s="76"/>
      <c r="I162" s="1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0" customHeight="1">
      <c r="A163" s="8"/>
      <c r="B163" s="76"/>
      <c r="C163" s="80"/>
      <c r="D163" s="81"/>
      <c r="E163" s="82"/>
      <c r="F163" s="82"/>
      <c r="G163" s="80"/>
      <c r="H163" s="76"/>
      <c r="I163" s="1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0" customHeight="1">
      <c r="A164" s="8"/>
      <c r="B164" s="76"/>
      <c r="C164" s="80"/>
      <c r="D164" s="81"/>
      <c r="E164" s="82"/>
      <c r="F164" s="82"/>
      <c r="G164" s="80"/>
      <c r="H164" s="76"/>
      <c r="I164" s="1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0" customHeight="1">
      <c r="A165" s="8"/>
      <c r="B165" s="76"/>
      <c r="C165" s="80"/>
      <c r="D165" s="81"/>
      <c r="E165" s="82"/>
      <c r="F165" s="82"/>
      <c r="G165" s="80"/>
      <c r="H165" s="76"/>
      <c r="I165" s="1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0" customHeight="1">
      <c r="A166" s="8"/>
      <c r="B166" s="76"/>
      <c r="C166" s="80"/>
      <c r="D166" s="81"/>
      <c r="E166" s="82"/>
      <c r="F166" s="82"/>
      <c r="G166" s="80"/>
      <c r="H166" s="76"/>
      <c r="I166" s="1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0" customHeight="1">
      <c r="A167" s="8"/>
      <c r="B167" s="76"/>
      <c r="C167" s="80"/>
      <c r="D167" s="81"/>
      <c r="E167" s="82"/>
      <c r="F167" s="82"/>
      <c r="G167" s="80"/>
      <c r="H167" s="76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0" customHeight="1">
      <c r="A168" s="8"/>
      <c r="B168" s="76"/>
      <c r="C168" s="80"/>
      <c r="D168" s="81"/>
      <c r="E168" s="82"/>
      <c r="F168" s="82"/>
      <c r="G168" s="80"/>
      <c r="H168" s="76"/>
      <c r="I168" s="1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0" customHeight="1">
      <c r="A169" s="8"/>
      <c r="B169" s="76"/>
      <c r="C169" s="80"/>
      <c r="D169" s="81"/>
      <c r="E169" s="82"/>
      <c r="F169" s="82"/>
      <c r="G169" s="80"/>
      <c r="H169" s="76"/>
      <c r="I169" s="1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0" customHeight="1">
      <c r="A170" s="8"/>
      <c r="B170" s="76"/>
      <c r="C170" s="80"/>
      <c r="D170" s="81"/>
      <c r="E170" s="82"/>
      <c r="F170" s="82"/>
      <c r="G170" s="80"/>
      <c r="H170" s="76"/>
      <c r="I170" s="1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0" customHeight="1">
      <c r="A171" s="8"/>
      <c r="B171" s="76"/>
      <c r="C171" s="80"/>
      <c r="D171" s="81"/>
      <c r="E171" s="82"/>
      <c r="F171" s="82"/>
      <c r="G171" s="80"/>
      <c r="H171" s="76"/>
      <c r="I171" s="1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0" customHeight="1">
      <c r="A172" s="8"/>
      <c r="B172" s="76"/>
      <c r="C172" s="80"/>
      <c r="D172" s="81"/>
      <c r="E172" s="82"/>
      <c r="F172" s="82"/>
      <c r="G172" s="80"/>
      <c r="H172" s="76"/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</sheetData>
  <customSheetViews>
    <customSheetView guid="{CD2BF927-9D79-47FC-BBA8-927062D6B3F5}" filter="1" showAutoFilter="1">
      <autoFilter ref="$B$19:$H$172"/>
    </customSheetView>
  </customSheetViews>
  <mergeCells count="5">
    <mergeCell ref="B2:G2"/>
    <mergeCell ref="B13:C13"/>
    <mergeCell ref="B14:C14"/>
    <mergeCell ref="B15:C15"/>
    <mergeCell ref="B16:C16"/>
  </mergeCells>
  <dataValidations>
    <dataValidation type="list" allowBlank="1" sqref="H20:H172">
      <formula1>$J$4:$J$17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 outlineLevelRow="1"/>
  <cols>
    <col customWidth="1" min="1" max="1" width="1.57"/>
    <col customWidth="1" min="2" max="2" width="12.0"/>
    <col customWidth="1" min="3" max="3" width="18.57"/>
    <col customWidth="1" min="4" max="4" width="24.43"/>
    <col customWidth="1" min="5" max="6" width="25.0"/>
    <col customWidth="1" min="7" max="7" width="39.43"/>
    <col customWidth="1" min="8" max="9" width="20.57"/>
    <col customWidth="1" min="10" max="10" width="11.57"/>
    <col customWidth="1" min="11" max="11" width="50.0"/>
    <col customWidth="1" min="12" max="24" width="9.0"/>
  </cols>
  <sheetData>
    <row r="1" ht="13.5" customHeight="1" outlineLevel="1">
      <c r="A1" s="1"/>
      <c r="B1" s="2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1" outlineLevel="1">
      <c r="A2" s="3"/>
      <c r="B2" s="4" t="s">
        <v>0</v>
      </c>
      <c r="C2" s="5"/>
      <c r="D2" s="5"/>
      <c r="E2" s="5"/>
      <c r="F2" s="5"/>
      <c r="G2" s="5"/>
      <c r="H2" s="6"/>
      <c r="I2" s="3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3.5" customHeight="1" outlineLevel="1">
      <c r="A3" s="1"/>
      <c r="B3" s="2"/>
      <c r="C3" s="2"/>
      <c r="D3" s="1"/>
      <c r="E3" s="1"/>
      <c r="F3" s="1"/>
      <c r="G3" s="1"/>
      <c r="H3" s="2"/>
      <c r="I3" s="8"/>
      <c r="J3" s="9" t="s">
        <v>1</v>
      </c>
      <c r="K3" s="9" t="s">
        <v>2</v>
      </c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3.5" customHeight="1" outlineLevel="1">
      <c r="A4" s="3"/>
      <c r="B4" s="6" t="s">
        <v>3</v>
      </c>
      <c r="C4" s="6"/>
      <c r="D4" s="3"/>
      <c r="E4" s="3"/>
      <c r="F4" s="3"/>
      <c r="G4" s="11">
        <v>44804.0</v>
      </c>
      <c r="H4" s="6"/>
      <c r="I4" s="12"/>
      <c r="J4" s="13" t="s">
        <v>4</v>
      </c>
      <c r="K4" s="13" t="s">
        <v>5</v>
      </c>
      <c r="L4" s="1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3.5" customHeight="1" outlineLevel="1">
      <c r="A5" s="6"/>
      <c r="B5" s="15" t="s">
        <v>6</v>
      </c>
      <c r="C5" s="16" t="s">
        <v>7</v>
      </c>
      <c r="D5" s="17" t="s">
        <v>8</v>
      </c>
      <c r="E5" s="18" t="s">
        <v>9</v>
      </c>
      <c r="F5" s="19" t="s">
        <v>10</v>
      </c>
      <c r="G5" s="20" t="s">
        <v>11</v>
      </c>
      <c r="H5" s="6"/>
      <c r="I5" s="21"/>
      <c r="J5" s="13" t="s">
        <v>12</v>
      </c>
      <c r="K5" s="13" t="s">
        <v>13</v>
      </c>
      <c r="L5" s="2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3.5" customHeight="1" outlineLevel="1">
      <c r="A6" s="1"/>
      <c r="B6" s="23" t="s">
        <v>14</v>
      </c>
      <c r="C6" s="24" t="s">
        <v>15</v>
      </c>
      <c r="D6" s="25">
        <v>9.1186014E7</v>
      </c>
      <c r="E6" s="26">
        <f>sumif(B20:B154,B6,E20:E154)</f>
        <v>131027419</v>
      </c>
      <c r="F6" s="27">
        <f>sumif(B20:B172,B6,F20:F172)</f>
        <v>92085443</v>
      </c>
      <c r="G6" s="28">
        <f t="shared" ref="G6:G9" si="1">D6+E6-F6</f>
        <v>130127990</v>
      </c>
      <c r="H6" s="2"/>
      <c r="I6" s="8"/>
      <c r="J6" s="13" t="s">
        <v>16</v>
      </c>
      <c r="K6" s="13" t="s">
        <v>17</v>
      </c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3.5" customHeight="1" outlineLevel="1">
      <c r="A7" s="1"/>
      <c r="B7" s="29" t="s">
        <v>18</v>
      </c>
      <c r="C7" s="30" t="s">
        <v>19</v>
      </c>
      <c r="D7" s="31"/>
      <c r="E7" s="32">
        <f>sumif(B20:B172,B7,E20:E129)</f>
        <v>0</v>
      </c>
      <c r="F7" s="33">
        <f>sumif(B20:B172,B7,F20:F172)</f>
        <v>0</v>
      </c>
      <c r="G7" s="34">
        <f t="shared" si="1"/>
        <v>0</v>
      </c>
      <c r="H7" s="35"/>
      <c r="I7" s="8"/>
      <c r="J7" s="13" t="s">
        <v>20</v>
      </c>
      <c r="K7" s="13" t="s">
        <v>21</v>
      </c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3.5" customHeight="1" outlineLevel="1">
      <c r="A8" s="1"/>
      <c r="B8" s="29" t="s">
        <v>22</v>
      </c>
      <c r="C8" s="30" t="s">
        <v>23</v>
      </c>
      <c r="D8" s="36"/>
      <c r="E8" s="37">
        <f>sumif(B20:B129,B8,E20:E172)</f>
        <v>0</v>
      </c>
      <c r="F8" s="38">
        <f>sumif(B20:B172,B8,F20:F172)</f>
        <v>0</v>
      </c>
      <c r="G8" s="39">
        <f t="shared" si="1"/>
        <v>0</v>
      </c>
      <c r="H8" s="2"/>
      <c r="I8" s="8"/>
      <c r="J8" s="13" t="s">
        <v>24</v>
      </c>
      <c r="K8" s="13" t="s">
        <v>25</v>
      </c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3.5" customHeight="1" outlineLevel="1">
      <c r="A9" s="1"/>
      <c r="B9" s="29" t="s">
        <v>26</v>
      </c>
      <c r="C9" s="30" t="s">
        <v>15</v>
      </c>
      <c r="D9" s="40"/>
      <c r="E9" s="41">
        <f>sumif(B20:B129,B9,E20:E129)</f>
        <v>0</v>
      </c>
      <c r="F9" s="42">
        <f>sumif(B20:B172,B9,F20:F172)</f>
        <v>0</v>
      </c>
      <c r="G9" s="43">
        <f t="shared" si="1"/>
        <v>0</v>
      </c>
      <c r="H9" s="2"/>
      <c r="I9" s="8"/>
      <c r="J9" s="13" t="s">
        <v>27</v>
      </c>
      <c r="K9" s="13" t="s">
        <v>28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outlineLevel="1">
      <c r="A10" s="1"/>
      <c r="B10" s="44"/>
      <c r="C10" s="45"/>
      <c r="D10" s="46"/>
      <c r="E10" s="41"/>
      <c r="F10" s="42"/>
      <c r="G10" s="47"/>
      <c r="H10" s="2"/>
      <c r="I10" s="8"/>
      <c r="J10" s="13" t="s">
        <v>29</v>
      </c>
      <c r="K10" s="13" t="s">
        <v>30</v>
      </c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outlineLevel="1">
      <c r="A11" s="1"/>
      <c r="B11" s="44"/>
      <c r="C11" s="45"/>
      <c r="D11" s="46"/>
      <c r="E11" s="41"/>
      <c r="F11" s="42"/>
      <c r="G11" s="47"/>
      <c r="H11" s="2"/>
      <c r="I11" s="8"/>
      <c r="J11" s="13" t="s">
        <v>31</v>
      </c>
      <c r="K11" s="13" t="s">
        <v>32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outlineLevel="1">
      <c r="A12" s="1"/>
      <c r="B12" s="44"/>
      <c r="C12" s="45"/>
      <c r="D12" s="48"/>
      <c r="E12" s="41"/>
      <c r="F12" s="42"/>
      <c r="G12" s="47"/>
      <c r="H12" s="2"/>
      <c r="I12" s="8"/>
      <c r="J12" s="13" t="s">
        <v>33</v>
      </c>
      <c r="K12" s="49" t="s">
        <v>34</v>
      </c>
      <c r="L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outlineLevel="1">
      <c r="A13" s="3"/>
      <c r="B13" s="18" t="s">
        <v>35</v>
      </c>
      <c r="C13" s="50"/>
      <c r="D13" s="51"/>
      <c r="E13" s="52"/>
      <c r="F13" s="53"/>
      <c r="G13" s="51"/>
      <c r="H13" s="54"/>
      <c r="I13" s="55"/>
      <c r="J13" s="13" t="s">
        <v>36</v>
      </c>
      <c r="K13" s="49" t="s">
        <v>37</v>
      </c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 outlineLevel="1">
      <c r="A14" s="3"/>
      <c r="B14" s="18" t="s">
        <v>38</v>
      </c>
      <c r="C14" s="50"/>
      <c r="D14" s="56"/>
      <c r="E14" s="57"/>
      <c r="F14" s="58"/>
      <c r="G14" s="58"/>
      <c r="H14" s="59"/>
      <c r="I14" s="60"/>
      <c r="J14" s="13" t="s">
        <v>39</v>
      </c>
      <c r="K14" s="49" t="s">
        <v>40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3.5" customHeight="1" outlineLevel="1">
      <c r="A15" s="3"/>
      <c r="B15" s="18"/>
      <c r="C15" s="50"/>
      <c r="D15" s="56"/>
      <c r="E15" s="57"/>
      <c r="F15" s="58"/>
      <c r="G15" s="58"/>
      <c r="H15" s="54"/>
      <c r="I15" s="6"/>
      <c r="J15" s="13" t="s">
        <v>41</v>
      </c>
      <c r="K15" s="49" t="s">
        <v>42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3.5" customHeight="1" outlineLevel="1">
      <c r="A16" s="3"/>
      <c r="B16" s="18"/>
      <c r="C16" s="50"/>
      <c r="D16" s="56"/>
      <c r="E16" s="57"/>
      <c r="F16" s="58"/>
      <c r="G16" s="58"/>
      <c r="H16" s="54"/>
      <c r="I16" s="6"/>
      <c r="J16" s="13" t="s">
        <v>169</v>
      </c>
      <c r="K16" s="49" t="s">
        <v>170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3.5" customHeight="1">
      <c r="A17" s="1"/>
      <c r="B17" s="2"/>
      <c r="C17" s="2"/>
      <c r="D17" s="1"/>
      <c r="E17" s="61"/>
      <c r="F17" s="1"/>
      <c r="G17" s="1"/>
      <c r="H17" s="2"/>
      <c r="I17" s="62"/>
      <c r="J17" s="83" t="s">
        <v>77</v>
      </c>
      <c r="K17" s="84" t="s">
        <v>78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>
      <c r="A18" s="6"/>
      <c r="B18" s="63" t="s">
        <v>43</v>
      </c>
      <c r="C18" s="63"/>
      <c r="D18" s="63"/>
      <c r="E18" s="64"/>
      <c r="F18" s="64"/>
      <c r="G18" s="63"/>
      <c r="H18" s="63"/>
      <c r="I18" s="65"/>
      <c r="J18" s="1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3.5" customHeight="1">
      <c r="A19" s="21"/>
      <c r="B19" s="66" t="s">
        <v>6</v>
      </c>
      <c r="C19" s="66" t="s">
        <v>44</v>
      </c>
      <c r="D19" s="66" t="s">
        <v>45</v>
      </c>
      <c r="E19" s="66" t="s">
        <v>46</v>
      </c>
      <c r="F19" s="66" t="s">
        <v>47</v>
      </c>
      <c r="G19" s="88" t="s">
        <v>48</v>
      </c>
      <c r="H19" s="66" t="s">
        <v>1</v>
      </c>
      <c r="I19" s="69"/>
      <c r="J19" s="1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0" customHeight="1">
      <c r="A20" s="8"/>
      <c r="B20" s="76" t="str">
        <f>B6</f>
        <v>신한 #672</v>
      </c>
      <c r="C20" s="89" t="s">
        <v>171</v>
      </c>
      <c r="D20" s="89" t="s">
        <v>88</v>
      </c>
      <c r="E20" s="90">
        <v>0.0</v>
      </c>
      <c r="F20" s="91">
        <v>100.0</v>
      </c>
      <c r="G20" s="92" t="s">
        <v>172</v>
      </c>
      <c r="H20" s="76" t="s">
        <v>12</v>
      </c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0" customHeight="1">
      <c r="A21" s="8"/>
      <c r="B21" s="93" t="str">
        <f>B6</f>
        <v>신한 #672</v>
      </c>
      <c r="C21" s="94" t="s">
        <v>173</v>
      </c>
      <c r="D21" s="94" t="s">
        <v>88</v>
      </c>
      <c r="E21" s="95">
        <v>100.0</v>
      </c>
      <c r="F21" s="96">
        <v>0.0</v>
      </c>
      <c r="G21" s="97" t="s">
        <v>172</v>
      </c>
      <c r="H21" s="76" t="s">
        <v>12</v>
      </c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0" customHeight="1">
      <c r="A22" s="8"/>
      <c r="B22" s="93" t="str">
        <f>B6</f>
        <v>신한 #672</v>
      </c>
      <c r="C22" s="94" t="s">
        <v>174</v>
      </c>
      <c r="D22" s="94" t="s">
        <v>88</v>
      </c>
      <c r="E22" s="95">
        <v>0.0</v>
      </c>
      <c r="F22" s="96">
        <v>1000.0</v>
      </c>
      <c r="G22" s="97" t="s">
        <v>172</v>
      </c>
      <c r="H22" s="76" t="s">
        <v>12</v>
      </c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0" customHeight="1">
      <c r="A23" s="8"/>
      <c r="B23" s="93" t="str">
        <f>B6</f>
        <v>신한 #672</v>
      </c>
      <c r="C23" s="94" t="s">
        <v>175</v>
      </c>
      <c r="D23" s="94" t="s">
        <v>88</v>
      </c>
      <c r="E23" s="95">
        <v>1000.0</v>
      </c>
      <c r="F23" s="96">
        <v>0.0</v>
      </c>
      <c r="G23" s="97" t="s">
        <v>172</v>
      </c>
      <c r="H23" s="76" t="s">
        <v>12</v>
      </c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0" customHeight="1">
      <c r="A24" s="8"/>
      <c r="B24" s="93" t="str">
        <f>B6</f>
        <v>신한 #672</v>
      </c>
      <c r="C24" s="94" t="s">
        <v>176</v>
      </c>
      <c r="D24" s="94" t="s">
        <v>88</v>
      </c>
      <c r="E24" s="95">
        <v>0.0</v>
      </c>
      <c r="F24" s="96">
        <v>19400.0</v>
      </c>
      <c r="G24" s="97" t="s">
        <v>98</v>
      </c>
      <c r="H24" s="76" t="s">
        <v>12</v>
      </c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0" customHeight="1">
      <c r="A25" s="8"/>
      <c r="B25" s="93" t="str">
        <f>B6</f>
        <v>신한 #672</v>
      </c>
      <c r="C25" s="94" t="s">
        <v>177</v>
      </c>
      <c r="D25" s="94" t="s">
        <v>88</v>
      </c>
      <c r="E25" s="95">
        <v>19400.0</v>
      </c>
      <c r="F25" s="96">
        <v>0.0</v>
      </c>
      <c r="G25" s="97" t="s">
        <v>98</v>
      </c>
      <c r="H25" s="76" t="s">
        <v>12</v>
      </c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0" customHeight="1">
      <c r="A26" s="8"/>
      <c r="B26" s="93" t="str">
        <f>B6</f>
        <v>신한 #672</v>
      </c>
      <c r="C26" s="94" t="s">
        <v>178</v>
      </c>
      <c r="D26" s="94" t="s">
        <v>88</v>
      </c>
      <c r="E26" s="95">
        <v>0.0</v>
      </c>
      <c r="F26" s="96">
        <v>15400.0</v>
      </c>
      <c r="G26" s="97" t="s">
        <v>101</v>
      </c>
      <c r="H26" s="76" t="s">
        <v>12</v>
      </c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0" customHeight="1">
      <c r="A27" s="8"/>
      <c r="B27" s="93" t="str">
        <f>B6</f>
        <v>신한 #672</v>
      </c>
      <c r="C27" s="94" t="s">
        <v>179</v>
      </c>
      <c r="D27" s="94" t="s">
        <v>88</v>
      </c>
      <c r="E27" s="95">
        <v>0.0</v>
      </c>
      <c r="F27" s="96">
        <v>3000.0</v>
      </c>
      <c r="G27" s="97" t="s">
        <v>101</v>
      </c>
      <c r="H27" s="76" t="s">
        <v>12</v>
      </c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0" customHeight="1">
      <c r="A28" s="8"/>
      <c r="B28" s="93" t="str">
        <f>B6</f>
        <v>신한 #672</v>
      </c>
      <c r="C28" s="94" t="s">
        <v>180</v>
      </c>
      <c r="D28" s="94" t="s">
        <v>88</v>
      </c>
      <c r="E28" s="95">
        <v>0.0</v>
      </c>
      <c r="F28" s="96">
        <v>51563.0</v>
      </c>
      <c r="G28" s="97" t="s">
        <v>181</v>
      </c>
      <c r="H28" s="76" t="s">
        <v>12</v>
      </c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0" customHeight="1">
      <c r="A29" s="8"/>
      <c r="B29" s="93" t="str">
        <f>B6</f>
        <v>신한 #672</v>
      </c>
      <c r="C29" s="94" t="s">
        <v>182</v>
      </c>
      <c r="D29" s="94" t="s">
        <v>88</v>
      </c>
      <c r="E29" s="95">
        <v>0.0</v>
      </c>
      <c r="F29" s="96">
        <v>21093.0</v>
      </c>
      <c r="G29" s="97" t="s">
        <v>183</v>
      </c>
      <c r="H29" s="76" t="s">
        <v>12</v>
      </c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0" customHeight="1">
      <c r="A30" s="8"/>
      <c r="B30" s="93" t="str">
        <f>B6</f>
        <v>신한 #672</v>
      </c>
      <c r="C30" s="94" t="s">
        <v>184</v>
      </c>
      <c r="D30" s="94" t="s">
        <v>88</v>
      </c>
      <c r="E30" s="95">
        <v>0.0</v>
      </c>
      <c r="F30" s="96">
        <v>4442.0</v>
      </c>
      <c r="G30" s="97" t="s">
        <v>185</v>
      </c>
      <c r="H30" s="76" t="s">
        <v>12</v>
      </c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0" customHeight="1">
      <c r="A31" s="8"/>
      <c r="B31" s="93" t="str">
        <f>B6</f>
        <v>신한 #672</v>
      </c>
      <c r="C31" s="94" t="s">
        <v>186</v>
      </c>
      <c r="D31" s="94" t="s">
        <v>88</v>
      </c>
      <c r="E31" s="95">
        <v>0.0</v>
      </c>
      <c r="F31" s="96">
        <v>7416.0</v>
      </c>
      <c r="G31" s="97" t="s">
        <v>156</v>
      </c>
      <c r="H31" s="76" t="s">
        <v>12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0" customHeight="1">
      <c r="A32" s="8"/>
      <c r="B32" s="93" t="str">
        <f>B6</f>
        <v>신한 #672</v>
      </c>
      <c r="C32" s="94" t="s">
        <v>187</v>
      </c>
      <c r="D32" s="94" t="s">
        <v>88</v>
      </c>
      <c r="E32" s="95">
        <v>0.0</v>
      </c>
      <c r="F32" s="96">
        <v>5302.0</v>
      </c>
      <c r="G32" s="97" t="s">
        <v>188</v>
      </c>
      <c r="H32" s="76" t="s">
        <v>12</v>
      </c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0" customHeight="1">
      <c r="A33" s="8"/>
      <c r="B33" s="93" t="str">
        <f>B6</f>
        <v>신한 #672</v>
      </c>
      <c r="C33" s="94" t="s">
        <v>189</v>
      </c>
      <c r="D33" s="94" t="s">
        <v>88</v>
      </c>
      <c r="E33" s="95">
        <v>0.0</v>
      </c>
      <c r="F33" s="96">
        <v>45000.0</v>
      </c>
      <c r="G33" s="97" t="s">
        <v>190</v>
      </c>
      <c r="H33" s="76" t="s">
        <v>12</v>
      </c>
      <c r="I33" s="1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0" customHeight="1">
      <c r="A34" s="8"/>
      <c r="B34" s="93" t="str">
        <f>B6</f>
        <v>신한 #672</v>
      </c>
      <c r="C34" s="94" t="s">
        <v>191</v>
      </c>
      <c r="D34" s="94" t="s">
        <v>88</v>
      </c>
      <c r="E34" s="95">
        <v>0.0</v>
      </c>
      <c r="F34" s="96">
        <v>11600.0</v>
      </c>
      <c r="G34" s="97" t="s">
        <v>192</v>
      </c>
      <c r="H34" s="76" t="s">
        <v>12</v>
      </c>
      <c r="I34" s="1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0" customHeight="1">
      <c r="A35" s="8"/>
      <c r="B35" s="93" t="str">
        <f>B6</f>
        <v>신한 #672</v>
      </c>
      <c r="C35" s="94" t="s">
        <v>193</v>
      </c>
      <c r="D35" s="94" t="s">
        <v>88</v>
      </c>
      <c r="E35" s="95">
        <v>11600.0</v>
      </c>
      <c r="F35" s="96">
        <v>0.0</v>
      </c>
      <c r="G35" s="97" t="s">
        <v>192</v>
      </c>
      <c r="H35" s="76" t="s">
        <v>12</v>
      </c>
      <c r="I35" s="1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0" customHeight="1">
      <c r="A36" s="8"/>
      <c r="B36" s="93" t="str">
        <f>B6</f>
        <v>신한 #672</v>
      </c>
      <c r="C36" s="94" t="s">
        <v>194</v>
      </c>
      <c r="D36" s="94" t="s">
        <v>88</v>
      </c>
      <c r="E36" s="95">
        <v>0.0</v>
      </c>
      <c r="F36" s="96">
        <v>10700.0</v>
      </c>
      <c r="G36" s="97" t="s">
        <v>195</v>
      </c>
      <c r="H36" s="76" t="s">
        <v>12</v>
      </c>
      <c r="I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0" customHeight="1">
      <c r="A37" s="8"/>
      <c r="B37" s="93" t="str">
        <f>B6</f>
        <v>신한 #672</v>
      </c>
      <c r="C37" s="94" t="s">
        <v>196</v>
      </c>
      <c r="D37" s="94" t="s">
        <v>88</v>
      </c>
      <c r="E37" s="95">
        <v>0.0</v>
      </c>
      <c r="F37" s="96">
        <v>25000.0</v>
      </c>
      <c r="G37" s="97" t="s">
        <v>197</v>
      </c>
      <c r="H37" s="76" t="s">
        <v>29</v>
      </c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0" customHeight="1">
      <c r="A38" s="8"/>
      <c r="B38" s="93" t="str">
        <f>B6</f>
        <v>신한 #672</v>
      </c>
      <c r="C38" s="94" t="s">
        <v>198</v>
      </c>
      <c r="D38" s="94" t="s">
        <v>199</v>
      </c>
      <c r="E38" s="95">
        <v>0.0</v>
      </c>
      <c r="F38" s="96">
        <v>2071630.0</v>
      </c>
      <c r="G38" s="97" t="s">
        <v>200</v>
      </c>
      <c r="H38" s="76" t="s">
        <v>31</v>
      </c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0" customHeight="1">
      <c r="A39" s="8"/>
      <c r="B39" s="93" t="str">
        <f>B6</f>
        <v>신한 #672</v>
      </c>
      <c r="C39" s="94" t="s">
        <v>201</v>
      </c>
      <c r="D39" s="94" t="s">
        <v>199</v>
      </c>
      <c r="E39" s="95">
        <v>0.0</v>
      </c>
      <c r="F39" s="96">
        <v>207120.0</v>
      </c>
      <c r="G39" s="97" t="s">
        <v>202</v>
      </c>
      <c r="H39" s="76" t="s">
        <v>31</v>
      </c>
      <c r="I39" s="1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0" customHeight="1">
      <c r="A40" s="8"/>
      <c r="B40" s="93" t="str">
        <f>B6</f>
        <v>신한 #672</v>
      </c>
      <c r="C40" s="94" t="s">
        <v>203</v>
      </c>
      <c r="D40" s="94" t="s">
        <v>88</v>
      </c>
      <c r="E40" s="95">
        <v>0.0</v>
      </c>
      <c r="F40" s="96">
        <v>6000.0</v>
      </c>
      <c r="G40" s="97" t="s">
        <v>134</v>
      </c>
      <c r="H40" s="76" t="s">
        <v>12</v>
      </c>
      <c r="I40" s="1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0" customHeight="1">
      <c r="A41" s="8"/>
      <c r="B41" s="93" t="str">
        <f>B6</f>
        <v>신한 #672</v>
      </c>
      <c r="C41" s="94" t="s">
        <v>204</v>
      </c>
      <c r="D41" s="94" t="s">
        <v>88</v>
      </c>
      <c r="E41" s="95">
        <v>0.0</v>
      </c>
      <c r="F41" s="96">
        <v>10800.0</v>
      </c>
      <c r="G41" s="97" t="s">
        <v>205</v>
      </c>
      <c r="H41" s="76" t="s">
        <v>29</v>
      </c>
      <c r="I41" s="1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0" customHeight="1">
      <c r="A42" s="8"/>
      <c r="B42" s="93" t="str">
        <f>B6</f>
        <v>신한 #672</v>
      </c>
      <c r="C42" s="94" t="s">
        <v>206</v>
      </c>
      <c r="D42" s="94" t="s">
        <v>88</v>
      </c>
      <c r="E42" s="95">
        <v>0.0</v>
      </c>
      <c r="F42" s="96">
        <v>4000.0</v>
      </c>
      <c r="G42" s="97" t="s">
        <v>207</v>
      </c>
      <c r="H42" s="76" t="s">
        <v>29</v>
      </c>
      <c r="I42" s="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0" customHeight="1">
      <c r="A43" s="8"/>
      <c r="B43" s="93" t="str">
        <f>B6</f>
        <v>신한 #672</v>
      </c>
      <c r="C43" s="94" t="s">
        <v>208</v>
      </c>
      <c r="D43" s="94" t="s">
        <v>88</v>
      </c>
      <c r="E43" s="95">
        <v>0.0</v>
      </c>
      <c r="F43" s="96">
        <v>12410.0</v>
      </c>
      <c r="G43" s="97" t="s">
        <v>209</v>
      </c>
      <c r="H43" s="76" t="s">
        <v>29</v>
      </c>
      <c r="I43" s="1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0" customHeight="1">
      <c r="A44" s="8"/>
      <c r="B44" s="93" t="str">
        <f>B6</f>
        <v>신한 #672</v>
      </c>
      <c r="C44" s="94" t="s">
        <v>210</v>
      </c>
      <c r="D44" s="94" t="s">
        <v>211</v>
      </c>
      <c r="E44" s="95">
        <v>0.0</v>
      </c>
      <c r="F44" s="96">
        <v>291725.0</v>
      </c>
      <c r="G44" s="97" t="s">
        <v>212</v>
      </c>
      <c r="H44" s="76" t="s">
        <v>12</v>
      </c>
      <c r="I44" s="1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0" customHeight="1">
      <c r="A45" s="8"/>
      <c r="B45" s="93" t="str">
        <f>B6</f>
        <v>신한 #672</v>
      </c>
      <c r="C45" s="94" t="s">
        <v>213</v>
      </c>
      <c r="D45" s="94" t="s">
        <v>88</v>
      </c>
      <c r="E45" s="95">
        <v>0.0</v>
      </c>
      <c r="F45" s="96">
        <v>884000.0</v>
      </c>
      <c r="G45" s="97" t="s">
        <v>214</v>
      </c>
      <c r="H45" s="76" t="s">
        <v>4</v>
      </c>
      <c r="I45" s="1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0" customHeight="1">
      <c r="A46" s="8"/>
      <c r="B46" s="93" t="str">
        <f>B6</f>
        <v>신한 #672</v>
      </c>
      <c r="C46" s="94" t="s">
        <v>215</v>
      </c>
      <c r="D46" s="94" t="s">
        <v>88</v>
      </c>
      <c r="E46" s="95">
        <v>0.0</v>
      </c>
      <c r="F46" s="96">
        <v>23300.0</v>
      </c>
      <c r="G46" s="97" t="s">
        <v>98</v>
      </c>
      <c r="H46" s="76" t="s">
        <v>12</v>
      </c>
      <c r="I46" s="1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0" customHeight="1">
      <c r="A47" s="8"/>
      <c r="B47" s="93" t="str">
        <f>B6</f>
        <v>신한 #672</v>
      </c>
      <c r="C47" s="94" t="s">
        <v>215</v>
      </c>
      <c r="D47" s="94" t="s">
        <v>88</v>
      </c>
      <c r="E47" s="95">
        <v>23300.0</v>
      </c>
      <c r="F47" s="96">
        <v>0.0</v>
      </c>
      <c r="G47" s="97" t="s">
        <v>98</v>
      </c>
      <c r="H47" s="76" t="s">
        <v>12</v>
      </c>
      <c r="I47" s="1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0" customHeight="1">
      <c r="A48" s="8"/>
      <c r="B48" s="93" t="str">
        <f>B6</f>
        <v>신한 #672</v>
      </c>
      <c r="C48" s="94" t="s">
        <v>216</v>
      </c>
      <c r="D48" s="94" t="s">
        <v>88</v>
      </c>
      <c r="E48" s="95">
        <v>0.0</v>
      </c>
      <c r="F48" s="96">
        <v>21600.0</v>
      </c>
      <c r="G48" s="97" t="s">
        <v>98</v>
      </c>
      <c r="H48" s="76" t="s">
        <v>12</v>
      </c>
      <c r="I48" s="1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0" customHeight="1">
      <c r="A49" s="8"/>
      <c r="B49" s="93" t="str">
        <f>B6</f>
        <v>신한 #672</v>
      </c>
      <c r="C49" s="94" t="s">
        <v>217</v>
      </c>
      <c r="D49" s="94" t="s">
        <v>88</v>
      </c>
      <c r="E49" s="95">
        <v>21600.0</v>
      </c>
      <c r="F49" s="96">
        <v>0.0</v>
      </c>
      <c r="G49" s="97" t="s">
        <v>98</v>
      </c>
      <c r="H49" s="76" t="s">
        <v>12</v>
      </c>
      <c r="I49" s="10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0" customHeight="1">
      <c r="A50" s="8"/>
      <c r="B50" s="93" t="str">
        <f>B6</f>
        <v>신한 #672</v>
      </c>
      <c r="C50" s="94" t="s">
        <v>218</v>
      </c>
      <c r="D50" s="94" t="s">
        <v>88</v>
      </c>
      <c r="E50" s="95">
        <v>0.0</v>
      </c>
      <c r="F50" s="96">
        <v>24200.0</v>
      </c>
      <c r="G50" s="97" t="s">
        <v>101</v>
      </c>
      <c r="H50" s="76" t="s">
        <v>12</v>
      </c>
      <c r="I50" s="1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0" customHeight="1">
      <c r="A51" s="8"/>
      <c r="B51" s="93" t="str">
        <f>B6</f>
        <v>신한 #672</v>
      </c>
      <c r="C51" s="94" t="s">
        <v>219</v>
      </c>
      <c r="D51" s="94" t="s">
        <v>88</v>
      </c>
      <c r="E51" s="95">
        <v>0.0</v>
      </c>
      <c r="F51" s="96">
        <v>22500.0</v>
      </c>
      <c r="G51" s="97" t="s">
        <v>220</v>
      </c>
      <c r="H51" s="76" t="s">
        <v>29</v>
      </c>
      <c r="I51" s="1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0" customHeight="1">
      <c r="A52" s="8"/>
      <c r="B52" s="93" t="str">
        <f>B6</f>
        <v>신한 #672</v>
      </c>
      <c r="C52" s="94" t="s">
        <v>221</v>
      </c>
      <c r="D52" s="94" t="s">
        <v>88</v>
      </c>
      <c r="E52" s="95">
        <v>0.0</v>
      </c>
      <c r="F52" s="96">
        <v>9800.0</v>
      </c>
      <c r="G52" s="97" t="s">
        <v>220</v>
      </c>
      <c r="H52" s="76" t="s">
        <v>29</v>
      </c>
      <c r="I52" s="1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0" customHeight="1">
      <c r="A53" s="8"/>
      <c r="B53" s="93" t="str">
        <f>B6</f>
        <v>신한 #672</v>
      </c>
      <c r="C53" s="94" t="s">
        <v>222</v>
      </c>
      <c r="D53" s="94" t="s">
        <v>88</v>
      </c>
      <c r="E53" s="95">
        <v>0.0</v>
      </c>
      <c r="F53" s="96">
        <v>10500.0</v>
      </c>
      <c r="G53" s="97" t="s">
        <v>223</v>
      </c>
      <c r="H53" s="76" t="s">
        <v>20</v>
      </c>
      <c r="I53" s="1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0" customHeight="1">
      <c r="A54" s="8"/>
      <c r="B54" s="93" t="str">
        <f>B6</f>
        <v>신한 #672</v>
      </c>
      <c r="C54" s="94" t="s">
        <v>224</v>
      </c>
      <c r="D54" s="94" t="s">
        <v>88</v>
      </c>
      <c r="E54" s="95">
        <v>0.0</v>
      </c>
      <c r="F54" s="96">
        <v>238775.0</v>
      </c>
      <c r="G54" s="97" t="s">
        <v>225</v>
      </c>
      <c r="H54" s="76" t="s">
        <v>33</v>
      </c>
      <c r="I54" s="1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0" customHeight="1">
      <c r="A55" s="8"/>
      <c r="B55" s="93" t="str">
        <f>B6</f>
        <v>신한 #672</v>
      </c>
      <c r="C55" s="94" t="s">
        <v>226</v>
      </c>
      <c r="D55" s="94" t="s">
        <v>88</v>
      </c>
      <c r="E55" s="95">
        <v>0.0</v>
      </c>
      <c r="F55" s="96">
        <v>44300.0</v>
      </c>
      <c r="G55" s="97" t="s">
        <v>227</v>
      </c>
      <c r="H55" s="76" t="s">
        <v>29</v>
      </c>
      <c r="I55" s="1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0" customHeight="1">
      <c r="A56" s="8"/>
      <c r="B56" s="93" t="str">
        <f>B6</f>
        <v>신한 #672</v>
      </c>
      <c r="C56" s="94" t="s">
        <v>228</v>
      </c>
      <c r="D56" s="94" t="s">
        <v>88</v>
      </c>
      <c r="E56" s="95">
        <v>0.0</v>
      </c>
      <c r="F56" s="96">
        <v>5000.0</v>
      </c>
      <c r="G56" s="97" t="s">
        <v>229</v>
      </c>
      <c r="H56" s="76" t="s">
        <v>12</v>
      </c>
      <c r="I56" s="1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0" customHeight="1">
      <c r="A57" s="8"/>
      <c r="B57" s="93" t="str">
        <f>B6</f>
        <v>신한 #672</v>
      </c>
      <c r="C57" s="94" t="s">
        <v>230</v>
      </c>
      <c r="D57" s="94" t="s">
        <v>231</v>
      </c>
      <c r="E57" s="95">
        <v>0.0</v>
      </c>
      <c r="F57" s="96">
        <v>2649820.0</v>
      </c>
      <c r="G57" s="97" t="s">
        <v>232</v>
      </c>
      <c r="H57" s="76" t="s">
        <v>31</v>
      </c>
      <c r="I57" s="1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0" customHeight="1">
      <c r="A58" s="8"/>
      <c r="B58" s="93" t="str">
        <f>B6</f>
        <v>신한 #672</v>
      </c>
      <c r="C58" s="94" t="s">
        <v>233</v>
      </c>
      <c r="D58" s="94" t="s">
        <v>234</v>
      </c>
      <c r="E58" s="95">
        <v>0.0</v>
      </c>
      <c r="F58" s="96">
        <v>506610.0</v>
      </c>
      <c r="G58" s="97" t="s">
        <v>235</v>
      </c>
      <c r="H58" s="76" t="s">
        <v>31</v>
      </c>
      <c r="I58" s="1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0" customHeight="1">
      <c r="A59" s="8"/>
      <c r="B59" s="93" t="str">
        <f>B6</f>
        <v>신한 #672</v>
      </c>
      <c r="C59" s="94" t="s">
        <v>236</v>
      </c>
      <c r="D59" s="94" t="s">
        <v>237</v>
      </c>
      <c r="E59" s="95">
        <v>0.0</v>
      </c>
      <c r="F59" s="96">
        <v>2573800.0</v>
      </c>
      <c r="G59" s="97" t="s">
        <v>238</v>
      </c>
      <c r="H59" s="76" t="s">
        <v>31</v>
      </c>
      <c r="I59" s="1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0" customHeight="1">
      <c r="A60" s="8"/>
      <c r="B60" s="93" t="str">
        <f>B6</f>
        <v>신한 #672</v>
      </c>
      <c r="C60" s="94" t="s">
        <v>239</v>
      </c>
      <c r="D60" s="94" t="s">
        <v>234</v>
      </c>
      <c r="E60" s="95">
        <v>0.0</v>
      </c>
      <c r="F60" s="96">
        <v>207970.0</v>
      </c>
      <c r="G60" s="97" t="s">
        <v>240</v>
      </c>
      <c r="H60" s="76" t="s">
        <v>31</v>
      </c>
      <c r="I60" s="1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0" customHeight="1">
      <c r="A61" s="8"/>
      <c r="B61" s="93" t="str">
        <f>B6</f>
        <v>신한 #672</v>
      </c>
      <c r="C61" s="94" t="s">
        <v>241</v>
      </c>
      <c r="D61" s="94" t="s">
        <v>88</v>
      </c>
      <c r="E61" s="95">
        <v>0.0</v>
      </c>
      <c r="F61" s="96">
        <v>13400.0</v>
      </c>
      <c r="G61" s="97" t="s">
        <v>242</v>
      </c>
      <c r="H61" s="76" t="s">
        <v>29</v>
      </c>
      <c r="I61" s="1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0" customHeight="1">
      <c r="A62" s="8"/>
      <c r="B62" s="93" t="str">
        <f>B6</f>
        <v>신한 #672</v>
      </c>
      <c r="C62" s="94" t="s">
        <v>243</v>
      </c>
      <c r="D62" s="94" t="s">
        <v>57</v>
      </c>
      <c r="E62" s="95">
        <v>0.0</v>
      </c>
      <c r="F62" s="96">
        <v>1.26E7</v>
      </c>
      <c r="G62" s="97" t="s">
        <v>244</v>
      </c>
      <c r="H62" s="76" t="s">
        <v>169</v>
      </c>
      <c r="I62" s="1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0" customHeight="1">
      <c r="A63" s="8"/>
      <c r="B63" s="93" t="str">
        <f>B6</f>
        <v>신한 #672</v>
      </c>
      <c r="C63" s="94" t="s">
        <v>245</v>
      </c>
      <c r="D63" s="94" t="s">
        <v>88</v>
      </c>
      <c r="E63" s="95">
        <v>0.0</v>
      </c>
      <c r="F63" s="96">
        <v>17500.0</v>
      </c>
      <c r="G63" s="97" t="s">
        <v>192</v>
      </c>
      <c r="H63" s="76" t="s">
        <v>12</v>
      </c>
      <c r="I63" s="1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0" customHeight="1">
      <c r="A64" s="8"/>
      <c r="B64" s="93" t="str">
        <f>B6</f>
        <v>신한 #672</v>
      </c>
      <c r="C64" s="94" t="s">
        <v>245</v>
      </c>
      <c r="D64" s="94" t="s">
        <v>88</v>
      </c>
      <c r="E64" s="95">
        <v>17500.0</v>
      </c>
      <c r="F64" s="96">
        <v>0.0</v>
      </c>
      <c r="G64" s="97" t="s">
        <v>192</v>
      </c>
      <c r="H64" s="76" t="s">
        <v>12</v>
      </c>
      <c r="I64" s="1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0" customHeight="1">
      <c r="A65" s="8"/>
      <c r="B65" s="93" t="str">
        <f>B6</f>
        <v>신한 #672</v>
      </c>
      <c r="C65" s="94" t="s">
        <v>246</v>
      </c>
      <c r="D65" s="94" t="s">
        <v>88</v>
      </c>
      <c r="E65" s="95">
        <v>0.0</v>
      </c>
      <c r="F65" s="96">
        <v>16300.0</v>
      </c>
      <c r="G65" s="97" t="s">
        <v>247</v>
      </c>
      <c r="H65" s="76" t="s">
        <v>12</v>
      </c>
      <c r="I65" s="1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0" customHeight="1">
      <c r="A66" s="8"/>
      <c r="B66" s="93" t="str">
        <f>B6</f>
        <v>신한 #672</v>
      </c>
      <c r="C66" s="94" t="s">
        <v>248</v>
      </c>
      <c r="D66" s="94" t="s">
        <v>88</v>
      </c>
      <c r="E66" s="95">
        <v>0.0</v>
      </c>
      <c r="F66" s="96">
        <v>19400.0</v>
      </c>
      <c r="G66" s="97" t="s">
        <v>192</v>
      </c>
      <c r="H66" s="76" t="s">
        <v>12</v>
      </c>
      <c r="I66" s="1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0" customHeight="1">
      <c r="A67" s="8"/>
      <c r="B67" s="93" t="str">
        <f>B6</f>
        <v>신한 #672</v>
      </c>
      <c r="C67" s="94" t="s">
        <v>248</v>
      </c>
      <c r="D67" s="94" t="s">
        <v>88</v>
      </c>
      <c r="E67" s="95">
        <v>19400.0</v>
      </c>
      <c r="F67" s="96">
        <v>0.0</v>
      </c>
      <c r="G67" s="97" t="s">
        <v>192</v>
      </c>
      <c r="H67" s="76" t="s">
        <v>12</v>
      </c>
      <c r="I67" s="1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0" customHeight="1">
      <c r="A68" s="8"/>
      <c r="B68" s="93" t="str">
        <f>B6</f>
        <v>신한 #672</v>
      </c>
      <c r="C68" s="94" t="s">
        <v>249</v>
      </c>
      <c r="D68" s="94" t="s">
        <v>88</v>
      </c>
      <c r="E68" s="95">
        <v>0.0</v>
      </c>
      <c r="F68" s="96">
        <v>21600.0</v>
      </c>
      <c r="G68" s="97" t="s">
        <v>247</v>
      </c>
      <c r="H68" s="76" t="s">
        <v>12</v>
      </c>
      <c r="I68" s="1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0" customHeight="1">
      <c r="A69" s="8"/>
      <c r="B69" s="93" t="str">
        <f>B6</f>
        <v>신한 #672</v>
      </c>
      <c r="C69" s="94" t="s">
        <v>250</v>
      </c>
      <c r="D69" s="94" t="s">
        <v>88</v>
      </c>
      <c r="E69" s="95">
        <v>0.0</v>
      </c>
      <c r="F69" s="96">
        <v>11000.0</v>
      </c>
      <c r="G69" s="97" t="s">
        <v>251</v>
      </c>
      <c r="H69" s="76" t="s">
        <v>29</v>
      </c>
      <c r="I69" s="1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0" customHeight="1">
      <c r="A70" s="8"/>
      <c r="B70" s="93" t="str">
        <f>B6</f>
        <v>신한 #672</v>
      </c>
      <c r="C70" s="94" t="s">
        <v>252</v>
      </c>
      <c r="D70" s="94" t="s">
        <v>88</v>
      </c>
      <c r="E70" s="95">
        <v>0.0</v>
      </c>
      <c r="F70" s="96">
        <v>4000.0</v>
      </c>
      <c r="G70" s="97" t="s">
        <v>229</v>
      </c>
      <c r="H70" s="76" t="s">
        <v>12</v>
      </c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0" customHeight="1">
      <c r="A71" s="8"/>
      <c r="B71" s="93" t="str">
        <f>B6</f>
        <v>신한 #672</v>
      </c>
      <c r="C71" s="94" t="s">
        <v>253</v>
      </c>
      <c r="D71" s="94" t="s">
        <v>88</v>
      </c>
      <c r="E71" s="95">
        <v>0.0</v>
      </c>
      <c r="F71" s="96">
        <v>9600.0</v>
      </c>
      <c r="G71" s="97" t="s">
        <v>254</v>
      </c>
      <c r="H71" s="76" t="s">
        <v>29</v>
      </c>
      <c r="I71" s="1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0" customHeight="1">
      <c r="A72" s="8"/>
      <c r="B72" s="93" t="str">
        <f>B6</f>
        <v>신한 #672</v>
      </c>
      <c r="C72" s="94" t="s">
        <v>255</v>
      </c>
      <c r="D72" s="94" t="s">
        <v>88</v>
      </c>
      <c r="E72" s="95">
        <v>0.0</v>
      </c>
      <c r="F72" s="96">
        <v>19000.0</v>
      </c>
      <c r="G72" s="97" t="s">
        <v>256</v>
      </c>
      <c r="H72" s="76" t="s">
        <v>12</v>
      </c>
      <c r="I72" s="1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0" customHeight="1">
      <c r="A73" s="8"/>
      <c r="B73" s="93" t="str">
        <f>B6</f>
        <v>신한 #672</v>
      </c>
      <c r="C73" s="94" t="s">
        <v>257</v>
      </c>
      <c r="D73" s="94" t="s">
        <v>88</v>
      </c>
      <c r="E73" s="95">
        <v>0.0</v>
      </c>
      <c r="F73" s="96">
        <v>26000.0</v>
      </c>
      <c r="G73" s="97" t="s">
        <v>256</v>
      </c>
      <c r="H73" s="76" t="s">
        <v>12</v>
      </c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0" customHeight="1">
      <c r="A74" s="8"/>
      <c r="B74" s="93" t="str">
        <f>B6</f>
        <v>신한 #672</v>
      </c>
      <c r="C74" s="94" t="s">
        <v>258</v>
      </c>
      <c r="D74" s="94" t="s">
        <v>91</v>
      </c>
      <c r="E74" s="95">
        <v>1.29619579E8</v>
      </c>
      <c r="F74" s="96">
        <v>0.0</v>
      </c>
      <c r="G74" s="97" t="s">
        <v>92</v>
      </c>
      <c r="H74" s="76" t="s">
        <v>77</v>
      </c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0" customHeight="1">
      <c r="A75" s="8"/>
      <c r="B75" s="93" t="str">
        <f>B6</f>
        <v>신한 #672</v>
      </c>
      <c r="C75" s="94" t="s">
        <v>259</v>
      </c>
      <c r="D75" s="94" t="s">
        <v>88</v>
      </c>
      <c r="E75" s="95">
        <v>0.0</v>
      </c>
      <c r="F75" s="96">
        <v>1900.0</v>
      </c>
      <c r="G75" s="97" t="s">
        <v>260</v>
      </c>
      <c r="H75" s="76" t="s">
        <v>29</v>
      </c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0" customHeight="1">
      <c r="A76" s="8"/>
      <c r="B76" s="93" t="str">
        <f>B6</f>
        <v>신한 #672</v>
      </c>
      <c r="C76" s="94" t="s">
        <v>261</v>
      </c>
      <c r="D76" s="94" t="s">
        <v>88</v>
      </c>
      <c r="E76" s="95">
        <v>0.0</v>
      </c>
      <c r="F76" s="96">
        <v>18100.0</v>
      </c>
      <c r="G76" s="97" t="s">
        <v>192</v>
      </c>
      <c r="H76" s="76" t="s">
        <v>12</v>
      </c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0" customHeight="1">
      <c r="A77" s="8"/>
      <c r="B77" s="93" t="str">
        <f>B6</f>
        <v>신한 #672</v>
      </c>
      <c r="C77" s="94" t="s">
        <v>261</v>
      </c>
      <c r="D77" s="94" t="s">
        <v>88</v>
      </c>
      <c r="E77" s="95">
        <v>18100.0</v>
      </c>
      <c r="F77" s="96">
        <v>0.0</v>
      </c>
      <c r="G77" s="97" t="s">
        <v>192</v>
      </c>
      <c r="H77" s="76" t="s">
        <v>12</v>
      </c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0" customHeight="1">
      <c r="A78" s="8"/>
      <c r="B78" s="93" t="str">
        <f>B6</f>
        <v>신한 #672</v>
      </c>
      <c r="C78" s="94" t="s">
        <v>262</v>
      </c>
      <c r="D78" s="94" t="s">
        <v>88</v>
      </c>
      <c r="E78" s="95">
        <v>0.0</v>
      </c>
      <c r="F78" s="96">
        <v>5600.0</v>
      </c>
      <c r="G78" s="97" t="s">
        <v>263</v>
      </c>
      <c r="H78" s="76" t="s">
        <v>12</v>
      </c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0" customHeight="1">
      <c r="A79" s="8"/>
      <c r="B79" s="93" t="str">
        <f>B6</f>
        <v>신한 #672</v>
      </c>
      <c r="C79" s="94" t="s">
        <v>264</v>
      </c>
      <c r="D79" s="94" t="s">
        <v>88</v>
      </c>
      <c r="E79" s="95">
        <v>0.0</v>
      </c>
      <c r="F79" s="96">
        <v>17900.0</v>
      </c>
      <c r="G79" s="97" t="s">
        <v>247</v>
      </c>
      <c r="H79" s="76" t="s">
        <v>12</v>
      </c>
      <c r="I79" s="1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0" customHeight="1">
      <c r="A80" s="8"/>
      <c r="B80" s="93" t="str">
        <f>B6</f>
        <v>신한 #672</v>
      </c>
      <c r="C80" s="94" t="s">
        <v>265</v>
      </c>
      <c r="D80" s="94" t="s">
        <v>88</v>
      </c>
      <c r="E80" s="95">
        <v>0.0</v>
      </c>
      <c r="F80" s="96">
        <v>256000.0</v>
      </c>
      <c r="G80" s="97" t="s">
        <v>266</v>
      </c>
      <c r="H80" s="76" t="s">
        <v>29</v>
      </c>
      <c r="I80" s="1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0" customHeight="1">
      <c r="A81" s="8"/>
      <c r="B81" s="93" t="str">
        <f>B6</f>
        <v>신한 #672</v>
      </c>
      <c r="C81" s="94" t="s">
        <v>267</v>
      </c>
      <c r="D81" s="94" t="s">
        <v>57</v>
      </c>
      <c r="E81" s="95">
        <v>0.0</v>
      </c>
      <c r="F81" s="96">
        <v>325000.0</v>
      </c>
      <c r="G81" s="97" t="s">
        <v>268</v>
      </c>
      <c r="H81" s="76" t="s">
        <v>33</v>
      </c>
      <c r="I81" s="1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0" customHeight="1">
      <c r="A82" s="8"/>
      <c r="B82" s="93" t="str">
        <f>B6</f>
        <v>신한 #672</v>
      </c>
      <c r="C82" s="94" t="s">
        <v>269</v>
      </c>
      <c r="D82" s="94" t="s">
        <v>57</v>
      </c>
      <c r="E82" s="95">
        <v>0.0</v>
      </c>
      <c r="F82" s="96">
        <v>2483872.0</v>
      </c>
      <c r="G82" s="97" t="s">
        <v>270</v>
      </c>
      <c r="H82" s="76" t="s">
        <v>33</v>
      </c>
      <c r="I82" s="1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0" customHeight="1">
      <c r="A83" s="8"/>
      <c r="B83" s="93" t="str">
        <f>B6</f>
        <v>신한 #672</v>
      </c>
      <c r="C83" s="94" t="s">
        <v>271</v>
      </c>
      <c r="D83" s="94" t="s">
        <v>88</v>
      </c>
      <c r="E83" s="95">
        <v>0.0</v>
      </c>
      <c r="F83" s="96">
        <v>39000.0</v>
      </c>
      <c r="G83" s="97" t="s">
        <v>272</v>
      </c>
      <c r="H83" s="76" t="s">
        <v>29</v>
      </c>
      <c r="I83" s="1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0" customHeight="1">
      <c r="A84" s="8"/>
      <c r="B84" s="93" t="str">
        <f>B6</f>
        <v>신한 #672</v>
      </c>
      <c r="C84" s="94" t="s">
        <v>273</v>
      </c>
      <c r="D84" s="94" t="s">
        <v>88</v>
      </c>
      <c r="E84" s="95">
        <v>0.0</v>
      </c>
      <c r="F84" s="96">
        <v>1012140.0</v>
      </c>
      <c r="G84" s="97" t="s">
        <v>274</v>
      </c>
      <c r="H84" s="76" t="s">
        <v>24</v>
      </c>
      <c r="I84" s="1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0" customHeight="1">
      <c r="A85" s="8"/>
      <c r="B85" s="93" t="str">
        <f>B6</f>
        <v>신한 #672</v>
      </c>
      <c r="C85" s="94" t="s">
        <v>275</v>
      </c>
      <c r="D85" s="94" t="s">
        <v>88</v>
      </c>
      <c r="E85" s="95">
        <v>0.0</v>
      </c>
      <c r="F85" s="96">
        <v>178000.0</v>
      </c>
      <c r="G85" s="97" t="s">
        <v>276</v>
      </c>
      <c r="H85" s="76" t="s">
        <v>24</v>
      </c>
      <c r="I85" s="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0" customHeight="1">
      <c r="A86" s="8"/>
      <c r="B86" s="93" t="str">
        <f>B6</f>
        <v>신한 #672</v>
      </c>
      <c r="C86" s="94" t="s">
        <v>277</v>
      </c>
      <c r="D86" s="94" t="s">
        <v>88</v>
      </c>
      <c r="E86" s="95">
        <v>0.0</v>
      </c>
      <c r="F86" s="96">
        <v>176000.0</v>
      </c>
      <c r="G86" s="97" t="s">
        <v>278</v>
      </c>
      <c r="H86" s="76" t="s">
        <v>24</v>
      </c>
      <c r="I86" s="1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0" customHeight="1">
      <c r="A87" s="8"/>
      <c r="B87" s="93" t="str">
        <f>B6</f>
        <v>신한 #672</v>
      </c>
      <c r="C87" s="94" t="s">
        <v>279</v>
      </c>
      <c r="D87" s="94" t="s">
        <v>88</v>
      </c>
      <c r="E87" s="95">
        <v>0.0</v>
      </c>
      <c r="F87" s="96">
        <v>23200.0</v>
      </c>
      <c r="G87" s="97" t="s">
        <v>98</v>
      </c>
      <c r="H87" s="76" t="s">
        <v>12</v>
      </c>
      <c r="I87" s="1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0" customHeight="1">
      <c r="A88" s="8"/>
      <c r="B88" s="93" t="str">
        <f>B6</f>
        <v>신한 #672</v>
      </c>
      <c r="C88" s="94" t="s">
        <v>279</v>
      </c>
      <c r="D88" s="94" t="s">
        <v>88</v>
      </c>
      <c r="E88" s="95">
        <v>23200.0</v>
      </c>
      <c r="F88" s="96">
        <v>0.0</v>
      </c>
      <c r="G88" s="97" t="s">
        <v>98</v>
      </c>
      <c r="H88" s="76" t="s">
        <v>12</v>
      </c>
      <c r="I88" s="1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0" customHeight="1">
      <c r="A89" s="8"/>
      <c r="B89" s="93" t="str">
        <f>B6</f>
        <v>신한 #672</v>
      </c>
      <c r="C89" s="94" t="s">
        <v>280</v>
      </c>
      <c r="D89" s="94" t="s">
        <v>88</v>
      </c>
      <c r="E89" s="95">
        <v>0.0</v>
      </c>
      <c r="F89" s="96">
        <v>18300.0</v>
      </c>
      <c r="G89" s="97" t="s">
        <v>106</v>
      </c>
      <c r="H89" s="76" t="s">
        <v>12</v>
      </c>
      <c r="I89" s="1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0" customHeight="1">
      <c r="A90" s="8"/>
      <c r="B90" s="93" t="str">
        <f>B6</f>
        <v>신한 #672</v>
      </c>
      <c r="C90" s="94" t="s">
        <v>281</v>
      </c>
      <c r="D90" s="94" t="s">
        <v>88</v>
      </c>
      <c r="E90" s="95">
        <v>0.0</v>
      </c>
      <c r="F90" s="96">
        <v>324000.0</v>
      </c>
      <c r="G90" s="97" t="s">
        <v>282</v>
      </c>
      <c r="H90" s="76" t="s">
        <v>24</v>
      </c>
      <c r="I90" s="1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0" customHeight="1">
      <c r="A91" s="8"/>
      <c r="B91" s="93" t="str">
        <f>B6</f>
        <v>신한 #672</v>
      </c>
      <c r="C91" s="94" t="s">
        <v>283</v>
      </c>
      <c r="D91" s="94" t="s">
        <v>88</v>
      </c>
      <c r="E91" s="95">
        <v>0.0</v>
      </c>
      <c r="F91" s="96">
        <v>156000.0</v>
      </c>
      <c r="G91" s="97" t="s">
        <v>284</v>
      </c>
      <c r="H91" s="76" t="s">
        <v>29</v>
      </c>
      <c r="I91" s="1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0" customHeight="1">
      <c r="A92" s="8"/>
      <c r="B92" s="93" t="str">
        <f>B6</f>
        <v>신한 #672</v>
      </c>
      <c r="C92" s="94" t="s">
        <v>285</v>
      </c>
      <c r="D92" s="94" t="s">
        <v>88</v>
      </c>
      <c r="E92" s="95">
        <v>0.0</v>
      </c>
      <c r="F92" s="96">
        <v>5300.0</v>
      </c>
      <c r="G92" s="97" t="s">
        <v>286</v>
      </c>
      <c r="H92" s="76" t="s">
        <v>12</v>
      </c>
      <c r="I92" s="1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0" customHeight="1">
      <c r="A93" s="8"/>
      <c r="B93" s="93" t="str">
        <f>B6</f>
        <v>신한 #672</v>
      </c>
      <c r="C93" s="94" t="s">
        <v>287</v>
      </c>
      <c r="D93" s="94" t="s">
        <v>88</v>
      </c>
      <c r="E93" s="95">
        <v>0.0</v>
      </c>
      <c r="F93" s="96">
        <v>91800.0</v>
      </c>
      <c r="G93" s="97" t="s">
        <v>288</v>
      </c>
      <c r="H93" s="76" t="s">
        <v>24</v>
      </c>
      <c r="I93" s="1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0" customHeight="1">
      <c r="A94" s="8"/>
      <c r="B94" s="93" t="str">
        <f>B6</f>
        <v>신한 #672</v>
      </c>
      <c r="C94" s="94" t="s">
        <v>289</v>
      </c>
      <c r="D94" s="94" t="s">
        <v>88</v>
      </c>
      <c r="E94" s="95">
        <v>0.0</v>
      </c>
      <c r="F94" s="96">
        <v>123410.0</v>
      </c>
      <c r="G94" s="97" t="s">
        <v>276</v>
      </c>
      <c r="H94" s="76" t="s">
        <v>24</v>
      </c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0" customHeight="1">
      <c r="A95" s="8"/>
      <c r="B95" s="93" t="str">
        <f>B6</f>
        <v>신한 #672</v>
      </c>
      <c r="C95" s="94" t="s">
        <v>290</v>
      </c>
      <c r="D95" s="94" t="s">
        <v>88</v>
      </c>
      <c r="E95" s="95">
        <v>0.0</v>
      </c>
      <c r="F95" s="96">
        <v>10890.0</v>
      </c>
      <c r="G95" s="97" t="s">
        <v>276</v>
      </c>
      <c r="H95" s="76" t="s">
        <v>24</v>
      </c>
      <c r="I95" s="1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0" customHeight="1">
      <c r="A96" s="8"/>
      <c r="B96" s="93" t="str">
        <f>B6</f>
        <v>신한 #672</v>
      </c>
      <c r="C96" s="94" t="s">
        <v>291</v>
      </c>
      <c r="D96" s="94" t="s">
        <v>88</v>
      </c>
      <c r="E96" s="95">
        <v>0.0</v>
      </c>
      <c r="F96" s="96">
        <v>13500.0</v>
      </c>
      <c r="G96" s="97" t="s">
        <v>292</v>
      </c>
      <c r="H96" s="76" t="s">
        <v>24</v>
      </c>
      <c r="I96" s="1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0" customHeight="1">
      <c r="A97" s="8"/>
      <c r="B97" s="93" t="str">
        <f>B6</f>
        <v>신한 #672</v>
      </c>
      <c r="C97" s="94" t="s">
        <v>293</v>
      </c>
      <c r="D97" s="94" t="s">
        <v>88</v>
      </c>
      <c r="E97" s="95">
        <v>178000.0</v>
      </c>
      <c r="F97" s="96">
        <v>0.0</v>
      </c>
      <c r="G97" s="97" t="s">
        <v>276</v>
      </c>
      <c r="H97" s="76" t="s">
        <v>24</v>
      </c>
      <c r="I97" s="1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0" customHeight="1">
      <c r="A98" s="8"/>
      <c r="B98" s="93" t="str">
        <f>B6</f>
        <v>신한 #672</v>
      </c>
      <c r="C98" s="94" t="s">
        <v>294</v>
      </c>
      <c r="D98" s="94" t="s">
        <v>88</v>
      </c>
      <c r="E98" s="95">
        <v>0.0</v>
      </c>
      <c r="F98" s="96">
        <v>6000.0</v>
      </c>
      <c r="G98" s="97" t="s">
        <v>295</v>
      </c>
      <c r="H98" s="76" t="s">
        <v>29</v>
      </c>
      <c r="I98" s="1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0" customHeight="1">
      <c r="A99" s="8"/>
      <c r="B99" s="93" t="str">
        <f>B6</f>
        <v>신한 #672</v>
      </c>
      <c r="C99" s="94" t="s">
        <v>296</v>
      </c>
      <c r="D99" s="94" t="s">
        <v>57</v>
      </c>
      <c r="E99" s="95">
        <v>0.0</v>
      </c>
      <c r="F99" s="96">
        <v>1000500.0</v>
      </c>
      <c r="G99" s="97" t="s">
        <v>297</v>
      </c>
      <c r="H99" s="76" t="s">
        <v>33</v>
      </c>
      <c r="I99" s="1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0" customHeight="1">
      <c r="A100" s="8"/>
      <c r="B100" s="93" t="str">
        <f>B6</f>
        <v>신한 #672</v>
      </c>
      <c r="C100" s="94" t="s">
        <v>298</v>
      </c>
      <c r="D100" s="94" t="s">
        <v>57</v>
      </c>
      <c r="E100" s="95">
        <v>0.0</v>
      </c>
      <c r="F100" s="96">
        <v>42500.0</v>
      </c>
      <c r="G100" s="97" t="s">
        <v>299</v>
      </c>
      <c r="H100" s="76" t="s">
        <v>27</v>
      </c>
      <c r="I100" s="1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0" customHeight="1">
      <c r="A101" s="8"/>
      <c r="B101" s="93" t="str">
        <f>B6</f>
        <v>신한 #672</v>
      </c>
      <c r="C101" s="94" t="s">
        <v>300</v>
      </c>
      <c r="D101" s="94" t="s">
        <v>88</v>
      </c>
      <c r="E101" s="95">
        <v>0.0</v>
      </c>
      <c r="F101" s="96">
        <v>7800.0</v>
      </c>
      <c r="G101" s="97" t="s">
        <v>98</v>
      </c>
      <c r="H101" s="76" t="s">
        <v>12</v>
      </c>
      <c r="I101" s="1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0" customHeight="1">
      <c r="A102" s="8"/>
      <c r="B102" s="93" t="str">
        <f>B6</f>
        <v>신한 #672</v>
      </c>
      <c r="C102" s="94" t="s">
        <v>301</v>
      </c>
      <c r="D102" s="94" t="s">
        <v>88</v>
      </c>
      <c r="E102" s="95">
        <v>7800.0</v>
      </c>
      <c r="F102" s="96">
        <v>0.0</v>
      </c>
      <c r="G102" s="97" t="s">
        <v>98</v>
      </c>
      <c r="H102" s="76" t="s">
        <v>12</v>
      </c>
      <c r="I102" s="1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0" customHeight="1">
      <c r="A103" s="8"/>
      <c r="B103" s="93" t="str">
        <f>B6</f>
        <v>신한 #672</v>
      </c>
      <c r="C103" s="94" t="s">
        <v>302</v>
      </c>
      <c r="D103" s="94" t="s">
        <v>88</v>
      </c>
      <c r="E103" s="95">
        <v>0.0</v>
      </c>
      <c r="F103" s="96">
        <v>6200.0</v>
      </c>
      <c r="G103" s="97" t="s">
        <v>101</v>
      </c>
      <c r="H103" s="76" t="s">
        <v>12</v>
      </c>
      <c r="I103" s="1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0" customHeight="1">
      <c r="A104" s="8"/>
      <c r="B104" s="93" t="str">
        <f>B6</f>
        <v>신한 #672</v>
      </c>
      <c r="C104" s="94" t="s">
        <v>303</v>
      </c>
      <c r="D104" s="94" t="s">
        <v>88</v>
      </c>
      <c r="E104" s="95">
        <v>0.0</v>
      </c>
      <c r="F104" s="96">
        <v>13000.0</v>
      </c>
      <c r="G104" s="97" t="s">
        <v>304</v>
      </c>
      <c r="H104" s="76" t="s">
        <v>29</v>
      </c>
      <c r="I104" s="1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0" customHeight="1">
      <c r="A105" s="8"/>
      <c r="B105" s="93" t="str">
        <f>B6</f>
        <v>신한 #672</v>
      </c>
      <c r="C105" s="94" t="s">
        <v>305</v>
      </c>
      <c r="D105" s="94" t="s">
        <v>88</v>
      </c>
      <c r="E105" s="95">
        <v>0.0</v>
      </c>
      <c r="F105" s="96">
        <v>8000.0</v>
      </c>
      <c r="G105" s="97" t="s">
        <v>306</v>
      </c>
      <c r="H105" s="76" t="s">
        <v>12</v>
      </c>
      <c r="I105" s="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0" customHeight="1">
      <c r="A106" s="8"/>
      <c r="B106" s="93" t="str">
        <f>B6</f>
        <v>신한 #672</v>
      </c>
      <c r="C106" s="94" t="s">
        <v>307</v>
      </c>
      <c r="D106" s="94" t="s">
        <v>88</v>
      </c>
      <c r="E106" s="95">
        <v>0.0</v>
      </c>
      <c r="F106" s="96">
        <v>10000.0</v>
      </c>
      <c r="G106" s="97" t="s">
        <v>98</v>
      </c>
      <c r="H106" s="76" t="s">
        <v>12</v>
      </c>
      <c r="I106" s="1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0" customHeight="1">
      <c r="A107" s="8"/>
      <c r="B107" s="93" t="str">
        <f>B6</f>
        <v>신한 #672</v>
      </c>
      <c r="C107" s="94" t="s">
        <v>308</v>
      </c>
      <c r="D107" s="94" t="s">
        <v>88</v>
      </c>
      <c r="E107" s="95">
        <v>10000.0</v>
      </c>
      <c r="F107" s="96">
        <v>0.0</v>
      </c>
      <c r="G107" s="97" t="s">
        <v>98</v>
      </c>
      <c r="H107" s="76" t="s">
        <v>12</v>
      </c>
      <c r="I107" s="1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0" customHeight="1">
      <c r="A108" s="8"/>
      <c r="B108" s="93" t="str">
        <f>B6</f>
        <v>신한 #672</v>
      </c>
      <c r="C108" s="94" t="s">
        <v>309</v>
      </c>
      <c r="D108" s="94" t="s">
        <v>88</v>
      </c>
      <c r="E108" s="95">
        <v>0.0</v>
      </c>
      <c r="F108" s="96">
        <v>8500.0</v>
      </c>
      <c r="G108" s="97" t="s">
        <v>101</v>
      </c>
      <c r="H108" s="76" t="s">
        <v>12</v>
      </c>
      <c r="I108" s="1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0" customHeight="1">
      <c r="A109" s="8"/>
      <c r="B109" s="93" t="str">
        <f>B6</f>
        <v>신한 #672</v>
      </c>
      <c r="C109" s="94" t="s">
        <v>310</v>
      </c>
      <c r="D109" s="94" t="s">
        <v>88</v>
      </c>
      <c r="E109" s="95">
        <v>0.0</v>
      </c>
      <c r="F109" s="96">
        <v>61000.0</v>
      </c>
      <c r="G109" s="97" t="s">
        <v>311</v>
      </c>
      <c r="H109" s="76" t="s">
        <v>29</v>
      </c>
      <c r="I109" s="1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0" customHeight="1">
      <c r="A110" s="8"/>
      <c r="B110" s="93" t="str">
        <f>B6</f>
        <v>신한 #672</v>
      </c>
      <c r="C110" s="94" t="s">
        <v>312</v>
      </c>
      <c r="D110" s="94" t="s">
        <v>57</v>
      </c>
      <c r="E110" s="95">
        <v>0.0</v>
      </c>
      <c r="F110" s="96">
        <v>5742708.0</v>
      </c>
      <c r="G110" s="97" t="s">
        <v>313</v>
      </c>
      <c r="H110" s="76" t="s">
        <v>41</v>
      </c>
      <c r="I110" s="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0" customHeight="1">
      <c r="A111" s="8"/>
      <c r="B111" s="93" t="str">
        <f>B6</f>
        <v>신한 #672</v>
      </c>
      <c r="C111" s="94" t="s">
        <v>314</v>
      </c>
      <c r="D111" s="94" t="s">
        <v>57</v>
      </c>
      <c r="E111" s="95">
        <v>0.0</v>
      </c>
      <c r="F111" s="96">
        <v>5415408.0</v>
      </c>
      <c r="G111" s="97" t="s">
        <v>315</v>
      </c>
      <c r="H111" s="76" t="s">
        <v>41</v>
      </c>
      <c r="I111" s="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0" customHeight="1">
      <c r="A112" s="8"/>
      <c r="B112" s="93" t="str">
        <f>B6</f>
        <v>신한 #672</v>
      </c>
      <c r="C112" s="94" t="s">
        <v>314</v>
      </c>
      <c r="D112" s="94" t="s">
        <v>57</v>
      </c>
      <c r="E112" s="95">
        <v>0.0</v>
      </c>
      <c r="F112" s="96">
        <v>6038938.0</v>
      </c>
      <c r="G112" s="97" t="s">
        <v>316</v>
      </c>
      <c r="H112" s="76" t="s">
        <v>41</v>
      </c>
      <c r="I112" s="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0" customHeight="1">
      <c r="A113" s="8"/>
      <c r="B113" s="93" t="str">
        <f>B6</f>
        <v>신한 #672</v>
      </c>
      <c r="C113" s="94" t="s">
        <v>317</v>
      </c>
      <c r="D113" s="94" t="s">
        <v>57</v>
      </c>
      <c r="E113" s="95">
        <v>0.0</v>
      </c>
      <c r="F113" s="96">
        <v>5624578.0</v>
      </c>
      <c r="G113" s="97" t="s">
        <v>318</v>
      </c>
      <c r="H113" s="76" t="s">
        <v>41</v>
      </c>
      <c r="I113" s="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0" customHeight="1">
      <c r="A114" s="8"/>
      <c r="B114" s="93" t="str">
        <f>B6</f>
        <v>신한 #672</v>
      </c>
      <c r="C114" s="94" t="s">
        <v>319</v>
      </c>
      <c r="D114" s="94" t="s">
        <v>57</v>
      </c>
      <c r="E114" s="95">
        <v>0.0</v>
      </c>
      <c r="F114" s="96">
        <v>3089805.0</v>
      </c>
      <c r="G114" s="97" t="s">
        <v>320</v>
      </c>
      <c r="H114" s="76" t="s">
        <v>41</v>
      </c>
      <c r="I114" s="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0" customHeight="1">
      <c r="A115" s="8"/>
      <c r="B115" s="93" t="str">
        <f>B6</f>
        <v>신한 #672</v>
      </c>
      <c r="C115" s="94" t="s">
        <v>319</v>
      </c>
      <c r="D115" s="94" t="s">
        <v>57</v>
      </c>
      <c r="E115" s="95">
        <v>0.0</v>
      </c>
      <c r="F115" s="96">
        <v>4886010.0</v>
      </c>
      <c r="G115" s="97" t="s">
        <v>321</v>
      </c>
      <c r="H115" s="76" t="s">
        <v>41</v>
      </c>
      <c r="I115" s="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0" customHeight="1">
      <c r="A116" s="8"/>
      <c r="B116" s="93" t="str">
        <f>B6</f>
        <v>신한 #672</v>
      </c>
      <c r="C116" s="94" t="s">
        <v>322</v>
      </c>
      <c r="D116" s="94" t="s">
        <v>57</v>
      </c>
      <c r="E116" s="95">
        <v>0.0</v>
      </c>
      <c r="F116" s="96">
        <v>6427734.0</v>
      </c>
      <c r="G116" s="97" t="s">
        <v>323</v>
      </c>
      <c r="H116" s="76" t="s">
        <v>41</v>
      </c>
      <c r="I116" s="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0" customHeight="1">
      <c r="A117" s="8"/>
      <c r="B117" s="93" t="str">
        <f>B6</f>
        <v>신한 #672</v>
      </c>
      <c r="C117" s="94" t="s">
        <v>324</v>
      </c>
      <c r="D117" s="94" t="s">
        <v>57</v>
      </c>
      <c r="E117" s="95">
        <v>0.0</v>
      </c>
      <c r="F117" s="96">
        <v>2901500.0</v>
      </c>
      <c r="G117" s="97" t="s">
        <v>325</v>
      </c>
      <c r="H117" s="76" t="s">
        <v>39</v>
      </c>
      <c r="I117" s="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0" customHeight="1">
      <c r="A118" s="8"/>
      <c r="B118" s="93" t="str">
        <f>B6</f>
        <v>신한 #672</v>
      </c>
      <c r="C118" s="94" t="s">
        <v>324</v>
      </c>
      <c r="D118" s="94" t="s">
        <v>57</v>
      </c>
      <c r="E118" s="95">
        <v>0.0</v>
      </c>
      <c r="F118" s="96">
        <v>2901500.0</v>
      </c>
      <c r="G118" s="97" t="s">
        <v>326</v>
      </c>
      <c r="H118" s="76" t="s">
        <v>39</v>
      </c>
      <c r="I118" s="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0" customHeight="1">
      <c r="A119" s="8"/>
      <c r="B119" s="93" t="str">
        <f>B6</f>
        <v>신한 #672</v>
      </c>
      <c r="C119" s="94" t="s">
        <v>327</v>
      </c>
      <c r="D119" s="94" t="s">
        <v>57</v>
      </c>
      <c r="E119" s="95">
        <v>0.0</v>
      </c>
      <c r="F119" s="96">
        <v>484000.0</v>
      </c>
      <c r="G119" s="97" t="s">
        <v>328</v>
      </c>
      <c r="H119" s="76" t="s">
        <v>39</v>
      </c>
      <c r="I119" s="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0" customHeight="1">
      <c r="A120" s="8"/>
      <c r="B120" s="93" t="str">
        <f>B6</f>
        <v>신한 #672</v>
      </c>
      <c r="C120" s="94" t="s">
        <v>329</v>
      </c>
      <c r="D120" s="94" t="s">
        <v>57</v>
      </c>
      <c r="E120" s="95">
        <v>0.0</v>
      </c>
      <c r="F120" s="96">
        <v>832100.0</v>
      </c>
      <c r="G120" s="97" t="s">
        <v>330</v>
      </c>
      <c r="H120" s="76" t="s">
        <v>33</v>
      </c>
      <c r="I120" s="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0" customHeight="1">
      <c r="A121" s="8"/>
      <c r="B121" s="93" t="str">
        <f>B6</f>
        <v>신한 #672</v>
      </c>
      <c r="C121" s="94" t="s">
        <v>331</v>
      </c>
      <c r="D121" s="94" t="s">
        <v>57</v>
      </c>
      <c r="E121" s="95">
        <v>0.0</v>
      </c>
      <c r="F121" s="96">
        <v>1178957.0</v>
      </c>
      <c r="G121" s="97" t="s">
        <v>332</v>
      </c>
      <c r="H121" s="76" t="s">
        <v>12</v>
      </c>
      <c r="I121" s="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0" customHeight="1">
      <c r="A122" s="8"/>
      <c r="B122" s="93" t="str">
        <f>B6</f>
        <v>신한 #672</v>
      </c>
      <c r="C122" s="94" t="s">
        <v>333</v>
      </c>
      <c r="D122" s="94" t="s">
        <v>57</v>
      </c>
      <c r="E122" s="95">
        <v>0.0</v>
      </c>
      <c r="F122" s="96">
        <v>156300.0</v>
      </c>
      <c r="G122" s="97" t="s">
        <v>334</v>
      </c>
      <c r="H122" s="76" t="s">
        <v>12</v>
      </c>
      <c r="I122" s="1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0" customHeight="1">
      <c r="A123" s="8"/>
      <c r="B123" s="93" t="str">
        <f>B6</f>
        <v>신한 #672</v>
      </c>
      <c r="C123" s="94" t="s">
        <v>335</v>
      </c>
      <c r="D123" s="94" t="s">
        <v>57</v>
      </c>
      <c r="E123" s="95">
        <v>0.0</v>
      </c>
      <c r="F123" s="96">
        <v>293781.0</v>
      </c>
      <c r="G123" s="97" t="s">
        <v>336</v>
      </c>
      <c r="H123" s="76" t="s">
        <v>12</v>
      </c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0" customHeight="1">
      <c r="A124" s="8"/>
      <c r="B124" s="93" t="str">
        <f>B6</f>
        <v>신한 #672</v>
      </c>
      <c r="C124" s="94" t="s">
        <v>337</v>
      </c>
      <c r="D124" s="94" t="s">
        <v>57</v>
      </c>
      <c r="E124" s="95">
        <v>0.0</v>
      </c>
      <c r="F124" s="96">
        <v>221500.0</v>
      </c>
      <c r="G124" s="97" t="s">
        <v>338</v>
      </c>
      <c r="H124" s="76" t="s">
        <v>12</v>
      </c>
      <c r="I124" s="1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0" customHeight="1">
      <c r="A125" s="8"/>
      <c r="B125" s="93" t="str">
        <f>B6</f>
        <v>신한 #672</v>
      </c>
      <c r="C125" s="94" t="s">
        <v>339</v>
      </c>
      <c r="D125" s="94" t="s">
        <v>57</v>
      </c>
      <c r="E125" s="95">
        <v>0.0</v>
      </c>
      <c r="F125" s="96">
        <v>240500.0</v>
      </c>
      <c r="G125" s="97" t="s">
        <v>340</v>
      </c>
      <c r="H125" s="76" t="s">
        <v>27</v>
      </c>
      <c r="I125" s="1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0" customHeight="1">
      <c r="A126" s="8"/>
      <c r="B126" s="93" t="str">
        <f>B6</f>
        <v>신한 #672</v>
      </c>
      <c r="C126" s="94" t="s">
        <v>341</v>
      </c>
      <c r="D126" s="94" t="s">
        <v>88</v>
      </c>
      <c r="E126" s="95">
        <v>0.0</v>
      </c>
      <c r="F126" s="96">
        <v>110.0</v>
      </c>
      <c r="G126" s="97" t="s">
        <v>342</v>
      </c>
      <c r="H126" s="76" t="s">
        <v>33</v>
      </c>
      <c r="I126" s="1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0" customHeight="1">
      <c r="A127" s="8"/>
      <c r="B127" s="93" t="str">
        <f>B6</f>
        <v>신한 #672</v>
      </c>
      <c r="C127" s="94" t="s">
        <v>343</v>
      </c>
      <c r="D127" s="94" t="s">
        <v>88</v>
      </c>
      <c r="E127" s="95">
        <v>0.0</v>
      </c>
      <c r="F127" s="96">
        <v>440.0</v>
      </c>
      <c r="G127" s="97" t="s">
        <v>342</v>
      </c>
      <c r="H127" s="76" t="s">
        <v>33</v>
      </c>
      <c r="I127" s="1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0" customHeight="1">
      <c r="A128" s="8"/>
      <c r="B128" s="93" t="str">
        <f>B6</f>
        <v>신한 #672</v>
      </c>
      <c r="C128" s="94" t="s">
        <v>344</v>
      </c>
      <c r="D128" s="94" t="s">
        <v>88</v>
      </c>
      <c r="E128" s="95">
        <v>0.0</v>
      </c>
      <c r="F128" s="96">
        <v>330.0</v>
      </c>
      <c r="G128" s="97" t="s">
        <v>342</v>
      </c>
      <c r="H128" s="76" t="s">
        <v>33</v>
      </c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0" customHeight="1">
      <c r="A129" s="8"/>
      <c r="B129" s="93" t="str">
        <f>B6</f>
        <v>신한 #672</v>
      </c>
      <c r="C129" s="94" t="s">
        <v>345</v>
      </c>
      <c r="D129" s="94" t="s">
        <v>88</v>
      </c>
      <c r="E129" s="95">
        <v>0.0</v>
      </c>
      <c r="F129" s="96">
        <v>110.0</v>
      </c>
      <c r="G129" s="97" t="s">
        <v>342</v>
      </c>
      <c r="H129" s="76" t="s">
        <v>33</v>
      </c>
      <c r="I129" s="1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0" customHeight="1">
      <c r="A130" s="8"/>
      <c r="B130" s="93" t="str">
        <f>B6</f>
        <v>신한 #672</v>
      </c>
      <c r="C130" s="94" t="s">
        <v>346</v>
      </c>
      <c r="D130" s="94" t="s">
        <v>57</v>
      </c>
      <c r="E130" s="95">
        <v>0.0</v>
      </c>
      <c r="F130" s="96">
        <v>5500000.0</v>
      </c>
      <c r="G130" s="97" t="s">
        <v>347</v>
      </c>
      <c r="H130" s="76" t="s">
        <v>33</v>
      </c>
      <c r="I130" s="1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0" customHeight="1">
      <c r="A131" s="8"/>
      <c r="B131" s="93" t="str">
        <f>B6</f>
        <v>신한 #672</v>
      </c>
      <c r="C131" s="94" t="s">
        <v>348</v>
      </c>
      <c r="D131" s="94" t="s">
        <v>88</v>
      </c>
      <c r="E131" s="95">
        <v>0.0</v>
      </c>
      <c r="F131" s="96">
        <v>2392000.0</v>
      </c>
      <c r="G131" s="97" t="s">
        <v>349</v>
      </c>
      <c r="H131" s="76" t="s">
        <v>16</v>
      </c>
      <c r="I131" s="1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0" customHeight="1">
      <c r="A132" s="8"/>
      <c r="B132" s="93" t="str">
        <f>B6</f>
        <v>신한 #672</v>
      </c>
      <c r="C132" s="94" t="s">
        <v>350</v>
      </c>
      <c r="D132" s="94" t="s">
        <v>351</v>
      </c>
      <c r="E132" s="95">
        <v>1000140.0</v>
      </c>
      <c r="F132" s="96">
        <v>0.0</v>
      </c>
      <c r="G132" s="97" t="s">
        <v>274</v>
      </c>
      <c r="H132" s="76" t="s">
        <v>36</v>
      </c>
      <c r="I132" s="1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0" customHeight="1">
      <c r="A133" s="8"/>
      <c r="B133" s="93" t="str">
        <f>B6</f>
        <v>신한 #672</v>
      </c>
      <c r="C133" s="94" t="s">
        <v>352</v>
      </c>
      <c r="D133" s="94" t="s">
        <v>88</v>
      </c>
      <c r="E133" s="95">
        <v>0.0</v>
      </c>
      <c r="F133" s="96">
        <v>24400.0</v>
      </c>
      <c r="G133" s="97" t="s">
        <v>98</v>
      </c>
      <c r="H133" s="76" t="s">
        <v>12</v>
      </c>
      <c r="I133" s="1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0" customHeight="1">
      <c r="A134" s="8"/>
      <c r="B134" s="93" t="str">
        <f>B6</f>
        <v>신한 #672</v>
      </c>
      <c r="C134" s="94" t="s">
        <v>353</v>
      </c>
      <c r="D134" s="94" t="s">
        <v>88</v>
      </c>
      <c r="E134" s="95">
        <v>24400.0</v>
      </c>
      <c r="F134" s="96">
        <v>0.0</v>
      </c>
      <c r="G134" s="97" t="s">
        <v>98</v>
      </c>
      <c r="H134" s="76" t="s">
        <v>12</v>
      </c>
      <c r="I134" s="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0" customHeight="1">
      <c r="A135" s="8"/>
      <c r="B135" s="93" t="str">
        <f>B6</f>
        <v>신한 #672</v>
      </c>
      <c r="C135" s="94" t="s">
        <v>354</v>
      </c>
      <c r="D135" s="94" t="s">
        <v>88</v>
      </c>
      <c r="E135" s="95">
        <v>0.0</v>
      </c>
      <c r="F135" s="96">
        <v>22300.0</v>
      </c>
      <c r="G135" s="97" t="s">
        <v>101</v>
      </c>
      <c r="H135" s="76" t="s">
        <v>12</v>
      </c>
      <c r="I135" s="1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0" customHeight="1">
      <c r="A136" s="8"/>
      <c r="B136" s="93" t="str">
        <f>B6</f>
        <v>신한 #672</v>
      </c>
      <c r="C136" s="94" t="s">
        <v>355</v>
      </c>
      <c r="D136" s="94" t="s">
        <v>88</v>
      </c>
      <c r="E136" s="95">
        <v>0.0</v>
      </c>
      <c r="F136" s="96">
        <v>30000.0</v>
      </c>
      <c r="G136" s="97" t="s">
        <v>356</v>
      </c>
      <c r="H136" s="76" t="s">
        <v>29</v>
      </c>
      <c r="I136" s="1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0" customHeight="1">
      <c r="A137" s="8"/>
      <c r="B137" s="93" t="str">
        <f>B6</f>
        <v>신한 #672</v>
      </c>
      <c r="C137" s="94" t="s">
        <v>357</v>
      </c>
      <c r="D137" s="94" t="s">
        <v>88</v>
      </c>
      <c r="E137" s="95">
        <v>0.0</v>
      </c>
      <c r="F137" s="96">
        <v>6400.0</v>
      </c>
      <c r="G137" s="97" t="s">
        <v>358</v>
      </c>
      <c r="H137" s="76" t="s">
        <v>29</v>
      </c>
      <c r="I137" s="1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0" customHeight="1">
      <c r="A138" s="8"/>
      <c r="B138" s="93" t="str">
        <f>B6</f>
        <v>신한 #672</v>
      </c>
      <c r="C138" s="94" t="s">
        <v>359</v>
      </c>
      <c r="D138" s="94" t="s">
        <v>57</v>
      </c>
      <c r="E138" s="95">
        <v>0.0</v>
      </c>
      <c r="F138" s="96">
        <v>2430000.0</v>
      </c>
      <c r="G138" s="97" t="s">
        <v>360</v>
      </c>
      <c r="H138" s="76" t="s">
        <v>16</v>
      </c>
      <c r="I138" s="1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0" customHeight="1">
      <c r="A139" s="8"/>
      <c r="B139" s="93" t="str">
        <f>B6</f>
        <v>신한 #672</v>
      </c>
      <c r="C139" s="94" t="s">
        <v>361</v>
      </c>
      <c r="D139" s="94" t="s">
        <v>88</v>
      </c>
      <c r="E139" s="95">
        <v>0.0</v>
      </c>
      <c r="F139" s="96">
        <v>119836.0</v>
      </c>
      <c r="G139" s="97" t="s">
        <v>362</v>
      </c>
      <c r="H139" s="76" t="s">
        <v>33</v>
      </c>
      <c r="I139" s="1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0" customHeight="1">
      <c r="A140" s="8"/>
      <c r="B140" s="93" t="str">
        <f>B6</f>
        <v>신한 #672</v>
      </c>
      <c r="C140" s="94" t="s">
        <v>363</v>
      </c>
      <c r="D140" s="94" t="s">
        <v>88</v>
      </c>
      <c r="E140" s="95">
        <v>0.0</v>
      </c>
      <c r="F140" s="96">
        <v>86000.0</v>
      </c>
      <c r="G140" s="97" t="s">
        <v>364</v>
      </c>
      <c r="H140" s="76" t="s">
        <v>29</v>
      </c>
      <c r="I140" s="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0" customHeight="1">
      <c r="A141" s="8"/>
      <c r="B141" s="93" t="str">
        <f>B6</f>
        <v>신한 #672</v>
      </c>
      <c r="C141" s="94" t="s">
        <v>365</v>
      </c>
      <c r="D141" s="94" t="s">
        <v>88</v>
      </c>
      <c r="E141" s="95">
        <v>0.0</v>
      </c>
      <c r="F141" s="96">
        <v>1000.0</v>
      </c>
      <c r="G141" s="97" t="s">
        <v>172</v>
      </c>
      <c r="H141" s="76" t="s">
        <v>12</v>
      </c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0" customHeight="1">
      <c r="A142" s="8"/>
      <c r="B142" s="93" t="str">
        <f>B6</f>
        <v>신한 #672</v>
      </c>
      <c r="C142" s="94" t="s">
        <v>366</v>
      </c>
      <c r="D142" s="94" t="s">
        <v>88</v>
      </c>
      <c r="E142" s="95">
        <v>1000.0</v>
      </c>
      <c r="F142" s="96">
        <v>0.0</v>
      </c>
      <c r="G142" s="97" t="s">
        <v>172</v>
      </c>
      <c r="H142" s="76" t="s">
        <v>12</v>
      </c>
      <c r="I142" s="1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0" customHeight="1">
      <c r="A143" s="8"/>
      <c r="B143" s="93" t="str">
        <f>B6</f>
        <v>신한 #672</v>
      </c>
      <c r="C143" s="94" t="s">
        <v>367</v>
      </c>
      <c r="D143" s="94" t="s">
        <v>88</v>
      </c>
      <c r="E143" s="95">
        <v>0.0</v>
      </c>
      <c r="F143" s="96">
        <v>4600.0</v>
      </c>
      <c r="G143" s="97" t="s">
        <v>306</v>
      </c>
      <c r="H143" s="76" t="s">
        <v>12</v>
      </c>
      <c r="I143" s="1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0" customHeight="1">
      <c r="A144" s="8"/>
      <c r="B144" s="93" t="str">
        <f>B6</f>
        <v>신한 #672</v>
      </c>
      <c r="C144" s="94" t="s">
        <v>368</v>
      </c>
      <c r="D144" s="94" t="s">
        <v>88</v>
      </c>
      <c r="E144" s="95">
        <v>0.0</v>
      </c>
      <c r="F144" s="96">
        <v>8900.0</v>
      </c>
      <c r="G144" s="97" t="s">
        <v>98</v>
      </c>
      <c r="H144" s="76" t="s">
        <v>12</v>
      </c>
      <c r="I144" s="1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0" customHeight="1">
      <c r="A145" s="8"/>
      <c r="B145" s="93" t="str">
        <f>B6</f>
        <v>신한 #672</v>
      </c>
      <c r="C145" s="94" t="s">
        <v>369</v>
      </c>
      <c r="D145" s="94" t="s">
        <v>88</v>
      </c>
      <c r="E145" s="95">
        <v>8900.0</v>
      </c>
      <c r="F145" s="96">
        <v>0.0</v>
      </c>
      <c r="G145" s="97" t="s">
        <v>98</v>
      </c>
      <c r="H145" s="76" t="s">
        <v>12</v>
      </c>
      <c r="I145" s="1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0" customHeight="1">
      <c r="A146" s="8"/>
      <c r="B146" s="93" t="str">
        <f>B6</f>
        <v>신한 #672</v>
      </c>
      <c r="C146" s="94" t="s">
        <v>370</v>
      </c>
      <c r="D146" s="94" t="s">
        <v>88</v>
      </c>
      <c r="E146" s="95">
        <v>0.0</v>
      </c>
      <c r="F146" s="96">
        <v>110.0</v>
      </c>
      <c r="G146" s="97" t="s">
        <v>342</v>
      </c>
      <c r="H146" s="76" t="s">
        <v>33</v>
      </c>
      <c r="I146" s="1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0" customHeight="1">
      <c r="A147" s="8"/>
      <c r="B147" s="93" t="str">
        <f>B6</f>
        <v>신한 #672</v>
      </c>
      <c r="C147" s="94" t="s">
        <v>371</v>
      </c>
      <c r="D147" s="94" t="s">
        <v>88</v>
      </c>
      <c r="E147" s="95">
        <v>0.0</v>
      </c>
      <c r="F147" s="96">
        <v>112000.0</v>
      </c>
      <c r="G147" s="97" t="s">
        <v>372</v>
      </c>
      <c r="H147" s="76" t="s">
        <v>29</v>
      </c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0" customHeight="1">
      <c r="A148" s="8"/>
      <c r="B148" s="93" t="str">
        <f>B6</f>
        <v>신한 #672</v>
      </c>
      <c r="C148" s="94" t="s">
        <v>373</v>
      </c>
      <c r="D148" s="94" t="s">
        <v>88</v>
      </c>
      <c r="E148" s="95">
        <v>0.0</v>
      </c>
      <c r="F148" s="96">
        <v>12500.0</v>
      </c>
      <c r="G148" s="97" t="s">
        <v>101</v>
      </c>
      <c r="H148" s="76" t="s">
        <v>12</v>
      </c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0" customHeight="1">
      <c r="A149" s="8"/>
      <c r="B149" s="93" t="str">
        <f>B6</f>
        <v>신한 #672</v>
      </c>
      <c r="C149" s="94" t="s">
        <v>374</v>
      </c>
      <c r="D149" s="94" t="s">
        <v>88</v>
      </c>
      <c r="E149" s="95">
        <v>0.0</v>
      </c>
      <c r="F149" s="96">
        <v>22400.0</v>
      </c>
      <c r="G149" s="97" t="s">
        <v>98</v>
      </c>
      <c r="H149" s="76" t="s">
        <v>12</v>
      </c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0" customHeight="1">
      <c r="A150" s="8"/>
      <c r="B150" s="93" t="str">
        <f>B6</f>
        <v>신한 #672</v>
      </c>
      <c r="C150" s="94" t="s">
        <v>374</v>
      </c>
      <c r="D150" s="94" t="s">
        <v>88</v>
      </c>
      <c r="E150" s="95">
        <v>22400.0</v>
      </c>
      <c r="F150" s="96">
        <v>0.0</v>
      </c>
      <c r="G150" s="97" t="s">
        <v>98</v>
      </c>
      <c r="H150" s="76" t="s">
        <v>12</v>
      </c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0" customHeight="1">
      <c r="A151" s="8"/>
      <c r="B151" s="93" t="str">
        <f>B6</f>
        <v>신한 #672</v>
      </c>
      <c r="C151" s="94" t="s">
        <v>375</v>
      </c>
      <c r="D151" s="94" t="s">
        <v>88</v>
      </c>
      <c r="E151" s="95">
        <v>0.0</v>
      </c>
      <c r="F151" s="96">
        <v>1000.0</v>
      </c>
      <c r="G151" s="97" t="s">
        <v>101</v>
      </c>
      <c r="H151" s="76" t="s">
        <v>12</v>
      </c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0" customHeight="1">
      <c r="A152" s="8"/>
      <c r="B152" s="93" t="str">
        <f>B6</f>
        <v>신한 #672</v>
      </c>
      <c r="C152" s="94" t="s">
        <v>376</v>
      </c>
      <c r="D152" s="94" t="s">
        <v>88</v>
      </c>
      <c r="E152" s="95">
        <v>0.0</v>
      </c>
      <c r="F152" s="96">
        <v>21300.0</v>
      </c>
      <c r="G152" s="97" t="s">
        <v>101</v>
      </c>
      <c r="H152" s="76" t="s">
        <v>12</v>
      </c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0" customHeight="1">
      <c r="A153" s="8"/>
      <c r="B153" s="93" t="str">
        <f>B6</f>
        <v>신한 #672</v>
      </c>
      <c r="C153" s="94" t="s">
        <v>377</v>
      </c>
      <c r="D153" s="94" t="s">
        <v>57</v>
      </c>
      <c r="E153" s="95">
        <v>0.0</v>
      </c>
      <c r="F153" s="96">
        <v>5500000.0</v>
      </c>
      <c r="G153" s="97" t="s">
        <v>378</v>
      </c>
      <c r="H153" s="76" t="s">
        <v>33</v>
      </c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0" customHeight="1">
      <c r="A154" s="8"/>
      <c r="B154" s="93" t="str">
        <f>B6</f>
        <v>신한 #672</v>
      </c>
      <c r="C154" s="94" t="s">
        <v>379</v>
      </c>
      <c r="D154" s="94" t="s">
        <v>88</v>
      </c>
      <c r="E154" s="95">
        <v>0.0</v>
      </c>
      <c r="F154" s="96">
        <v>106300.0</v>
      </c>
      <c r="G154" s="97" t="s">
        <v>380</v>
      </c>
      <c r="H154" s="76" t="s">
        <v>20</v>
      </c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0" customHeight="1">
      <c r="A155" s="8"/>
      <c r="B155" s="76"/>
      <c r="C155" s="80"/>
      <c r="D155" s="81"/>
      <c r="E155" s="82"/>
      <c r="F155" s="82"/>
      <c r="G155" s="80"/>
      <c r="H155" s="76"/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0" customHeight="1">
      <c r="A156" s="8"/>
      <c r="B156" s="76"/>
      <c r="C156" s="80"/>
      <c r="D156" s="81"/>
      <c r="E156" s="82"/>
      <c r="F156" s="82"/>
      <c r="G156" s="80"/>
      <c r="H156" s="76"/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0" customHeight="1">
      <c r="A157" s="8"/>
      <c r="B157" s="76"/>
      <c r="C157" s="80"/>
      <c r="D157" s="81"/>
      <c r="E157" s="82"/>
      <c r="F157" s="82"/>
      <c r="G157" s="80"/>
      <c r="H157" s="76"/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0" customHeight="1">
      <c r="A158" s="8"/>
      <c r="B158" s="76"/>
      <c r="C158" s="80"/>
      <c r="D158" s="81"/>
      <c r="E158" s="82"/>
      <c r="F158" s="82"/>
      <c r="G158" s="80"/>
      <c r="H158" s="76"/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0" customHeight="1">
      <c r="A159" s="8"/>
      <c r="B159" s="76"/>
      <c r="C159" s="80"/>
      <c r="D159" s="81"/>
      <c r="E159" s="82"/>
      <c r="F159" s="82"/>
      <c r="G159" s="80"/>
      <c r="H159" s="76"/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0" customHeight="1">
      <c r="A160" s="8"/>
      <c r="B160" s="76"/>
      <c r="C160" s="80"/>
      <c r="D160" s="81"/>
      <c r="E160" s="82"/>
      <c r="F160" s="82"/>
      <c r="G160" s="80"/>
      <c r="H160" s="76"/>
      <c r="I160" s="1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0" customHeight="1">
      <c r="A161" s="8"/>
      <c r="B161" s="76"/>
      <c r="C161" s="80"/>
      <c r="D161" s="81"/>
      <c r="E161" s="82"/>
      <c r="F161" s="82"/>
      <c r="G161" s="80"/>
      <c r="H161" s="76"/>
      <c r="I161" s="1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0" customHeight="1">
      <c r="A162" s="8"/>
      <c r="B162" s="76"/>
      <c r="C162" s="80"/>
      <c r="D162" s="81"/>
      <c r="E162" s="82"/>
      <c r="F162" s="82"/>
      <c r="G162" s="80"/>
      <c r="H162" s="76"/>
      <c r="I162" s="1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0" customHeight="1">
      <c r="A163" s="8"/>
      <c r="B163" s="76"/>
      <c r="C163" s="80"/>
      <c r="D163" s="81"/>
      <c r="E163" s="82"/>
      <c r="F163" s="82"/>
      <c r="G163" s="80"/>
      <c r="H163" s="76"/>
      <c r="I163" s="1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0" customHeight="1">
      <c r="A164" s="8"/>
      <c r="B164" s="76"/>
      <c r="C164" s="80"/>
      <c r="D164" s="81"/>
      <c r="E164" s="82"/>
      <c r="F164" s="82"/>
      <c r="G164" s="80"/>
      <c r="H164" s="76"/>
      <c r="I164" s="1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0" customHeight="1">
      <c r="A165" s="8"/>
      <c r="B165" s="76"/>
      <c r="C165" s="80"/>
      <c r="D165" s="81"/>
      <c r="E165" s="82"/>
      <c r="F165" s="82"/>
      <c r="G165" s="80"/>
      <c r="H165" s="76"/>
      <c r="I165" s="1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0" customHeight="1">
      <c r="A166" s="8"/>
      <c r="B166" s="76"/>
      <c r="C166" s="80"/>
      <c r="D166" s="81"/>
      <c r="E166" s="82"/>
      <c r="F166" s="82"/>
      <c r="G166" s="80"/>
      <c r="H166" s="76"/>
      <c r="I166" s="1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0" customHeight="1">
      <c r="A167" s="8"/>
      <c r="B167" s="76"/>
      <c r="C167" s="80"/>
      <c r="D167" s="81"/>
      <c r="E167" s="82"/>
      <c r="F167" s="82"/>
      <c r="G167" s="80"/>
      <c r="H167" s="76"/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0" customHeight="1">
      <c r="A168" s="8"/>
      <c r="B168" s="76"/>
      <c r="C168" s="80"/>
      <c r="D168" s="81"/>
      <c r="E168" s="82"/>
      <c r="F168" s="82"/>
      <c r="G168" s="80"/>
      <c r="H168" s="76"/>
      <c r="I168" s="1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0" customHeight="1">
      <c r="A169" s="8"/>
      <c r="B169" s="76"/>
      <c r="C169" s="80"/>
      <c r="D169" s="81"/>
      <c r="E169" s="82"/>
      <c r="F169" s="82"/>
      <c r="G169" s="80"/>
      <c r="H169" s="76"/>
      <c r="I169" s="1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0" customHeight="1">
      <c r="A170" s="8"/>
      <c r="B170" s="76"/>
      <c r="C170" s="80"/>
      <c r="D170" s="81"/>
      <c r="E170" s="82"/>
      <c r="F170" s="82"/>
      <c r="G170" s="80"/>
      <c r="H170" s="76"/>
      <c r="I170" s="1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0" customHeight="1">
      <c r="A171" s="8"/>
      <c r="B171" s="76"/>
      <c r="C171" s="80"/>
      <c r="D171" s="81"/>
      <c r="E171" s="82"/>
      <c r="F171" s="82"/>
      <c r="G171" s="80"/>
      <c r="H171" s="76"/>
      <c r="I171" s="1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0" customHeight="1">
      <c r="A172" s="8"/>
      <c r="B172" s="76"/>
      <c r="C172" s="80"/>
      <c r="D172" s="81"/>
      <c r="E172" s="82"/>
      <c r="F172" s="82"/>
      <c r="G172" s="80"/>
      <c r="H172" s="76"/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</sheetData>
  <autoFilter ref="$B$19:$H$172">
    <sortState ref="B19:H172">
      <sortCondition ref="B19:B172"/>
    </sortState>
  </autoFilter>
  <customSheetViews>
    <customSheetView guid="{CD2BF927-9D79-47FC-BBA8-927062D6B3F5}" filter="1" showAutoFilter="1">
      <autoFilter ref="$B$19:$H$172"/>
    </customSheetView>
  </customSheetViews>
  <mergeCells count="5">
    <mergeCell ref="B2:G2"/>
    <mergeCell ref="B13:C13"/>
    <mergeCell ref="B14:C14"/>
    <mergeCell ref="B15:C15"/>
    <mergeCell ref="B16:C16"/>
  </mergeCells>
  <dataValidations>
    <dataValidation type="list" allowBlank="1" sqref="H20:H172">
      <formula1>$J$4:$J$17</formula1>
    </dataValidation>
  </dataValidations>
  <printOptions/>
  <pageMargins bottom="0.75" footer="0.0" header="0.0" left="0.25" right="0.25" top="0.75"/>
  <pageSetup fitToHeight="0"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 outlineLevelRow="1"/>
  <cols>
    <col customWidth="1" min="1" max="1" width="1.57"/>
    <col customWidth="1" min="2" max="2" width="12.0"/>
    <col customWidth="1" min="3" max="3" width="18.57"/>
    <col customWidth="1" min="4" max="4" width="24.43"/>
    <col customWidth="1" min="5" max="6" width="25.0"/>
    <col customWidth="1" min="7" max="7" width="39.43"/>
    <col customWidth="1" min="8" max="9" width="20.57"/>
    <col customWidth="1" min="10" max="10" width="11.57"/>
    <col customWidth="1" min="11" max="11" width="50.0"/>
    <col customWidth="1" min="12" max="24" width="9.0"/>
  </cols>
  <sheetData>
    <row r="1" ht="13.5" customHeight="1" outlineLevel="1">
      <c r="A1" s="1"/>
      <c r="B1" s="2"/>
      <c r="C1" s="2"/>
      <c r="D1" s="1"/>
      <c r="E1" s="1"/>
      <c r="F1" s="1"/>
      <c r="G1" s="1"/>
      <c r="H1" s="2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1" outlineLevel="1">
      <c r="A2" s="3"/>
      <c r="B2" s="4" t="s">
        <v>0</v>
      </c>
      <c r="C2" s="5"/>
      <c r="D2" s="5"/>
      <c r="E2" s="5"/>
      <c r="F2" s="5"/>
      <c r="G2" s="5"/>
      <c r="H2" s="6"/>
      <c r="I2" s="3"/>
      <c r="J2" s="7"/>
      <c r="K2" s="7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ht="13.5" customHeight="1" outlineLevel="1">
      <c r="A3" s="1"/>
      <c r="B3" s="2"/>
      <c r="C3" s="2"/>
      <c r="D3" s="1"/>
      <c r="E3" s="1"/>
      <c r="F3" s="1"/>
      <c r="G3" s="1"/>
      <c r="H3" s="2"/>
      <c r="I3" s="8"/>
      <c r="J3" s="9" t="s">
        <v>1</v>
      </c>
      <c r="K3" s="9" t="s">
        <v>2</v>
      </c>
      <c r="L3" s="10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ht="13.5" customHeight="1" outlineLevel="1">
      <c r="A4" s="3"/>
      <c r="B4" s="6" t="s">
        <v>3</v>
      </c>
      <c r="C4" s="6"/>
      <c r="D4" s="3"/>
      <c r="E4" s="3"/>
      <c r="F4" s="3"/>
      <c r="G4" s="11">
        <v>44804.0</v>
      </c>
      <c r="H4" s="6"/>
      <c r="I4" s="12"/>
      <c r="J4" s="13" t="s">
        <v>4</v>
      </c>
      <c r="K4" s="13" t="s">
        <v>5</v>
      </c>
      <c r="L4" s="14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3.5" customHeight="1" outlineLevel="1">
      <c r="A5" s="6"/>
      <c r="B5" s="15" t="s">
        <v>6</v>
      </c>
      <c r="C5" s="16" t="s">
        <v>7</v>
      </c>
      <c r="D5" s="17" t="s">
        <v>8</v>
      </c>
      <c r="E5" s="18" t="s">
        <v>9</v>
      </c>
      <c r="F5" s="19" t="s">
        <v>10</v>
      </c>
      <c r="G5" s="20" t="s">
        <v>11</v>
      </c>
      <c r="H5" s="6"/>
      <c r="I5" s="21"/>
      <c r="J5" s="13" t="s">
        <v>12</v>
      </c>
      <c r="K5" s="13" t="s">
        <v>13</v>
      </c>
      <c r="L5" s="22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</row>
    <row r="6" ht="13.5" customHeight="1" outlineLevel="1">
      <c r="A6" s="1"/>
      <c r="B6" s="23" t="s">
        <v>14</v>
      </c>
      <c r="C6" s="24" t="s">
        <v>15</v>
      </c>
      <c r="D6" s="25">
        <v>1.3012799E8</v>
      </c>
      <c r="E6" s="26">
        <f>sumif(B20:B129,B6,E20:E129)</f>
        <v>2611400</v>
      </c>
      <c r="F6" s="27">
        <f>sumif(B20:B172,B6,F20:F172)</f>
        <v>74432901</v>
      </c>
      <c r="G6" s="28">
        <f t="shared" ref="G6:G9" si="1">D6+E6-F6</f>
        <v>58306489</v>
      </c>
      <c r="H6" s="2"/>
      <c r="I6" s="8"/>
      <c r="J6" s="13" t="s">
        <v>16</v>
      </c>
      <c r="K6" s="13" t="s">
        <v>17</v>
      </c>
      <c r="L6" s="10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ht="13.5" customHeight="1" outlineLevel="1">
      <c r="A7" s="1"/>
      <c r="B7" s="29" t="s">
        <v>18</v>
      </c>
      <c r="C7" s="30" t="s">
        <v>19</v>
      </c>
      <c r="D7" s="31">
        <v>164894.9</v>
      </c>
      <c r="E7" s="32">
        <f>sumif(B20:B172,B7,E20:E129)</f>
        <v>0</v>
      </c>
      <c r="F7" s="33">
        <f>sumif(B20:B172,B7,F20:F172)</f>
        <v>2123.31</v>
      </c>
      <c r="G7" s="34">
        <f t="shared" si="1"/>
        <v>162771.59</v>
      </c>
      <c r="H7" s="35"/>
      <c r="I7" s="8"/>
      <c r="J7" s="13" t="s">
        <v>20</v>
      </c>
      <c r="K7" s="13" t="s">
        <v>21</v>
      </c>
      <c r="L7" s="10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ht="13.5" customHeight="1" outlineLevel="1">
      <c r="A8" s="1"/>
      <c r="B8" s="29" t="s">
        <v>22</v>
      </c>
      <c r="C8" s="30" t="s">
        <v>23</v>
      </c>
      <c r="D8" s="36">
        <v>30914.81</v>
      </c>
      <c r="E8" s="37">
        <f>sumif(B20:B129,B8,E20:E172)</f>
        <v>0</v>
      </c>
      <c r="F8" s="38">
        <f>sumif(B20:B172,B8,F20:F172)</f>
        <v>9070.92</v>
      </c>
      <c r="G8" s="39">
        <f t="shared" si="1"/>
        <v>21843.89</v>
      </c>
      <c r="H8" s="2"/>
      <c r="I8" s="8"/>
      <c r="J8" s="13" t="s">
        <v>24</v>
      </c>
      <c r="K8" s="13" t="s">
        <v>25</v>
      </c>
      <c r="L8" s="10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ht="13.5" customHeight="1" outlineLevel="1">
      <c r="A9" s="1"/>
      <c r="B9" s="29" t="s">
        <v>26</v>
      </c>
      <c r="C9" s="30" t="s">
        <v>15</v>
      </c>
      <c r="D9" s="40">
        <v>393788.0</v>
      </c>
      <c r="E9" s="41">
        <f>sumif(B20:B129,B9,E20:E129)</f>
        <v>0</v>
      </c>
      <c r="F9" s="42">
        <f>sumif(B20:B172,B9,F20:F172)</f>
        <v>393788</v>
      </c>
      <c r="G9" s="43">
        <f t="shared" si="1"/>
        <v>0</v>
      </c>
      <c r="H9" s="2"/>
      <c r="I9" s="8"/>
      <c r="J9" s="13" t="s">
        <v>27</v>
      </c>
      <c r="K9" s="13" t="s">
        <v>28</v>
      </c>
      <c r="L9" s="10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ht="13.5" customHeight="1" outlineLevel="1">
      <c r="A10" s="1"/>
      <c r="B10" s="44"/>
      <c r="C10" s="45"/>
      <c r="D10" s="46"/>
      <c r="E10" s="41"/>
      <c r="F10" s="42"/>
      <c r="G10" s="47"/>
      <c r="H10" s="2"/>
      <c r="I10" s="8"/>
      <c r="J10" s="13" t="s">
        <v>29</v>
      </c>
      <c r="K10" s="13" t="s">
        <v>30</v>
      </c>
      <c r="L10" s="10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ht="13.5" customHeight="1" outlineLevel="1">
      <c r="A11" s="1"/>
      <c r="B11" s="44"/>
      <c r="C11" s="45"/>
      <c r="D11" s="46"/>
      <c r="E11" s="41"/>
      <c r="F11" s="42"/>
      <c r="G11" s="47"/>
      <c r="H11" s="2"/>
      <c r="I11" s="8"/>
      <c r="J11" s="13" t="s">
        <v>31</v>
      </c>
      <c r="K11" s="13" t="s">
        <v>32</v>
      </c>
      <c r="L11" s="10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ht="13.5" customHeight="1" outlineLevel="1">
      <c r="A12" s="1"/>
      <c r="B12" s="44"/>
      <c r="C12" s="45"/>
      <c r="D12" s="48"/>
      <c r="E12" s="41"/>
      <c r="F12" s="42"/>
      <c r="G12" s="47"/>
      <c r="H12" s="2"/>
      <c r="I12" s="8"/>
      <c r="J12" s="13" t="s">
        <v>33</v>
      </c>
      <c r="K12" s="49" t="s">
        <v>34</v>
      </c>
      <c r="L12" s="10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ht="13.5" customHeight="1" outlineLevel="1">
      <c r="A13" s="3"/>
      <c r="B13" s="18" t="s">
        <v>35</v>
      </c>
      <c r="C13" s="50"/>
      <c r="D13" s="51"/>
      <c r="E13" s="52"/>
      <c r="F13" s="53"/>
      <c r="G13" s="51"/>
      <c r="H13" s="54"/>
      <c r="I13" s="55"/>
      <c r="J13" s="13" t="s">
        <v>36</v>
      </c>
      <c r="K13" s="49" t="s">
        <v>37</v>
      </c>
      <c r="L13" s="1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ht="13.5" customHeight="1" outlineLevel="1">
      <c r="A14" s="3"/>
      <c r="B14" s="18" t="s">
        <v>38</v>
      </c>
      <c r="C14" s="50"/>
      <c r="D14" s="56"/>
      <c r="E14" s="57"/>
      <c r="F14" s="58"/>
      <c r="G14" s="58"/>
      <c r="H14" s="59"/>
      <c r="I14" s="60"/>
      <c r="J14" s="13" t="s">
        <v>39</v>
      </c>
      <c r="K14" s="49" t="s">
        <v>40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ht="13.5" customHeight="1" outlineLevel="1">
      <c r="A15" s="3"/>
      <c r="B15" s="18"/>
      <c r="C15" s="50"/>
      <c r="D15" s="56"/>
      <c r="E15" s="57"/>
      <c r="F15" s="58"/>
      <c r="G15" s="58"/>
      <c r="H15" s="54"/>
      <c r="I15" s="6"/>
      <c r="J15" s="13" t="s">
        <v>41</v>
      </c>
      <c r="K15" s="49" t="s">
        <v>42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ht="13.5" customHeight="1" outlineLevel="1">
      <c r="A16" s="3"/>
      <c r="B16" s="18"/>
      <c r="C16" s="50"/>
      <c r="D16" s="56"/>
      <c r="E16" s="57"/>
      <c r="F16" s="58"/>
      <c r="G16" s="58"/>
      <c r="H16" s="54"/>
      <c r="I16" s="6"/>
      <c r="J16" s="13"/>
      <c r="K16" s="49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ht="13.5" customHeight="1">
      <c r="A17" s="1"/>
      <c r="B17" s="2"/>
      <c r="C17" s="2"/>
      <c r="D17" s="1"/>
      <c r="E17" s="61"/>
      <c r="F17" s="1"/>
      <c r="G17" s="1"/>
      <c r="H17" s="2"/>
      <c r="I17" s="62"/>
      <c r="J17" s="13"/>
      <c r="K17" s="49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ht="13.5" customHeight="1">
      <c r="A18" s="6"/>
      <c r="B18" s="63" t="s">
        <v>43</v>
      </c>
      <c r="C18" s="63"/>
      <c r="D18" s="63"/>
      <c r="E18" s="64"/>
      <c r="F18" s="64"/>
      <c r="G18" s="63"/>
      <c r="H18" s="63"/>
      <c r="I18" s="65"/>
      <c r="J18" s="1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</row>
    <row r="19" ht="13.5" customHeight="1">
      <c r="A19" s="21"/>
      <c r="B19" s="66" t="s">
        <v>6</v>
      </c>
      <c r="C19" s="66" t="s">
        <v>44</v>
      </c>
      <c r="D19" s="66" t="s">
        <v>45</v>
      </c>
      <c r="E19" s="66" t="s">
        <v>46</v>
      </c>
      <c r="F19" s="66" t="s">
        <v>47</v>
      </c>
      <c r="G19" s="88" t="s">
        <v>48</v>
      </c>
      <c r="H19" s="66" t="s">
        <v>1</v>
      </c>
      <c r="I19" s="69"/>
      <c r="J19" s="1"/>
      <c r="K19" s="1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</row>
    <row r="20" ht="15.0" customHeight="1">
      <c r="A20" s="8"/>
      <c r="B20" s="76" t="s">
        <v>14</v>
      </c>
      <c r="C20" s="80" t="s">
        <v>381</v>
      </c>
      <c r="D20" s="81" t="s">
        <v>382</v>
      </c>
      <c r="E20" s="82">
        <v>0.0</v>
      </c>
      <c r="F20" s="82">
        <v>84000.0</v>
      </c>
      <c r="G20" s="80" t="s">
        <v>383</v>
      </c>
      <c r="H20" s="76" t="s">
        <v>29</v>
      </c>
      <c r="I20" s="10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ht="15.0" customHeight="1">
      <c r="A21" s="8"/>
      <c r="B21" s="76" t="s">
        <v>14</v>
      </c>
      <c r="C21" s="80" t="s">
        <v>381</v>
      </c>
      <c r="D21" s="81" t="s">
        <v>384</v>
      </c>
      <c r="E21" s="82">
        <v>0.0</v>
      </c>
      <c r="F21" s="82">
        <v>42000.0</v>
      </c>
      <c r="G21" s="80" t="s">
        <v>385</v>
      </c>
      <c r="H21" s="76" t="s">
        <v>29</v>
      </c>
      <c r="I21" s="10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ht="15.0" customHeight="1">
      <c r="A22" s="8"/>
      <c r="B22" s="76" t="s">
        <v>14</v>
      </c>
      <c r="C22" s="80" t="s">
        <v>381</v>
      </c>
      <c r="D22" s="81" t="s">
        <v>306</v>
      </c>
      <c r="E22" s="82">
        <v>0.0</v>
      </c>
      <c r="F22" s="82">
        <v>6800.0</v>
      </c>
      <c r="G22" s="80" t="s">
        <v>386</v>
      </c>
      <c r="H22" s="76" t="s">
        <v>12</v>
      </c>
      <c r="I22" s="10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ht="15.0" customHeight="1">
      <c r="A23" s="8"/>
      <c r="B23" s="76" t="s">
        <v>14</v>
      </c>
      <c r="C23" s="80" t="s">
        <v>381</v>
      </c>
      <c r="D23" s="81" t="s">
        <v>98</v>
      </c>
      <c r="E23" s="82">
        <v>0.0</v>
      </c>
      <c r="F23" s="82">
        <v>8700.0</v>
      </c>
      <c r="G23" s="80" t="s">
        <v>386</v>
      </c>
      <c r="H23" s="76" t="s">
        <v>12</v>
      </c>
      <c r="I23" s="10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ht="15.0" customHeight="1">
      <c r="A24" s="8"/>
      <c r="B24" s="76" t="s">
        <v>14</v>
      </c>
      <c r="C24" s="80" t="s">
        <v>381</v>
      </c>
      <c r="D24" s="81" t="s">
        <v>98</v>
      </c>
      <c r="E24" s="82">
        <v>8700.0</v>
      </c>
      <c r="F24" s="82">
        <v>0.0</v>
      </c>
      <c r="G24" s="80" t="s">
        <v>386</v>
      </c>
      <c r="H24" s="76" t="s">
        <v>12</v>
      </c>
      <c r="I24" s="10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ht="15.0" customHeight="1">
      <c r="A25" s="8"/>
      <c r="B25" s="76" t="s">
        <v>14</v>
      </c>
      <c r="C25" s="80" t="s">
        <v>381</v>
      </c>
      <c r="D25" s="81" t="s">
        <v>101</v>
      </c>
      <c r="E25" s="82">
        <v>0.0</v>
      </c>
      <c r="F25" s="82">
        <v>8300.0</v>
      </c>
      <c r="G25" s="80" t="s">
        <v>386</v>
      </c>
      <c r="H25" s="76" t="s">
        <v>12</v>
      </c>
      <c r="I25" s="10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ht="15.0" customHeight="1">
      <c r="A26" s="8"/>
      <c r="B26" s="76" t="s">
        <v>14</v>
      </c>
      <c r="C26" s="80" t="s">
        <v>381</v>
      </c>
      <c r="D26" s="81" t="s">
        <v>387</v>
      </c>
      <c r="E26" s="82">
        <v>0.0</v>
      </c>
      <c r="F26" s="82">
        <v>1109100.0</v>
      </c>
      <c r="G26" s="80" t="s">
        <v>388</v>
      </c>
      <c r="H26" s="76" t="s">
        <v>4</v>
      </c>
      <c r="I26" s="10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ht="15.0" customHeight="1">
      <c r="A27" s="8"/>
      <c r="B27" s="76" t="s">
        <v>14</v>
      </c>
      <c r="C27" s="80" t="s">
        <v>381</v>
      </c>
      <c r="D27" s="81" t="s">
        <v>387</v>
      </c>
      <c r="E27" s="82">
        <v>1109100.0</v>
      </c>
      <c r="F27" s="82">
        <v>0.0</v>
      </c>
      <c r="G27" s="80" t="s">
        <v>389</v>
      </c>
      <c r="H27" s="76" t="s">
        <v>4</v>
      </c>
      <c r="I27" s="10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ht="15.0" customHeight="1">
      <c r="A28" s="8"/>
      <c r="B28" s="76" t="s">
        <v>14</v>
      </c>
      <c r="C28" s="80" t="s">
        <v>381</v>
      </c>
      <c r="D28" s="81" t="s">
        <v>387</v>
      </c>
      <c r="E28" s="82">
        <v>0.0</v>
      </c>
      <c r="F28" s="82">
        <v>1019000.0</v>
      </c>
      <c r="G28" s="80" t="s">
        <v>390</v>
      </c>
      <c r="H28" s="76" t="s">
        <v>4</v>
      </c>
      <c r="I28" s="1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ht="15.0" customHeight="1">
      <c r="A29" s="8"/>
      <c r="B29" s="76" t="s">
        <v>14</v>
      </c>
      <c r="C29" s="80" t="s">
        <v>381</v>
      </c>
      <c r="D29" s="81" t="s">
        <v>391</v>
      </c>
      <c r="E29" s="82">
        <v>0.0</v>
      </c>
      <c r="F29" s="82">
        <v>208000.0</v>
      </c>
      <c r="G29" s="80" t="s">
        <v>392</v>
      </c>
      <c r="H29" s="76" t="s">
        <v>4</v>
      </c>
      <c r="I29" s="10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ht="15.0" customHeight="1">
      <c r="A30" s="8"/>
      <c r="B30" s="76" t="s">
        <v>14</v>
      </c>
      <c r="C30" s="80" t="s">
        <v>393</v>
      </c>
      <c r="D30" s="81" t="s">
        <v>394</v>
      </c>
      <c r="E30" s="82">
        <v>0.0</v>
      </c>
      <c r="F30" s="82">
        <v>108000.0</v>
      </c>
      <c r="G30" s="80" t="s">
        <v>395</v>
      </c>
      <c r="H30" s="76" t="s">
        <v>4</v>
      </c>
      <c r="I30" s="10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ht="15.0" customHeight="1">
      <c r="A31" s="8"/>
      <c r="B31" s="76" t="s">
        <v>14</v>
      </c>
      <c r="C31" s="80" t="s">
        <v>393</v>
      </c>
      <c r="D31" s="81" t="s">
        <v>98</v>
      </c>
      <c r="E31" s="82">
        <v>51600.0</v>
      </c>
      <c r="F31" s="82">
        <v>0.0</v>
      </c>
      <c r="G31" s="80" t="s">
        <v>386</v>
      </c>
      <c r="H31" s="76" t="s">
        <v>12</v>
      </c>
      <c r="I31" s="10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ht="15.0" customHeight="1">
      <c r="A32" s="8"/>
      <c r="B32" s="76" t="s">
        <v>14</v>
      </c>
      <c r="C32" s="80" t="s">
        <v>393</v>
      </c>
      <c r="D32" s="81" t="s">
        <v>98</v>
      </c>
      <c r="E32" s="82">
        <v>0.0</v>
      </c>
      <c r="F32" s="82">
        <v>51600.0</v>
      </c>
      <c r="G32" s="80" t="s">
        <v>386</v>
      </c>
      <c r="H32" s="76" t="s">
        <v>12</v>
      </c>
      <c r="I32" s="10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ht="15.0" customHeight="1">
      <c r="A33" s="8"/>
      <c r="B33" s="76" t="s">
        <v>14</v>
      </c>
      <c r="C33" s="80" t="s">
        <v>393</v>
      </c>
      <c r="D33" s="81" t="s">
        <v>98</v>
      </c>
      <c r="E33" s="82">
        <v>9300.0</v>
      </c>
      <c r="F33" s="82">
        <v>0.0</v>
      </c>
      <c r="G33" s="80" t="s">
        <v>386</v>
      </c>
      <c r="H33" s="76" t="s">
        <v>12</v>
      </c>
      <c r="I33" s="10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ht="15.0" customHeight="1">
      <c r="A34" s="8"/>
      <c r="B34" s="76" t="s">
        <v>14</v>
      </c>
      <c r="C34" s="80" t="s">
        <v>393</v>
      </c>
      <c r="D34" s="81" t="s">
        <v>98</v>
      </c>
      <c r="E34" s="82">
        <v>0.0</v>
      </c>
      <c r="F34" s="82">
        <v>9300.0</v>
      </c>
      <c r="G34" s="80" t="s">
        <v>386</v>
      </c>
      <c r="H34" s="76" t="s">
        <v>12</v>
      </c>
      <c r="I34" s="10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ht="15.0" customHeight="1">
      <c r="A35" s="8"/>
      <c r="B35" s="76" t="s">
        <v>14</v>
      </c>
      <c r="C35" s="80" t="s">
        <v>393</v>
      </c>
      <c r="D35" s="81" t="s">
        <v>101</v>
      </c>
      <c r="E35" s="82">
        <v>0.0</v>
      </c>
      <c r="F35" s="82">
        <v>8900.0</v>
      </c>
      <c r="G35" s="80" t="s">
        <v>386</v>
      </c>
      <c r="H35" s="76" t="s">
        <v>12</v>
      </c>
      <c r="I35" s="10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ht="15.0" customHeight="1">
      <c r="A36" s="8"/>
      <c r="B36" s="76" t="s">
        <v>14</v>
      </c>
      <c r="C36" s="80" t="s">
        <v>393</v>
      </c>
      <c r="D36" s="81" t="s">
        <v>256</v>
      </c>
      <c r="E36" s="82">
        <v>0.0</v>
      </c>
      <c r="F36" s="82">
        <v>24000.0</v>
      </c>
      <c r="G36" s="80" t="s">
        <v>396</v>
      </c>
      <c r="H36" s="76" t="s">
        <v>12</v>
      </c>
      <c r="I36" s="10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ht="15.0" customHeight="1">
      <c r="A37" s="8"/>
      <c r="B37" s="76" t="s">
        <v>14</v>
      </c>
      <c r="C37" s="80" t="s">
        <v>397</v>
      </c>
      <c r="D37" s="81" t="s">
        <v>398</v>
      </c>
      <c r="E37" s="82">
        <v>0.0</v>
      </c>
      <c r="F37" s="82">
        <v>17100.0</v>
      </c>
      <c r="G37" s="80" t="s">
        <v>399</v>
      </c>
      <c r="H37" s="76" t="s">
        <v>29</v>
      </c>
      <c r="I37" s="10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ht="15.0" customHeight="1">
      <c r="A38" s="8"/>
      <c r="B38" s="76" t="s">
        <v>14</v>
      </c>
      <c r="C38" s="80" t="s">
        <v>397</v>
      </c>
      <c r="D38" s="81" t="s">
        <v>342</v>
      </c>
      <c r="E38" s="82">
        <v>0.0</v>
      </c>
      <c r="F38" s="82">
        <v>220.0</v>
      </c>
      <c r="G38" s="80" t="s">
        <v>400</v>
      </c>
      <c r="H38" s="76" t="s">
        <v>24</v>
      </c>
      <c r="I38" s="10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ht="15.0" customHeight="1">
      <c r="A39" s="8"/>
      <c r="B39" s="76" t="s">
        <v>14</v>
      </c>
      <c r="C39" s="80" t="s">
        <v>397</v>
      </c>
      <c r="D39" s="81" t="s">
        <v>342</v>
      </c>
      <c r="E39" s="82">
        <v>0.0</v>
      </c>
      <c r="F39" s="82">
        <v>110.0</v>
      </c>
      <c r="G39" s="80" t="s">
        <v>400</v>
      </c>
      <c r="H39" s="76" t="s">
        <v>24</v>
      </c>
      <c r="I39" s="1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ht="15.0" customHeight="1">
      <c r="A40" s="8"/>
      <c r="B40" s="76" t="s">
        <v>14</v>
      </c>
      <c r="C40" s="80" t="s">
        <v>397</v>
      </c>
      <c r="D40" s="81" t="s">
        <v>401</v>
      </c>
      <c r="E40" s="82">
        <v>0.0</v>
      </c>
      <c r="F40" s="82">
        <v>2149070.0</v>
      </c>
      <c r="G40" s="80" t="s">
        <v>402</v>
      </c>
      <c r="H40" s="76" t="s">
        <v>31</v>
      </c>
      <c r="I40" s="10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ht="15.0" customHeight="1">
      <c r="A41" s="8"/>
      <c r="B41" s="76" t="s">
        <v>14</v>
      </c>
      <c r="C41" s="80" t="s">
        <v>397</v>
      </c>
      <c r="D41" s="81" t="s">
        <v>403</v>
      </c>
      <c r="E41" s="82">
        <v>0.0</v>
      </c>
      <c r="F41" s="82">
        <v>234360.0</v>
      </c>
      <c r="G41" s="80" t="s">
        <v>404</v>
      </c>
      <c r="H41" s="76" t="s">
        <v>31</v>
      </c>
      <c r="I41" s="10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ht="15.0" customHeight="1">
      <c r="A42" s="8"/>
      <c r="B42" s="76" t="s">
        <v>14</v>
      </c>
      <c r="C42" s="80" t="s">
        <v>397</v>
      </c>
      <c r="D42" s="81" t="s">
        <v>405</v>
      </c>
      <c r="E42" s="82">
        <v>0.0</v>
      </c>
      <c r="F42" s="82">
        <v>210500.0</v>
      </c>
      <c r="G42" s="80" t="s">
        <v>406</v>
      </c>
      <c r="H42" s="76" t="s">
        <v>33</v>
      </c>
      <c r="I42" s="10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ht="15.0" customHeight="1">
      <c r="A43" s="8"/>
      <c r="B43" s="76" t="s">
        <v>14</v>
      </c>
      <c r="C43" s="80" t="s">
        <v>397</v>
      </c>
      <c r="D43" s="81" t="s">
        <v>256</v>
      </c>
      <c r="E43" s="82">
        <v>0.0</v>
      </c>
      <c r="F43" s="82">
        <v>33000.0</v>
      </c>
      <c r="G43" s="80" t="s">
        <v>396</v>
      </c>
      <c r="H43" s="76" t="s">
        <v>12</v>
      </c>
      <c r="I43" s="10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ht="15.0" customHeight="1">
      <c r="A44" s="8"/>
      <c r="B44" s="76" t="s">
        <v>14</v>
      </c>
      <c r="C44" s="80" t="s">
        <v>407</v>
      </c>
      <c r="D44" s="81" t="s">
        <v>408</v>
      </c>
      <c r="E44" s="82">
        <v>0.0</v>
      </c>
      <c r="F44" s="82">
        <v>34000.0</v>
      </c>
      <c r="G44" s="80" t="s">
        <v>409</v>
      </c>
      <c r="H44" s="76" t="s">
        <v>29</v>
      </c>
      <c r="I44" s="10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ht="15.0" customHeight="1">
      <c r="A45" s="8"/>
      <c r="B45" s="76" t="s">
        <v>14</v>
      </c>
      <c r="C45" s="80" t="s">
        <v>407</v>
      </c>
      <c r="D45" s="81" t="s">
        <v>410</v>
      </c>
      <c r="E45" s="82">
        <v>0.0</v>
      </c>
      <c r="F45" s="82">
        <v>60000.0</v>
      </c>
      <c r="G45" s="80" t="s">
        <v>411</v>
      </c>
      <c r="H45" s="76" t="s">
        <v>29</v>
      </c>
      <c r="I45" s="10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ht="15.0" customHeight="1">
      <c r="A46" s="8"/>
      <c r="B46" s="76" t="s">
        <v>14</v>
      </c>
      <c r="C46" s="80" t="s">
        <v>407</v>
      </c>
      <c r="D46" s="81" t="s">
        <v>412</v>
      </c>
      <c r="E46" s="82">
        <v>0.0</v>
      </c>
      <c r="F46" s="82">
        <v>80500.0</v>
      </c>
      <c r="G46" s="80" t="s">
        <v>413</v>
      </c>
      <c r="H46" s="76" t="s">
        <v>20</v>
      </c>
      <c r="I46" s="10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ht="15.0" customHeight="1">
      <c r="A47" s="8"/>
      <c r="B47" s="76" t="s">
        <v>14</v>
      </c>
      <c r="C47" s="80" t="s">
        <v>414</v>
      </c>
      <c r="D47" s="81" t="s">
        <v>415</v>
      </c>
      <c r="E47" s="82">
        <v>1238500.0</v>
      </c>
      <c r="F47" s="82">
        <v>0.0</v>
      </c>
      <c r="G47" s="80" t="s">
        <v>416</v>
      </c>
      <c r="H47" s="76" t="s">
        <v>36</v>
      </c>
      <c r="I47" s="10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ht="15.0" customHeight="1">
      <c r="A48" s="8"/>
      <c r="B48" s="76" t="s">
        <v>14</v>
      </c>
      <c r="C48" s="80" t="s">
        <v>414</v>
      </c>
      <c r="D48" s="81" t="s">
        <v>417</v>
      </c>
      <c r="E48" s="82">
        <v>0.0</v>
      </c>
      <c r="F48" s="82">
        <v>349800.0</v>
      </c>
      <c r="G48" s="80" t="s">
        <v>418</v>
      </c>
      <c r="H48" s="76" t="s">
        <v>24</v>
      </c>
      <c r="I48" s="10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ht="15.0" customHeight="1">
      <c r="A49" s="8"/>
      <c r="B49" s="76" t="s">
        <v>14</v>
      </c>
      <c r="C49" s="80" t="s">
        <v>419</v>
      </c>
      <c r="D49" s="81" t="s">
        <v>417</v>
      </c>
      <c r="E49" s="82">
        <v>0.0</v>
      </c>
      <c r="F49" s="82">
        <v>52800.0</v>
      </c>
      <c r="G49" s="80" t="s">
        <v>420</v>
      </c>
      <c r="H49" s="76" t="s">
        <v>24</v>
      </c>
      <c r="I49" s="10">
        <f>F49*1300</f>
        <v>68640000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ht="15.0" customHeight="1">
      <c r="A50" s="8"/>
      <c r="B50" s="76" t="s">
        <v>14</v>
      </c>
      <c r="C50" s="80" t="s">
        <v>419</v>
      </c>
      <c r="D50" s="81" t="s">
        <v>421</v>
      </c>
      <c r="E50" s="82">
        <v>0.0</v>
      </c>
      <c r="F50" s="82">
        <v>1002600.0</v>
      </c>
      <c r="G50" s="80" t="s">
        <v>422</v>
      </c>
      <c r="H50" s="76" t="s">
        <v>12</v>
      </c>
      <c r="I50" s="10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ht="15.0" customHeight="1">
      <c r="A51" s="8"/>
      <c r="B51" s="76" t="s">
        <v>14</v>
      </c>
      <c r="C51" s="80" t="s">
        <v>419</v>
      </c>
      <c r="D51" s="81" t="s">
        <v>423</v>
      </c>
      <c r="E51" s="82">
        <v>0.0</v>
      </c>
      <c r="F51" s="82">
        <v>355600.0</v>
      </c>
      <c r="G51" s="80" t="s">
        <v>424</v>
      </c>
      <c r="H51" s="76" t="s">
        <v>12</v>
      </c>
      <c r="I51" s="10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ht="15.0" customHeight="1">
      <c r="A52" s="8"/>
      <c r="B52" s="76" t="s">
        <v>14</v>
      </c>
      <c r="C52" s="80" t="s">
        <v>419</v>
      </c>
      <c r="D52" s="81" t="s">
        <v>425</v>
      </c>
      <c r="E52" s="82">
        <v>0.0</v>
      </c>
      <c r="F52" s="82">
        <v>54700.0</v>
      </c>
      <c r="G52" s="80" t="s">
        <v>426</v>
      </c>
      <c r="H52" s="76" t="s">
        <v>29</v>
      </c>
      <c r="I52" s="10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ht="15.0" customHeight="1">
      <c r="A53" s="8"/>
      <c r="B53" s="76" t="s">
        <v>14</v>
      </c>
      <c r="C53" s="80" t="s">
        <v>427</v>
      </c>
      <c r="D53" s="81" t="s">
        <v>428</v>
      </c>
      <c r="E53" s="82">
        <v>0.0</v>
      </c>
      <c r="F53" s="82">
        <v>1439420.0</v>
      </c>
      <c r="G53" s="80" t="s">
        <v>429</v>
      </c>
      <c r="H53" s="76" t="s">
        <v>20</v>
      </c>
      <c r="I53" s="10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ht="15.0" customHeight="1">
      <c r="A54" s="8"/>
      <c r="B54" s="76" t="s">
        <v>14</v>
      </c>
      <c r="C54" s="80" t="s">
        <v>427</v>
      </c>
      <c r="D54" s="81" t="s">
        <v>430</v>
      </c>
      <c r="E54" s="82">
        <v>0.0</v>
      </c>
      <c r="F54" s="82">
        <v>19000.0</v>
      </c>
      <c r="G54" s="80" t="s">
        <v>431</v>
      </c>
      <c r="H54" s="76" t="s">
        <v>29</v>
      </c>
      <c r="I54" s="10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ht="15.0" customHeight="1">
      <c r="A55" s="8"/>
      <c r="B55" s="76" t="s">
        <v>14</v>
      </c>
      <c r="C55" s="80" t="s">
        <v>432</v>
      </c>
      <c r="D55" s="81" t="s">
        <v>433</v>
      </c>
      <c r="E55" s="82">
        <v>0.0</v>
      </c>
      <c r="F55" s="82">
        <v>3149360.0</v>
      </c>
      <c r="G55" s="80" t="s">
        <v>434</v>
      </c>
      <c r="H55" s="76" t="s">
        <v>31</v>
      </c>
      <c r="I55" s="10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ht="15.0" customHeight="1">
      <c r="A56" s="8"/>
      <c r="B56" s="76" t="s">
        <v>14</v>
      </c>
      <c r="C56" s="80" t="s">
        <v>432</v>
      </c>
      <c r="D56" s="81" t="s">
        <v>435</v>
      </c>
      <c r="E56" s="82">
        <v>0.0</v>
      </c>
      <c r="F56" s="82">
        <v>3202000.0</v>
      </c>
      <c r="G56" s="80" t="s">
        <v>436</v>
      </c>
      <c r="H56" s="76" t="s">
        <v>31</v>
      </c>
      <c r="I56" s="10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ht="15.0" customHeight="1">
      <c r="A57" s="8"/>
      <c r="B57" s="76" t="s">
        <v>14</v>
      </c>
      <c r="C57" s="80" t="s">
        <v>432</v>
      </c>
      <c r="D57" s="81" t="s">
        <v>437</v>
      </c>
      <c r="E57" s="82">
        <v>0.0</v>
      </c>
      <c r="F57" s="82">
        <v>746470.0</v>
      </c>
      <c r="G57" s="80" t="s">
        <v>438</v>
      </c>
      <c r="H57" s="76" t="s">
        <v>31</v>
      </c>
      <c r="I57" s="10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ht="15.0" customHeight="1">
      <c r="A58" s="8"/>
      <c r="B58" s="76" t="s">
        <v>14</v>
      </c>
      <c r="C58" s="80" t="s">
        <v>432</v>
      </c>
      <c r="D58" s="81" t="s">
        <v>439</v>
      </c>
      <c r="E58" s="82">
        <v>0.0</v>
      </c>
      <c r="F58" s="82">
        <v>278420.0</v>
      </c>
      <c r="G58" s="80" t="s">
        <v>440</v>
      </c>
      <c r="H58" s="76" t="s">
        <v>31</v>
      </c>
      <c r="I58" s="10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ht="15.0" customHeight="1">
      <c r="A59" s="8"/>
      <c r="B59" s="76" t="s">
        <v>14</v>
      </c>
      <c r="C59" s="80" t="s">
        <v>432</v>
      </c>
      <c r="D59" s="81" t="s">
        <v>441</v>
      </c>
      <c r="E59" s="82">
        <v>0.0</v>
      </c>
      <c r="F59" s="82">
        <v>309500.0</v>
      </c>
      <c r="G59" s="80" t="s">
        <v>442</v>
      </c>
      <c r="H59" s="76" t="s">
        <v>33</v>
      </c>
      <c r="I59" s="10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ht="15.0" customHeight="1">
      <c r="A60" s="8"/>
      <c r="B60" s="76" t="s">
        <v>14</v>
      </c>
      <c r="C60" s="80" t="s">
        <v>432</v>
      </c>
      <c r="D60" s="81" t="s">
        <v>443</v>
      </c>
      <c r="E60" s="82">
        <v>0.0</v>
      </c>
      <c r="F60" s="82">
        <v>31400.0</v>
      </c>
      <c r="G60" s="80" t="s">
        <v>444</v>
      </c>
      <c r="H60" s="76" t="s">
        <v>33</v>
      </c>
      <c r="I60" s="10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ht="15.0" customHeight="1">
      <c r="A61" s="8"/>
      <c r="B61" s="76" t="s">
        <v>14</v>
      </c>
      <c r="C61" s="80" t="s">
        <v>432</v>
      </c>
      <c r="D61" s="81" t="s">
        <v>207</v>
      </c>
      <c r="E61" s="82">
        <v>0.0</v>
      </c>
      <c r="F61" s="82">
        <v>15000.0</v>
      </c>
      <c r="G61" s="80" t="s">
        <v>445</v>
      </c>
      <c r="H61" s="76" t="s">
        <v>29</v>
      </c>
      <c r="I61" s="10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ht="15.0" customHeight="1">
      <c r="A62" s="8"/>
      <c r="B62" s="76" t="s">
        <v>14</v>
      </c>
      <c r="C62" s="80" t="s">
        <v>432</v>
      </c>
      <c r="D62" s="81" t="s">
        <v>446</v>
      </c>
      <c r="E62" s="82">
        <v>0.0</v>
      </c>
      <c r="F62" s="82">
        <v>233200.0</v>
      </c>
      <c r="G62" s="80" t="s">
        <v>417</v>
      </c>
      <c r="H62" s="76" t="s">
        <v>24</v>
      </c>
      <c r="I62" s="10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ht="15.0" customHeight="1">
      <c r="A63" s="8"/>
      <c r="B63" s="76" t="s">
        <v>14</v>
      </c>
      <c r="C63" s="80" t="s">
        <v>447</v>
      </c>
      <c r="D63" s="81" t="s">
        <v>448</v>
      </c>
      <c r="E63" s="82">
        <v>0.0</v>
      </c>
      <c r="F63" s="82">
        <v>24000.0</v>
      </c>
      <c r="G63" s="80" t="s">
        <v>449</v>
      </c>
      <c r="H63" s="76" t="s">
        <v>29</v>
      </c>
      <c r="I63" s="10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ht="15.0" customHeight="1">
      <c r="A64" s="8"/>
      <c r="B64" s="76" t="s">
        <v>14</v>
      </c>
      <c r="C64" s="80" t="s">
        <v>447</v>
      </c>
      <c r="D64" s="81" t="s">
        <v>450</v>
      </c>
      <c r="E64" s="82">
        <v>0.0</v>
      </c>
      <c r="F64" s="82">
        <v>35200.0</v>
      </c>
      <c r="G64" s="80" t="s">
        <v>451</v>
      </c>
      <c r="H64" s="76" t="s">
        <v>24</v>
      </c>
      <c r="I64" s="1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ht="15.0" customHeight="1">
      <c r="A65" s="8"/>
      <c r="B65" s="76" t="s">
        <v>14</v>
      </c>
      <c r="C65" s="80" t="s">
        <v>452</v>
      </c>
      <c r="D65" s="81" t="s">
        <v>453</v>
      </c>
      <c r="E65" s="82">
        <v>0.0</v>
      </c>
      <c r="F65" s="82">
        <v>125000.0</v>
      </c>
      <c r="G65" s="80" t="s">
        <v>454</v>
      </c>
      <c r="H65" s="76" t="s">
        <v>29</v>
      </c>
      <c r="I65" s="10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ht="15.0" customHeight="1">
      <c r="A66" s="8"/>
      <c r="B66" s="76" t="s">
        <v>14</v>
      </c>
      <c r="C66" s="80" t="s">
        <v>455</v>
      </c>
      <c r="D66" s="81" t="s">
        <v>456</v>
      </c>
      <c r="E66" s="82">
        <v>0.0</v>
      </c>
      <c r="F66" s="82">
        <v>22000.0</v>
      </c>
      <c r="G66" s="80" t="s">
        <v>457</v>
      </c>
      <c r="H66" s="76" t="s">
        <v>29</v>
      </c>
      <c r="I66" s="10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ht="15.0" customHeight="1">
      <c r="A67" s="8"/>
      <c r="B67" s="76" t="s">
        <v>14</v>
      </c>
      <c r="C67" s="80" t="s">
        <v>455</v>
      </c>
      <c r="D67" s="81" t="s">
        <v>306</v>
      </c>
      <c r="E67" s="82">
        <v>0.0</v>
      </c>
      <c r="F67" s="82">
        <v>8900.0</v>
      </c>
      <c r="G67" s="80" t="s">
        <v>386</v>
      </c>
      <c r="H67" s="76" t="s">
        <v>12</v>
      </c>
      <c r="I67" s="10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0" customHeight="1">
      <c r="A68" s="8"/>
      <c r="B68" s="76" t="s">
        <v>14</v>
      </c>
      <c r="C68" s="80" t="s">
        <v>455</v>
      </c>
      <c r="D68" s="81" t="s">
        <v>458</v>
      </c>
      <c r="E68" s="82">
        <v>0.0</v>
      </c>
      <c r="F68" s="82">
        <v>11800.0</v>
      </c>
      <c r="G68" s="80" t="s">
        <v>459</v>
      </c>
      <c r="H68" s="76" t="s">
        <v>29</v>
      </c>
      <c r="I68" s="10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0" customHeight="1">
      <c r="A69" s="8"/>
      <c r="B69" s="76" t="s">
        <v>14</v>
      </c>
      <c r="C69" s="80" t="s">
        <v>455</v>
      </c>
      <c r="D69" s="81" t="s">
        <v>460</v>
      </c>
      <c r="E69" s="82">
        <v>0.0</v>
      </c>
      <c r="F69" s="82">
        <v>62000.0</v>
      </c>
      <c r="G69" s="80" t="s">
        <v>461</v>
      </c>
      <c r="H69" s="76" t="s">
        <v>29</v>
      </c>
      <c r="I69" s="10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0" customHeight="1">
      <c r="A70" s="8"/>
      <c r="B70" s="76" t="s">
        <v>14</v>
      </c>
      <c r="C70" s="80" t="s">
        <v>462</v>
      </c>
      <c r="D70" s="81" t="s">
        <v>463</v>
      </c>
      <c r="E70" s="82">
        <v>0.0</v>
      </c>
      <c r="F70" s="82">
        <v>117000.0</v>
      </c>
      <c r="G70" s="80" t="s">
        <v>464</v>
      </c>
      <c r="H70" s="76" t="s">
        <v>29</v>
      </c>
      <c r="I70" s="10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0" customHeight="1">
      <c r="A71" s="8"/>
      <c r="B71" s="76" t="s">
        <v>14</v>
      </c>
      <c r="C71" s="80" t="s">
        <v>462</v>
      </c>
      <c r="D71" s="81" t="s">
        <v>98</v>
      </c>
      <c r="E71" s="82">
        <v>24300.0</v>
      </c>
      <c r="F71" s="82">
        <v>0.0</v>
      </c>
      <c r="G71" s="80" t="s">
        <v>386</v>
      </c>
      <c r="H71" s="76" t="s">
        <v>12</v>
      </c>
      <c r="I71" s="10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5.0" customHeight="1">
      <c r="A72" s="8"/>
      <c r="B72" s="76" t="s">
        <v>14</v>
      </c>
      <c r="C72" s="80" t="s">
        <v>462</v>
      </c>
      <c r="D72" s="81" t="s">
        <v>98</v>
      </c>
      <c r="E72" s="82">
        <v>0.0</v>
      </c>
      <c r="F72" s="82">
        <v>24300.0</v>
      </c>
      <c r="G72" s="80" t="s">
        <v>386</v>
      </c>
      <c r="H72" s="76" t="s">
        <v>12</v>
      </c>
      <c r="I72" s="10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ht="15.0" customHeight="1">
      <c r="A73" s="8"/>
      <c r="B73" s="76" t="s">
        <v>14</v>
      </c>
      <c r="C73" s="80" t="s">
        <v>462</v>
      </c>
      <c r="D73" s="81" t="s">
        <v>101</v>
      </c>
      <c r="E73" s="82">
        <v>0.0</v>
      </c>
      <c r="F73" s="82">
        <v>24200.0</v>
      </c>
      <c r="G73" s="80" t="s">
        <v>386</v>
      </c>
      <c r="H73" s="76" t="s">
        <v>12</v>
      </c>
      <c r="I73" s="10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ht="15.0" customHeight="1">
      <c r="A74" s="8"/>
      <c r="B74" s="76" t="s">
        <v>14</v>
      </c>
      <c r="C74" s="80" t="s">
        <v>462</v>
      </c>
      <c r="D74" s="81" t="s">
        <v>101</v>
      </c>
      <c r="E74" s="82">
        <v>0.0</v>
      </c>
      <c r="F74" s="82">
        <v>1000.0</v>
      </c>
      <c r="G74" s="80" t="s">
        <v>386</v>
      </c>
      <c r="H74" s="76" t="s">
        <v>12</v>
      </c>
      <c r="I74" s="10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ht="15.0" customHeight="1">
      <c r="A75" s="8"/>
      <c r="B75" s="76" t="s">
        <v>14</v>
      </c>
      <c r="C75" s="80" t="s">
        <v>462</v>
      </c>
      <c r="D75" s="81" t="s">
        <v>192</v>
      </c>
      <c r="E75" s="82">
        <v>0.0</v>
      </c>
      <c r="F75" s="82">
        <v>22600.0</v>
      </c>
      <c r="G75" s="80" t="s">
        <v>386</v>
      </c>
      <c r="H75" s="76" t="s">
        <v>12</v>
      </c>
      <c r="I75" s="10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ht="15.0" customHeight="1">
      <c r="A76" s="8"/>
      <c r="B76" s="76" t="s">
        <v>14</v>
      </c>
      <c r="C76" s="80" t="s">
        <v>462</v>
      </c>
      <c r="D76" s="81" t="s">
        <v>192</v>
      </c>
      <c r="E76" s="82">
        <v>22600.0</v>
      </c>
      <c r="F76" s="82">
        <v>0.0</v>
      </c>
      <c r="G76" s="80" t="s">
        <v>386</v>
      </c>
      <c r="H76" s="76" t="s">
        <v>12</v>
      </c>
      <c r="I76" s="10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ht="15.0" customHeight="1">
      <c r="A77" s="8"/>
      <c r="B77" s="76" t="s">
        <v>14</v>
      </c>
      <c r="C77" s="80" t="s">
        <v>462</v>
      </c>
      <c r="D77" s="81" t="s">
        <v>195</v>
      </c>
      <c r="E77" s="82">
        <v>0.0</v>
      </c>
      <c r="F77" s="82">
        <v>18200.0</v>
      </c>
      <c r="G77" s="80" t="s">
        <v>386</v>
      </c>
      <c r="H77" s="76" t="s">
        <v>12</v>
      </c>
      <c r="I77" s="10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ht="15.0" customHeight="1">
      <c r="A78" s="8"/>
      <c r="B78" s="76" t="s">
        <v>14</v>
      </c>
      <c r="C78" s="80" t="s">
        <v>462</v>
      </c>
      <c r="D78" s="81" t="s">
        <v>247</v>
      </c>
      <c r="E78" s="82">
        <v>0.0</v>
      </c>
      <c r="F78" s="82">
        <v>1000.0</v>
      </c>
      <c r="G78" s="80" t="s">
        <v>386</v>
      </c>
      <c r="H78" s="76" t="s">
        <v>12</v>
      </c>
      <c r="I78" s="10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ht="15.0" customHeight="1">
      <c r="A79" s="8"/>
      <c r="B79" s="76" t="s">
        <v>14</v>
      </c>
      <c r="C79" s="80" t="s">
        <v>462</v>
      </c>
      <c r="D79" s="81" t="s">
        <v>465</v>
      </c>
      <c r="E79" s="82">
        <v>0.0</v>
      </c>
      <c r="F79" s="82">
        <v>5400.0</v>
      </c>
      <c r="G79" s="80" t="s">
        <v>466</v>
      </c>
      <c r="H79" s="76" t="s">
        <v>29</v>
      </c>
      <c r="I79" s="10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ht="15.0" customHeight="1">
      <c r="A80" s="8"/>
      <c r="B80" s="76" t="s">
        <v>14</v>
      </c>
      <c r="C80" s="80" t="s">
        <v>467</v>
      </c>
      <c r="D80" s="81" t="s">
        <v>98</v>
      </c>
      <c r="E80" s="82">
        <v>0.0</v>
      </c>
      <c r="F80" s="82">
        <v>21900.0</v>
      </c>
      <c r="G80" s="80" t="s">
        <v>386</v>
      </c>
      <c r="H80" s="76" t="s">
        <v>12</v>
      </c>
      <c r="I80" s="10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ht="15.0" customHeight="1">
      <c r="A81" s="8"/>
      <c r="B81" s="76" t="s">
        <v>14</v>
      </c>
      <c r="C81" s="80" t="s">
        <v>467</v>
      </c>
      <c r="D81" s="81" t="s">
        <v>98</v>
      </c>
      <c r="E81" s="82">
        <v>21900.0</v>
      </c>
      <c r="F81" s="82">
        <v>0.0</v>
      </c>
      <c r="G81" s="80" t="s">
        <v>386</v>
      </c>
      <c r="H81" s="76" t="s">
        <v>12</v>
      </c>
      <c r="I81" s="10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ht="15.0" customHeight="1">
      <c r="A82" s="8"/>
      <c r="B82" s="76" t="s">
        <v>14</v>
      </c>
      <c r="C82" s="80" t="s">
        <v>467</v>
      </c>
      <c r="D82" s="81" t="s">
        <v>101</v>
      </c>
      <c r="E82" s="82">
        <v>0.0</v>
      </c>
      <c r="F82" s="82">
        <v>22300.0</v>
      </c>
      <c r="G82" s="80" t="s">
        <v>386</v>
      </c>
      <c r="H82" s="76" t="s">
        <v>12</v>
      </c>
      <c r="I82" s="10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ht="15.0" customHeight="1">
      <c r="A83" s="8"/>
      <c r="B83" s="76" t="s">
        <v>14</v>
      </c>
      <c r="C83" s="80" t="s">
        <v>467</v>
      </c>
      <c r="D83" s="81" t="s">
        <v>192</v>
      </c>
      <c r="E83" s="82">
        <v>0.0</v>
      </c>
      <c r="F83" s="82">
        <v>19200.0</v>
      </c>
      <c r="G83" s="80" t="s">
        <v>386</v>
      </c>
      <c r="H83" s="76" t="s">
        <v>12</v>
      </c>
      <c r="I83" s="10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ht="15.0" customHeight="1">
      <c r="A84" s="8"/>
      <c r="B84" s="76" t="s">
        <v>14</v>
      </c>
      <c r="C84" s="80" t="s">
        <v>467</v>
      </c>
      <c r="D84" s="81" t="s">
        <v>192</v>
      </c>
      <c r="E84" s="82">
        <v>19200.0</v>
      </c>
      <c r="F84" s="82">
        <v>0.0</v>
      </c>
      <c r="G84" s="80" t="s">
        <v>386</v>
      </c>
      <c r="H84" s="76" t="s">
        <v>12</v>
      </c>
      <c r="I84" s="10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ht="15.0" customHeight="1">
      <c r="A85" s="8"/>
      <c r="B85" s="76" t="s">
        <v>14</v>
      </c>
      <c r="C85" s="80" t="s">
        <v>467</v>
      </c>
      <c r="D85" s="81" t="s">
        <v>247</v>
      </c>
      <c r="E85" s="82">
        <v>0.0</v>
      </c>
      <c r="F85" s="82">
        <v>500.0</v>
      </c>
      <c r="G85" s="80" t="s">
        <v>386</v>
      </c>
      <c r="H85" s="76" t="s">
        <v>12</v>
      </c>
      <c r="I85" s="10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ht="15.0" customHeight="1">
      <c r="A86" s="8"/>
      <c r="B86" s="76" t="s">
        <v>14</v>
      </c>
      <c r="C86" s="80" t="s">
        <v>467</v>
      </c>
      <c r="D86" s="81" t="s">
        <v>247</v>
      </c>
      <c r="E86" s="82">
        <v>0.0</v>
      </c>
      <c r="F86" s="82">
        <v>19700.0</v>
      </c>
      <c r="G86" s="80" t="s">
        <v>386</v>
      </c>
      <c r="H86" s="76" t="s">
        <v>12</v>
      </c>
      <c r="I86" s="10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ht="15.0" customHeight="1">
      <c r="A87" s="8"/>
      <c r="B87" s="76" t="s">
        <v>14</v>
      </c>
      <c r="C87" s="80" t="s">
        <v>467</v>
      </c>
      <c r="D87" s="81" t="s">
        <v>98</v>
      </c>
      <c r="E87" s="82">
        <v>0.0</v>
      </c>
      <c r="F87" s="82">
        <v>18100.0</v>
      </c>
      <c r="G87" s="80" t="s">
        <v>386</v>
      </c>
      <c r="H87" s="76" t="s">
        <v>12</v>
      </c>
      <c r="I87" s="10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ht="15.0" customHeight="1">
      <c r="A88" s="8"/>
      <c r="B88" s="76" t="s">
        <v>14</v>
      </c>
      <c r="C88" s="80" t="s">
        <v>467</v>
      </c>
      <c r="D88" s="81" t="s">
        <v>98</v>
      </c>
      <c r="E88" s="82">
        <v>18100.0</v>
      </c>
      <c r="F88" s="82">
        <v>0.0</v>
      </c>
      <c r="G88" s="80" t="s">
        <v>386</v>
      </c>
      <c r="H88" s="76" t="s">
        <v>12</v>
      </c>
      <c r="I88" s="10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ht="15.0" customHeight="1">
      <c r="A89" s="8"/>
      <c r="B89" s="76" t="s">
        <v>14</v>
      </c>
      <c r="C89" s="80" t="s">
        <v>467</v>
      </c>
      <c r="D89" s="81" t="s">
        <v>101</v>
      </c>
      <c r="E89" s="82">
        <v>0.0</v>
      </c>
      <c r="F89" s="82">
        <v>19800.0</v>
      </c>
      <c r="G89" s="80" t="s">
        <v>386</v>
      </c>
      <c r="H89" s="76" t="s">
        <v>12</v>
      </c>
      <c r="I89" s="10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ht="15.0" customHeight="1">
      <c r="A90" s="8"/>
      <c r="B90" s="76" t="s">
        <v>14</v>
      </c>
      <c r="C90" s="80" t="s">
        <v>468</v>
      </c>
      <c r="D90" s="98" t="s">
        <v>469</v>
      </c>
      <c r="E90" s="82">
        <v>0.0</v>
      </c>
      <c r="F90" s="82">
        <v>11000.0</v>
      </c>
      <c r="G90" s="80" t="s">
        <v>470</v>
      </c>
      <c r="H90" s="76" t="s">
        <v>12</v>
      </c>
      <c r="I90" s="10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ht="15.0" customHeight="1">
      <c r="A91" s="8"/>
      <c r="B91" s="76" t="s">
        <v>14</v>
      </c>
      <c r="C91" s="80" t="s">
        <v>471</v>
      </c>
      <c r="D91" s="81" t="s">
        <v>472</v>
      </c>
      <c r="E91" s="82">
        <v>0.0</v>
      </c>
      <c r="F91" s="82">
        <v>18500.0</v>
      </c>
      <c r="G91" s="80" t="s">
        <v>473</v>
      </c>
      <c r="H91" s="76" t="s">
        <v>24</v>
      </c>
      <c r="I91" s="10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ht="15.0" customHeight="1">
      <c r="A92" s="8"/>
      <c r="B92" s="76" t="s">
        <v>14</v>
      </c>
      <c r="C92" s="80" t="s">
        <v>471</v>
      </c>
      <c r="D92" s="81" t="s">
        <v>474</v>
      </c>
      <c r="E92" s="82">
        <v>0.0</v>
      </c>
      <c r="F92" s="82">
        <v>300500.0</v>
      </c>
      <c r="G92" s="80" t="s">
        <v>475</v>
      </c>
      <c r="H92" s="76" t="s">
        <v>12</v>
      </c>
      <c r="I92" s="10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ht="15.0" customHeight="1">
      <c r="A93" s="8"/>
      <c r="B93" s="76" t="s">
        <v>14</v>
      </c>
      <c r="C93" s="80" t="s">
        <v>471</v>
      </c>
      <c r="D93" s="81" t="s">
        <v>476</v>
      </c>
      <c r="E93" s="82">
        <v>0.0</v>
      </c>
      <c r="F93" s="82">
        <v>51000.0</v>
      </c>
      <c r="G93" s="80" t="s">
        <v>477</v>
      </c>
      <c r="H93" s="76" t="s">
        <v>29</v>
      </c>
      <c r="I93" s="10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ht="15.0" customHeight="1">
      <c r="A94" s="8"/>
      <c r="B94" s="76" t="s">
        <v>14</v>
      </c>
      <c r="C94" s="80" t="s">
        <v>471</v>
      </c>
      <c r="D94" s="81" t="s">
        <v>94</v>
      </c>
      <c r="E94" s="82">
        <v>0.0</v>
      </c>
      <c r="F94" s="82">
        <v>25000.0</v>
      </c>
      <c r="G94" s="80" t="s">
        <v>386</v>
      </c>
      <c r="H94" s="76" t="s">
        <v>12</v>
      </c>
      <c r="I94" s="10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ht="15.0" customHeight="1">
      <c r="A95" s="8"/>
      <c r="B95" s="76" t="s">
        <v>14</v>
      </c>
      <c r="C95" s="80" t="s">
        <v>471</v>
      </c>
      <c r="D95" s="81" t="s">
        <v>478</v>
      </c>
      <c r="E95" s="82">
        <v>0.0</v>
      </c>
      <c r="F95" s="82">
        <v>386000.0</v>
      </c>
      <c r="G95" s="80" t="s">
        <v>479</v>
      </c>
      <c r="H95" s="76" t="s">
        <v>29</v>
      </c>
      <c r="I95" s="10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ht="15.0" customHeight="1">
      <c r="A96" s="8"/>
      <c r="B96" s="76" t="s">
        <v>14</v>
      </c>
      <c r="C96" s="80" t="s">
        <v>471</v>
      </c>
      <c r="D96" s="81" t="s">
        <v>172</v>
      </c>
      <c r="E96" s="82">
        <v>0.0</v>
      </c>
      <c r="F96" s="82">
        <v>1000.0</v>
      </c>
      <c r="G96" s="80" t="s">
        <v>386</v>
      </c>
      <c r="H96" s="76" t="s">
        <v>12</v>
      </c>
      <c r="I96" s="10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ht="15.0" customHeight="1">
      <c r="A97" s="8"/>
      <c r="B97" s="76" t="s">
        <v>14</v>
      </c>
      <c r="C97" s="80" t="s">
        <v>471</v>
      </c>
      <c r="D97" s="81" t="s">
        <v>172</v>
      </c>
      <c r="E97" s="82">
        <v>1000.0</v>
      </c>
      <c r="F97" s="82">
        <v>0.0</v>
      </c>
      <c r="G97" s="80" t="s">
        <v>386</v>
      </c>
      <c r="H97" s="76" t="s">
        <v>12</v>
      </c>
      <c r="I97" s="10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ht="15.0" customHeight="1">
      <c r="A98" s="8"/>
      <c r="B98" s="76" t="s">
        <v>14</v>
      </c>
      <c r="C98" s="80" t="s">
        <v>471</v>
      </c>
      <c r="D98" s="81" t="s">
        <v>172</v>
      </c>
      <c r="E98" s="82">
        <v>0.0</v>
      </c>
      <c r="F98" s="82">
        <v>7500.0</v>
      </c>
      <c r="G98" s="80" t="s">
        <v>386</v>
      </c>
      <c r="H98" s="76" t="s">
        <v>12</v>
      </c>
      <c r="I98" s="10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ht="15.0" customHeight="1">
      <c r="A99" s="8"/>
      <c r="B99" s="76" t="s">
        <v>14</v>
      </c>
      <c r="C99" s="80" t="s">
        <v>480</v>
      </c>
      <c r="D99" s="81" t="s">
        <v>481</v>
      </c>
      <c r="E99" s="82">
        <v>0.0</v>
      </c>
      <c r="F99" s="82">
        <v>130000.0</v>
      </c>
      <c r="G99" s="80" t="s">
        <v>482</v>
      </c>
      <c r="H99" s="76" t="s">
        <v>29</v>
      </c>
      <c r="I99" s="10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ht="15.0" customHeight="1">
      <c r="A100" s="8"/>
      <c r="B100" s="76" t="s">
        <v>14</v>
      </c>
      <c r="C100" s="80" t="s">
        <v>480</v>
      </c>
      <c r="D100" s="81" t="s">
        <v>98</v>
      </c>
      <c r="E100" s="82">
        <v>22800.0</v>
      </c>
      <c r="F100" s="82">
        <v>0.0</v>
      </c>
      <c r="G100" s="80" t="s">
        <v>386</v>
      </c>
      <c r="H100" s="76" t="s">
        <v>12</v>
      </c>
      <c r="I100" s="10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ht="15.0" customHeight="1">
      <c r="A101" s="8"/>
      <c r="B101" s="76" t="s">
        <v>14</v>
      </c>
      <c r="C101" s="80" t="s">
        <v>480</v>
      </c>
      <c r="D101" s="81" t="s">
        <v>98</v>
      </c>
      <c r="E101" s="82">
        <v>0.0</v>
      </c>
      <c r="F101" s="82">
        <v>22800.0</v>
      </c>
      <c r="G101" s="80" t="s">
        <v>386</v>
      </c>
      <c r="H101" s="76" t="s">
        <v>12</v>
      </c>
      <c r="I101" s="10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ht="15.0" customHeight="1">
      <c r="A102" s="8"/>
      <c r="B102" s="76" t="s">
        <v>14</v>
      </c>
      <c r="C102" s="80" t="s">
        <v>480</v>
      </c>
      <c r="D102" s="81" t="s">
        <v>192</v>
      </c>
      <c r="E102" s="82">
        <v>18800.0</v>
      </c>
      <c r="F102" s="82">
        <v>0.0</v>
      </c>
      <c r="G102" s="80" t="s">
        <v>386</v>
      </c>
      <c r="H102" s="76" t="s">
        <v>12</v>
      </c>
      <c r="I102" s="10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ht="15.0" customHeight="1">
      <c r="A103" s="8"/>
      <c r="B103" s="76" t="s">
        <v>14</v>
      </c>
      <c r="C103" s="80" t="s">
        <v>480</v>
      </c>
      <c r="D103" s="81" t="s">
        <v>192</v>
      </c>
      <c r="E103" s="82">
        <v>0.0</v>
      </c>
      <c r="F103" s="82">
        <v>18800.0</v>
      </c>
      <c r="G103" s="80" t="s">
        <v>386</v>
      </c>
      <c r="H103" s="76" t="s">
        <v>12</v>
      </c>
      <c r="I103" s="10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ht="15.0" customHeight="1">
      <c r="A104" s="8"/>
      <c r="B104" s="76" t="s">
        <v>14</v>
      </c>
      <c r="C104" s="80" t="s">
        <v>480</v>
      </c>
      <c r="D104" s="81" t="s">
        <v>247</v>
      </c>
      <c r="E104" s="82">
        <v>0.0</v>
      </c>
      <c r="F104" s="82">
        <v>17100.0</v>
      </c>
      <c r="G104" s="80" t="s">
        <v>386</v>
      </c>
      <c r="H104" s="76" t="s">
        <v>12</v>
      </c>
      <c r="I104" s="10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ht="15.0" customHeight="1">
      <c r="A105" s="8"/>
      <c r="B105" s="76" t="s">
        <v>14</v>
      </c>
      <c r="C105" s="80" t="s">
        <v>480</v>
      </c>
      <c r="D105" s="81" t="s">
        <v>192</v>
      </c>
      <c r="E105" s="82">
        <v>0.0</v>
      </c>
      <c r="F105" s="82">
        <v>22900.0</v>
      </c>
      <c r="G105" s="80" t="s">
        <v>386</v>
      </c>
      <c r="H105" s="76" t="s">
        <v>12</v>
      </c>
      <c r="I105" s="10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ht="15.0" customHeight="1">
      <c r="A106" s="8"/>
      <c r="B106" s="76" t="s">
        <v>14</v>
      </c>
      <c r="C106" s="80" t="s">
        <v>480</v>
      </c>
      <c r="D106" s="81" t="s">
        <v>192</v>
      </c>
      <c r="E106" s="82">
        <v>22900.0</v>
      </c>
      <c r="F106" s="82">
        <v>0.0</v>
      </c>
      <c r="G106" s="80" t="s">
        <v>386</v>
      </c>
      <c r="H106" s="76" t="s">
        <v>12</v>
      </c>
      <c r="I106" s="10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ht="15.0" customHeight="1">
      <c r="A107" s="8"/>
      <c r="B107" s="76" t="s">
        <v>14</v>
      </c>
      <c r="C107" s="80" t="s">
        <v>480</v>
      </c>
      <c r="D107" s="81" t="s">
        <v>98</v>
      </c>
      <c r="E107" s="82">
        <v>22600.0</v>
      </c>
      <c r="F107" s="82">
        <v>0.0</v>
      </c>
      <c r="G107" s="80" t="s">
        <v>386</v>
      </c>
      <c r="H107" s="76" t="s">
        <v>12</v>
      </c>
      <c r="I107" s="10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ht="15.0" customHeight="1">
      <c r="A108" s="8"/>
      <c r="B108" s="76" t="s">
        <v>14</v>
      </c>
      <c r="C108" s="80" t="s">
        <v>480</v>
      </c>
      <c r="D108" s="81" t="s">
        <v>98</v>
      </c>
      <c r="E108" s="82">
        <v>0.0</v>
      </c>
      <c r="F108" s="82">
        <v>22600.0</v>
      </c>
      <c r="G108" s="80" t="s">
        <v>386</v>
      </c>
      <c r="H108" s="76" t="s">
        <v>12</v>
      </c>
      <c r="I108" s="10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ht="15.0" customHeight="1">
      <c r="A109" s="8"/>
      <c r="B109" s="76" t="s">
        <v>14</v>
      </c>
      <c r="C109" s="80" t="s">
        <v>480</v>
      </c>
      <c r="D109" s="81" t="s">
        <v>101</v>
      </c>
      <c r="E109" s="82">
        <v>0.0</v>
      </c>
      <c r="F109" s="82">
        <v>20900.0</v>
      </c>
      <c r="G109" s="80" t="s">
        <v>386</v>
      </c>
      <c r="H109" s="76" t="s">
        <v>12</v>
      </c>
      <c r="I109" s="10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ht="15.0" customHeight="1">
      <c r="A110" s="8"/>
      <c r="B110" s="76" t="s">
        <v>14</v>
      </c>
      <c r="C110" s="80" t="s">
        <v>483</v>
      </c>
      <c r="D110" s="81" t="s">
        <v>484</v>
      </c>
      <c r="E110" s="82">
        <v>0.0</v>
      </c>
      <c r="F110" s="82">
        <v>5415408.0</v>
      </c>
      <c r="G110" s="80" t="s">
        <v>485</v>
      </c>
      <c r="H110" s="76" t="s">
        <v>41</v>
      </c>
      <c r="I110" s="10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ht="15.0" customHeight="1">
      <c r="A111" s="8"/>
      <c r="B111" s="76" t="s">
        <v>14</v>
      </c>
      <c r="C111" s="80" t="s">
        <v>483</v>
      </c>
      <c r="D111" s="81" t="s">
        <v>486</v>
      </c>
      <c r="E111" s="82">
        <v>0.0</v>
      </c>
      <c r="F111" s="82">
        <v>5734518.0</v>
      </c>
      <c r="G111" s="80" t="s">
        <v>485</v>
      </c>
      <c r="H111" s="76" t="s">
        <v>41</v>
      </c>
      <c r="I111" s="10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ht="15.0" customHeight="1">
      <c r="A112" s="8"/>
      <c r="B112" s="76" t="s">
        <v>14</v>
      </c>
      <c r="C112" s="80" t="s">
        <v>483</v>
      </c>
      <c r="D112" s="81" t="s">
        <v>487</v>
      </c>
      <c r="E112" s="82">
        <v>0.0</v>
      </c>
      <c r="F112" s="82">
        <v>6038938.0</v>
      </c>
      <c r="G112" s="80" t="s">
        <v>485</v>
      </c>
      <c r="H112" s="76" t="s">
        <v>41</v>
      </c>
      <c r="I112" s="10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ht="15.0" customHeight="1">
      <c r="A113" s="8"/>
      <c r="B113" s="76" t="s">
        <v>14</v>
      </c>
      <c r="C113" s="80" t="s">
        <v>483</v>
      </c>
      <c r="D113" s="81" t="s">
        <v>488</v>
      </c>
      <c r="E113" s="82">
        <v>0.0</v>
      </c>
      <c r="F113" s="82">
        <v>2986925.0</v>
      </c>
      <c r="G113" s="80" t="s">
        <v>485</v>
      </c>
      <c r="H113" s="76" t="s">
        <v>41</v>
      </c>
      <c r="I113" s="10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ht="15.0" customHeight="1">
      <c r="A114" s="8"/>
      <c r="B114" s="76" t="s">
        <v>14</v>
      </c>
      <c r="C114" s="80" t="s">
        <v>483</v>
      </c>
      <c r="D114" s="81" t="s">
        <v>489</v>
      </c>
      <c r="E114" s="82">
        <v>0.0</v>
      </c>
      <c r="F114" s="82">
        <v>5624578.0</v>
      </c>
      <c r="G114" s="80" t="s">
        <v>485</v>
      </c>
      <c r="H114" s="76" t="s">
        <v>41</v>
      </c>
      <c r="I114" s="10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ht="15.0" customHeight="1">
      <c r="A115" s="8"/>
      <c r="B115" s="76" t="s">
        <v>14</v>
      </c>
      <c r="C115" s="80" t="s">
        <v>483</v>
      </c>
      <c r="D115" s="81" t="s">
        <v>490</v>
      </c>
      <c r="E115" s="82">
        <v>0.0</v>
      </c>
      <c r="F115" s="82">
        <v>6427734.0</v>
      </c>
      <c r="G115" s="80" t="s">
        <v>485</v>
      </c>
      <c r="H115" s="76" t="s">
        <v>41</v>
      </c>
      <c r="I115" s="10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ht="15.0" customHeight="1">
      <c r="A116" s="8"/>
      <c r="B116" s="76" t="s">
        <v>14</v>
      </c>
      <c r="C116" s="80" t="s">
        <v>483</v>
      </c>
      <c r="D116" s="81" t="s">
        <v>491</v>
      </c>
      <c r="E116" s="82">
        <v>0.0</v>
      </c>
      <c r="F116" s="82">
        <v>4886010.0</v>
      </c>
      <c r="G116" s="80" t="s">
        <v>485</v>
      </c>
      <c r="H116" s="76" t="s">
        <v>41</v>
      </c>
      <c r="I116" s="10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ht="15.0" customHeight="1">
      <c r="A117" s="8"/>
      <c r="B117" s="76" t="s">
        <v>14</v>
      </c>
      <c r="C117" s="80" t="s">
        <v>483</v>
      </c>
      <c r="D117" s="81" t="s">
        <v>492</v>
      </c>
      <c r="E117" s="82">
        <v>0.0</v>
      </c>
      <c r="F117" s="82">
        <v>4539177.0</v>
      </c>
      <c r="G117" s="80" t="s">
        <v>485</v>
      </c>
      <c r="H117" s="76" t="s">
        <v>41</v>
      </c>
      <c r="I117" s="10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ht="15.0" customHeight="1">
      <c r="A118" s="8"/>
      <c r="B118" s="76" t="s">
        <v>14</v>
      </c>
      <c r="C118" s="80" t="s">
        <v>483</v>
      </c>
      <c r="D118" s="81" t="s">
        <v>493</v>
      </c>
      <c r="E118" s="82">
        <v>0.0</v>
      </c>
      <c r="F118" s="82">
        <v>2577283.0</v>
      </c>
      <c r="G118" s="80" t="s">
        <v>485</v>
      </c>
      <c r="H118" s="76" t="s">
        <v>41</v>
      </c>
      <c r="I118" s="10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ht="15.0" customHeight="1">
      <c r="A119" s="8"/>
      <c r="B119" s="76" t="s">
        <v>14</v>
      </c>
      <c r="C119" s="80" t="s">
        <v>483</v>
      </c>
      <c r="D119" s="81" t="s">
        <v>494</v>
      </c>
      <c r="E119" s="82">
        <v>0.0</v>
      </c>
      <c r="F119" s="82">
        <v>4766200.0</v>
      </c>
      <c r="G119" s="80" t="s">
        <v>485</v>
      </c>
      <c r="H119" s="76" t="s">
        <v>41</v>
      </c>
      <c r="I119" s="10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ht="15.0" customHeight="1">
      <c r="A120" s="8"/>
      <c r="B120" s="76" t="s">
        <v>14</v>
      </c>
      <c r="C120" s="80" t="s">
        <v>483</v>
      </c>
      <c r="D120" s="81" t="s">
        <v>495</v>
      </c>
      <c r="E120" s="82">
        <v>0.0</v>
      </c>
      <c r="F120" s="82">
        <v>9000.0</v>
      </c>
      <c r="G120" s="80" t="s">
        <v>496</v>
      </c>
      <c r="H120" s="76" t="s">
        <v>29</v>
      </c>
      <c r="I120" s="10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ht="15.0" customHeight="1">
      <c r="A121" s="8"/>
      <c r="B121" s="76" t="s">
        <v>14</v>
      </c>
      <c r="C121" s="80" t="s">
        <v>483</v>
      </c>
      <c r="D121" s="81" t="s">
        <v>497</v>
      </c>
      <c r="E121" s="82">
        <v>0.0</v>
      </c>
      <c r="F121" s="82">
        <v>330000.0</v>
      </c>
      <c r="G121" s="80" t="s">
        <v>498</v>
      </c>
      <c r="H121" s="76" t="s">
        <v>33</v>
      </c>
      <c r="I121" s="10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ht="15.0" customHeight="1">
      <c r="A122" s="8"/>
      <c r="B122" s="76" t="s">
        <v>14</v>
      </c>
      <c r="C122" s="80" t="s">
        <v>499</v>
      </c>
      <c r="D122" s="81" t="s">
        <v>500</v>
      </c>
      <c r="E122" s="82">
        <v>0.0</v>
      </c>
      <c r="F122" s="82">
        <v>6000.0</v>
      </c>
      <c r="G122" s="80" t="s">
        <v>501</v>
      </c>
      <c r="H122" s="76" t="s">
        <v>24</v>
      </c>
      <c r="I122" s="10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ht="15.0" customHeight="1">
      <c r="A123" s="8"/>
      <c r="B123" s="76" t="s">
        <v>14</v>
      </c>
      <c r="C123" s="80" t="s">
        <v>502</v>
      </c>
      <c r="D123" s="81" t="s">
        <v>503</v>
      </c>
      <c r="E123" s="82">
        <v>0.0</v>
      </c>
      <c r="F123" s="82">
        <v>1000500.0</v>
      </c>
      <c r="G123" s="80" t="s">
        <v>504</v>
      </c>
      <c r="H123" s="76" t="s">
        <v>4</v>
      </c>
      <c r="I123" s="10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ht="15.0" customHeight="1">
      <c r="A124" s="8"/>
      <c r="B124" s="76" t="s">
        <v>14</v>
      </c>
      <c r="C124" s="80" t="s">
        <v>502</v>
      </c>
      <c r="D124" s="81" t="s">
        <v>505</v>
      </c>
      <c r="E124" s="82">
        <v>0.0</v>
      </c>
      <c r="F124" s="82">
        <v>165100.0</v>
      </c>
      <c r="G124" s="80" t="s">
        <v>504</v>
      </c>
      <c r="H124" s="76" t="s">
        <v>4</v>
      </c>
      <c r="I124" s="10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ht="15.0" customHeight="1">
      <c r="A125" s="8"/>
      <c r="B125" s="76" t="s">
        <v>14</v>
      </c>
      <c r="C125" s="80" t="s">
        <v>502</v>
      </c>
      <c r="D125" s="81" t="s">
        <v>506</v>
      </c>
      <c r="E125" s="82">
        <v>0.0</v>
      </c>
      <c r="F125" s="82">
        <v>5500000.0</v>
      </c>
      <c r="G125" s="80" t="s">
        <v>507</v>
      </c>
      <c r="H125" s="76" t="s">
        <v>4</v>
      </c>
      <c r="I125" s="10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ht="15.0" customHeight="1">
      <c r="A126" s="8"/>
      <c r="B126" s="76" t="s">
        <v>26</v>
      </c>
      <c r="C126" s="80" t="s">
        <v>407</v>
      </c>
      <c r="D126" s="81" t="s">
        <v>508</v>
      </c>
      <c r="E126" s="82">
        <v>0.0</v>
      </c>
      <c r="F126" s="82">
        <v>124080.0</v>
      </c>
      <c r="G126" s="80" t="s">
        <v>509</v>
      </c>
      <c r="H126" s="76" t="s">
        <v>33</v>
      </c>
      <c r="I126" s="10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ht="15.0" customHeight="1">
      <c r="A127" s="8"/>
      <c r="B127" s="76" t="s">
        <v>26</v>
      </c>
      <c r="C127" s="80" t="s">
        <v>427</v>
      </c>
      <c r="D127" s="81" t="s">
        <v>510</v>
      </c>
      <c r="E127" s="82">
        <v>0.0</v>
      </c>
      <c r="F127" s="82">
        <v>269708.0</v>
      </c>
      <c r="G127" s="80" t="s">
        <v>511</v>
      </c>
      <c r="H127" s="76" t="s">
        <v>12</v>
      </c>
      <c r="I127" s="10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ht="15.0" customHeight="1">
      <c r="A128" s="8"/>
      <c r="B128" s="76" t="s">
        <v>22</v>
      </c>
      <c r="C128" s="80" t="s">
        <v>393</v>
      </c>
      <c r="D128" s="81" t="s">
        <v>512</v>
      </c>
      <c r="E128" s="82" t="s">
        <v>513</v>
      </c>
      <c r="F128" s="82">
        <v>284.29</v>
      </c>
      <c r="G128" s="80" t="s">
        <v>514</v>
      </c>
      <c r="H128" s="76" t="s">
        <v>33</v>
      </c>
      <c r="I128" s="10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ht="15.0" customHeight="1">
      <c r="A129" s="8"/>
      <c r="B129" s="76" t="s">
        <v>22</v>
      </c>
      <c r="C129" s="80" t="s">
        <v>419</v>
      </c>
      <c r="D129" s="81" t="s">
        <v>515</v>
      </c>
      <c r="E129" s="82">
        <v>0.0</v>
      </c>
      <c r="F129" s="82">
        <v>1000.0</v>
      </c>
      <c r="G129" s="80" t="s">
        <v>516</v>
      </c>
      <c r="H129" s="76" t="s">
        <v>33</v>
      </c>
      <c r="I129" s="10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ht="15.0" customHeight="1">
      <c r="A130" s="8"/>
      <c r="B130" s="76" t="s">
        <v>22</v>
      </c>
      <c r="C130" s="80" t="s">
        <v>517</v>
      </c>
      <c r="D130" s="81" t="s">
        <v>518</v>
      </c>
      <c r="E130" s="82">
        <v>0.0</v>
      </c>
      <c r="F130" s="82">
        <v>1000.0</v>
      </c>
      <c r="G130" s="80" t="s">
        <v>516</v>
      </c>
      <c r="H130" s="76" t="s">
        <v>33</v>
      </c>
      <c r="I130" s="10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ht="15.0" customHeight="1">
      <c r="A131" s="8"/>
      <c r="B131" s="76" t="s">
        <v>22</v>
      </c>
      <c r="C131" s="80" t="s">
        <v>462</v>
      </c>
      <c r="D131" s="81" t="s">
        <v>519</v>
      </c>
      <c r="E131" s="82">
        <v>0.0</v>
      </c>
      <c r="F131" s="82">
        <v>2790.61</v>
      </c>
      <c r="G131" s="80" t="s">
        <v>520</v>
      </c>
      <c r="H131" s="76" t="s">
        <v>33</v>
      </c>
      <c r="I131" s="10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ht="15.0" customHeight="1">
      <c r="A132" s="8"/>
      <c r="B132" s="76" t="s">
        <v>22</v>
      </c>
      <c r="C132" s="80" t="s">
        <v>521</v>
      </c>
      <c r="D132" s="81" t="s">
        <v>522</v>
      </c>
      <c r="E132" s="82">
        <v>0.0</v>
      </c>
      <c r="F132" s="82">
        <v>1000.0</v>
      </c>
      <c r="G132" s="80" t="s">
        <v>516</v>
      </c>
      <c r="H132" s="76" t="s">
        <v>33</v>
      </c>
      <c r="I132" s="10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ht="15.0" customHeight="1">
      <c r="A133" s="8"/>
      <c r="B133" s="76" t="s">
        <v>22</v>
      </c>
      <c r="C133" s="80" t="s">
        <v>480</v>
      </c>
      <c r="D133" s="81" t="s">
        <v>523</v>
      </c>
      <c r="E133" s="82">
        <v>0.0</v>
      </c>
      <c r="F133" s="82">
        <v>8.75</v>
      </c>
      <c r="G133" s="80" t="s">
        <v>524</v>
      </c>
      <c r="H133" s="76" t="s">
        <v>12</v>
      </c>
      <c r="I133" s="10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ht="15.0" customHeight="1">
      <c r="A134" s="8"/>
      <c r="B134" s="76" t="s">
        <v>22</v>
      </c>
      <c r="C134" s="80" t="s">
        <v>480</v>
      </c>
      <c r="D134" s="81" t="s">
        <v>523</v>
      </c>
      <c r="E134" s="82">
        <v>0.0</v>
      </c>
      <c r="F134" s="82">
        <v>0.6</v>
      </c>
      <c r="G134" s="80" t="s">
        <v>524</v>
      </c>
      <c r="H134" s="76" t="s">
        <v>12</v>
      </c>
      <c r="I134" s="10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ht="15.0" customHeight="1">
      <c r="A135" s="8"/>
      <c r="B135" s="76" t="s">
        <v>22</v>
      </c>
      <c r="C135" s="80" t="s">
        <v>525</v>
      </c>
      <c r="D135" s="81" t="s">
        <v>523</v>
      </c>
      <c r="E135" s="82">
        <v>0.0</v>
      </c>
      <c r="F135" s="82">
        <v>6.53</v>
      </c>
      <c r="G135" s="80" t="s">
        <v>524</v>
      </c>
      <c r="H135" s="76" t="s">
        <v>12</v>
      </c>
      <c r="I135" s="10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ht="15.0" customHeight="1">
      <c r="A136" s="8"/>
      <c r="B136" s="76" t="s">
        <v>22</v>
      </c>
      <c r="C136" s="80" t="s">
        <v>525</v>
      </c>
      <c r="D136" s="81" t="s">
        <v>523</v>
      </c>
      <c r="E136" s="82">
        <v>0.0</v>
      </c>
      <c r="F136" s="82">
        <v>6.12</v>
      </c>
      <c r="G136" s="80" t="s">
        <v>524</v>
      </c>
      <c r="H136" s="76" t="s">
        <v>12</v>
      </c>
      <c r="I136" s="10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ht="15.0" customHeight="1">
      <c r="A137" s="8"/>
      <c r="B137" s="76" t="s">
        <v>22</v>
      </c>
      <c r="C137" s="80" t="s">
        <v>525</v>
      </c>
      <c r="D137" s="81" t="s">
        <v>523</v>
      </c>
      <c r="E137" s="82">
        <v>0.0</v>
      </c>
      <c r="F137" s="82">
        <v>1.91</v>
      </c>
      <c r="G137" s="80" t="s">
        <v>524</v>
      </c>
      <c r="H137" s="76" t="s">
        <v>12</v>
      </c>
      <c r="I137" s="10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ht="15.0" customHeight="1">
      <c r="A138" s="8"/>
      <c r="B138" s="76" t="s">
        <v>22</v>
      </c>
      <c r="C138" s="80" t="s">
        <v>483</v>
      </c>
      <c r="D138" s="81" t="s">
        <v>526</v>
      </c>
      <c r="E138" s="82">
        <v>0.0</v>
      </c>
      <c r="F138" s="82">
        <v>1797.33</v>
      </c>
      <c r="G138" s="80" t="s">
        <v>527</v>
      </c>
      <c r="H138" s="76" t="s">
        <v>41</v>
      </c>
      <c r="I138" s="10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ht="15.0" customHeight="1">
      <c r="A139" s="8"/>
      <c r="B139" s="76" t="s">
        <v>22</v>
      </c>
      <c r="C139" s="80" t="s">
        <v>483</v>
      </c>
      <c r="D139" s="81" t="s">
        <v>526</v>
      </c>
      <c r="E139" s="82">
        <v>0.0</v>
      </c>
      <c r="F139" s="82">
        <v>70.77</v>
      </c>
      <c r="G139" s="80" t="s">
        <v>528</v>
      </c>
      <c r="H139" s="76" t="s">
        <v>33</v>
      </c>
      <c r="I139" s="10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ht="15.0" customHeight="1">
      <c r="A140" s="8"/>
      <c r="B140" s="76" t="s">
        <v>22</v>
      </c>
      <c r="C140" s="80" t="s">
        <v>483</v>
      </c>
      <c r="D140" s="81" t="s">
        <v>523</v>
      </c>
      <c r="E140" s="82">
        <v>0.0</v>
      </c>
      <c r="F140" s="82">
        <v>1.85</v>
      </c>
      <c r="G140" s="80" t="s">
        <v>524</v>
      </c>
      <c r="H140" s="76" t="s">
        <v>12</v>
      </c>
      <c r="I140" s="10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ht="15.0" customHeight="1">
      <c r="A141" s="8"/>
      <c r="B141" s="76" t="s">
        <v>22</v>
      </c>
      <c r="C141" s="80" t="s">
        <v>483</v>
      </c>
      <c r="D141" s="81" t="s">
        <v>523</v>
      </c>
      <c r="E141" s="82">
        <v>0.0</v>
      </c>
      <c r="F141" s="82">
        <v>3.53</v>
      </c>
      <c r="G141" s="80" t="s">
        <v>524</v>
      </c>
      <c r="H141" s="76" t="s">
        <v>12</v>
      </c>
      <c r="I141" s="10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ht="15.0" customHeight="1">
      <c r="A142" s="8"/>
      <c r="B142" s="76" t="s">
        <v>22</v>
      </c>
      <c r="C142" s="80" t="s">
        <v>483</v>
      </c>
      <c r="D142" s="81" t="s">
        <v>523</v>
      </c>
      <c r="E142" s="82">
        <v>0.0</v>
      </c>
      <c r="F142" s="82">
        <v>3.36</v>
      </c>
      <c r="G142" s="80" t="s">
        <v>524</v>
      </c>
      <c r="H142" s="76" t="s">
        <v>12</v>
      </c>
      <c r="I142" s="10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ht="15.0" customHeight="1">
      <c r="A143" s="8"/>
      <c r="B143" s="76" t="s">
        <v>22</v>
      </c>
      <c r="C143" s="80" t="s">
        <v>483</v>
      </c>
      <c r="D143" s="81" t="s">
        <v>523</v>
      </c>
      <c r="E143" s="82">
        <v>0.0</v>
      </c>
      <c r="F143" s="82">
        <v>6.46</v>
      </c>
      <c r="G143" s="80" t="s">
        <v>524</v>
      </c>
      <c r="H143" s="76" t="s">
        <v>12</v>
      </c>
      <c r="I143" s="10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ht="15.0" customHeight="1">
      <c r="A144" s="8"/>
      <c r="B144" s="76" t="s">
        <v>22</v>
      </c>
      <c r="C144" s="80" t="s">
        <v>483</v>
      </c>
      <c r="D144" s="81" t="s">
        <v>523</v>
      </c>
      <c r="E144" s="82">
        <v>0.0</v>
      </c>
      <c r="F144" s="82">
        <v>11.0</v>
      </c>
      <c r="G144" s="80" t="s">
        <v>524</v>
      </c>
      <c r="H144" s="76" t="s">
        <v>12</v>
      </c>
      <c r="I144" s="10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ht="15.0" customHeight="1">
      <c r="A145" s="8"/>
      <c r="B145" s="76" t="s">
        <v>22</v>
      </c>
      <c r="C145" s="80" t="s">
        <v>483</v>
      </c>
      <c r="D145" s="81" t="s">
        <v>523</v>
      </c>
      <c r="E145" s="82">
        <v>0.0</v>
      </c>
      <c r="F145" s="82">
        <v>6.58</v>
      </c>
      <c r="G145" s="80" t="s">
        <v>524</v>
      </c>
      <c r="H145" s="76" t="s">
        <v>12</v>
      </c>
      <c r="I145" s="10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ht="15.0" customHeight="1">
      <c r="A146" s="8"/>
      <c r="B146" s="76" t="s">
        <v>22</v>
      </c>
      <c r="C146" s="80" t="s">
        <v>483</v>
      </c>
      <c r="D146" s="81" t="s">
        <v>523</v>
      </c>
      <c r="E146" s="82">
        <v>0.0</v>
      </c>
      <c r="F146" s="82">
        <v>3.53</v>
      </c>
      <c r="G146" s="80" t="s">
        <v>524</v>
      </c>
      <c r="H146" s="76" t="s">
        <v>12</v>
      </c>
      <c r="I146" s="10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ht="15.0" customHeight="1">
      <c r="A147" s="8"/>
      <c r="B147" s="76" t="s">
        <v>22</v>
      </c>
      <c r="C147" s="80" t="s">
        <v>529</v>
      </c>
      <c r="D147" s="81" t="s">
        <v>523</v>
      </c>
      <c r="E147" s="82">
        <v>0.0</v>
      </c>
      <c r="F147" s="82">
        <v>4.13</v>
      </c>
      <c r="G147" s="80" t="s">
        <v>524</v>
      </c>
      <c r="H147" s="76" t="s">
        <v>12</v>
      </c>
      <c r="I147" s="10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ht="15.0" customHeight="1">
      <c r="A148" s="8"/>
      <c r="B148" s="76" t="s">
        <v>22</v>
      </c>
      <c r="C148" s="80" t="s">
        <v>529</v>
      </c>
      <c r="D148" s="81" t="s">
        <v>523</v>
      </c>
      <c r="E148" s="82">
        <v>0.0</v>
      </c>
      <c r="F148" s="82">
        <v>6.11</v>
      </c>
      <c r="G148" s="80" t="s">
        <v>524</v>
      </c>
      <c r="H148" s="76" t="s">
        <v>12</v>
      </c>
      <c r="I148" s="10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ht="15.0" customHeight="1">
      <c r="A149" s="8"/>
      <c r="B149" s="76" t="s">
        <v>22</v>
      </c>
      <c r="C149" s="80" t="s">
        <v>529</v>
      </c>
      <c r="D149" s="81" t="s">
        <v>523</v>
      </c>
      <c r="E149" s="82">
        <v>0.0</v>
      </c>
      <c r="F149" s="82">
        <v>5.93</v>
      </c>
      <c r="G149" s="80" t="s">
        <v>524</v>
      </c>
      <c r="H149" s="76" t="s">
        <v>12</v>
      </c>
      <c r="I149" s="10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ht="15.0" customHeight="1">
      <c r="A150" s="8"/>
      <c r="B150" s="76" t="s">
        <v>22</v>
      </c>
      <c r="C150" s="80" t="s">
        <v>529</v>
      </c>
      <c r="D150" s="81" t="s">
        <v>523</v>
      </c>
      <c r="E150" s="82">
        <v>0.0</v>
      </c>
      <c r="F150" s="82">
        <v>3.11</v>
      </c>
      <c r="G150" s="80" t="s">
        <v>524</v>
      </c>
      <c r="H150" s="76" t="s">
        <v>12</v>
      </c>
      <c r="I150" s="10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ht="15.0" customHeight="1">
      <c r="A151" s="8"/>
      <c r="B151" s="76" t="s">
        <v>22</v>
      </c>
      <c r="C151" s="80" t="s">
        <v>529</v>
      </c>
      <c r="D151" s="81" t="s">
        <v>523</v>
      </c>
      <c r="E151" s="82">
        <v>0.0</v>
      </c>
      <c r="F151" s="82">
        <v>3.41</v>
      </c>
      <c r="G151" s="80" t="s">
        <v>524</v>
      </c>
      <c r="H151" s="76" t="s">
        <v>12</v>
      </c>
      <c r="I151" s="10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ht="15.0" customHeight="1">
      <c r="A152" s="8"/>
      <c r="B152" s="76" t="s">
        <v>22</v>
      </c>
      <c r="C152" s="80" t="s">
        <v>529</v>
      </c>
      <c r="D152" s="81" t="s">
        <v>523</v>
      </c>
      <c r="E152" s="82">
        <v>0.0</v>
      </c>
      <c r="F152" s="82">
        <v>4.26</v>
      </c>
      <c r="G152" s="80" t="s">
        <v>524</v>
      </c>
      <c r="H152" s="76" t="s">
        <v>12</v>
      </c>
      <c r="I152" s="10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ht="15.0" customHeight="1">
      <c r="A153" s="8"/>
      <c r="B153" s="76" t="s">
        <v>22</v>
      </c>
      <c r="C153" s="80" t="s">
        <v>530</v>
      </c>
      <c r="D153" s="81" t="s">
        <v>523</v>
      </c>
      <c r="E153" s="82">
        <v>0.0</v>
      </c>
      <c r="F153" s="82">
        <v>2.76</v>
      </c>
      <c r="G153" s="80" t="s">
        <v>524</v>
      </c>
      <c r="H153" s="76" t="s">
        <v>12</v>
      </c>
      <c r="I153" s="10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ht="15.0" customHeight="1">
      <c r="A154" s="8"/>
      <c r="B154" s="76" t="s">
        <v>22</v>
      </c>
      <c r="C154" s="80" t="s">
        <v>530</v>
      </c>
      <c r="D154" s="81" t="s">
        <v>523</v>
      </c>
      <c r="E154" s="82">
        <v>0.0</v>
      </c>
      <c r="F154" s="82">
        <v>0.84</v>
      </c>
      <c r="G154" s="80" t="s">
        <v>524</v>
      </c>
      <c r="H154" s="76" t="s">
        <v>12</v>
      </c>
      <c r="I154" s="10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ht="15.0" customHeight="1">
      <c r="A155" s="8"/>
      <c r="B155" s="76" t="s">
        <v>22</v>
      </c>
      <c r="C155" s="80" t="s">
        <v>530</v>
      </c>
      <c r="D155" s="81" t="s">
        <v>523</v>
      </c>
      <c r="E155" s="82">
        <v>0.0</v>
      </c>
      <c r="F155" s="82">
        <v>0.84</v>
      </c>
      <c r="G155" s="80" t="s">
        <v>524</v>
      </c>
      <c r="H155" s="76" t="s">
        <v>12</v>
      </c>
      <c r="I155" s="10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ht="15.0" customHeight="1">
      <c r="A156" s="8"/>
      <c r="B156" s="76" t="s">
        <v>22</v>
      </c>
      <c r="C156" s="80" t="s">
        <v>530</v>
      </c>
      <c r="D156" s="81" t="s">
        <v>523</v>
      </c>
      <c r="E156" s="82">
        <v>0.0</v>
      </c>
      <c r="F156" s="82">
        <v>3.42</v>
      </c>
      <c r="G156" s="80" t="s">
        <v>524</v>
      </c>
      <c r="H156" s="76" t="s">
        <v>12</v>
      </c>
      <c r="I156" s="10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ht="15.0" customHeight="1">
      <c r="A157" s="8"/>
      <c r="B157" s="76" t="s">
        <v>22</v>
      </c>
      <c r="C157" s="80" t="s">
        <v>530</v>
      </c>
      <c r="D157" s="81" t="s">
        <v>523</v>
      </c>
      <c r="E157" s="82">
        <v>0.0</v>
      </c>
      <c r="F157" s="82">
        <v>8.46</v>
      </c>
      <c r="G157" s="80" t="s">
        <v>524</v>
      </c>
      <c r="H157" s="76" t="s">
        <v>12</v>
      </c>
      <c r="I157" s="10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ht="15.0" customHeight="1">
      <c r="A158" s="8"/>
      <c r="B158" s="76" t="s">
        <v>22</v>
      </c>
      <c r="C158" s="80" t="s">
        <v>530</v>
      </c>
      <c r="D158" s="81" t="s">
        <v>523</v>
      </c>
      <c r="E158" s="82">
        <v>0.0</v>
      </c>
      <c r="F158" s="82">
        <v>1.86</v>
      </c>
      <c r="G158" s="80" t="s">
        <v>524</v>
      </c>
      <c r="H158" s="76" t="s">
        <v>12</v>
      </c>
      <c r="I158" s="10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ht="15.0" customHeight="1">
      <c r="A159" s="8"/>
      <c r="B159" s="76" t="s">
        <v>22</v>
      </c>
      <c r="C159" s="80" t="s">
        <v>530</v>
      </c>
      <c r="D159" s="81" t="s">
        <v>523</v>
      </c>
      <c r="E159" s="82">
        <v>0.0</v>
      </c>
      <c r="F159" s="82">
        <v>9.3</v>
      </c>
      <c r="G159" s="80" t="s">
        <v>524</v>
      </c>
      <c r="H159" s="76" t="s">
        <v>12</v>
      </c>
      <c r="I159" s="10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ht="15.0" customHeight="1">
      <c r="A160" s="8"/>
      <c r="B160" s="76" t="s">
        <v>22</v>
      </c>
      <c r="C160" s="80" t="s">
        <v>530</v>
      </c>
      <c r="D160" s="81" t="s">
        <v>523</v>
      </c>
      <c r="E160" s="82">
        <v>0.0</v>
      </c>
      <c r="F160" s="82">
        <v>1.86</v>
      </c>
      <c r="G160" s="80" t="s">
        <v>524</v>
      </c>
      <c r="H160" s="76" t="s">
        <v>12</v>
      </c>
      <c r="I160" s="10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ht="15.0" customHeight="1">
      <c r="A161" s="8"/>
      <c r="B161" s="76" t="s">
        <v>22</v>
      </c>
      <c r="C161" s="80" t="s">
        <v>530</v>
      </c>
      <c r="D161" s="81" t="s">
        <v>523</v>
      </c>
      <c r="E161" s="82">
        <v>0.0</v>
      </c>
      <c r="F161" s="82">
        <v>10.8</v>
      </c>
      <c r="G161" s="80" t="s">
        <v>524</v>
      </c>
      <c r="H161" s="76" t="s">
        <v>12</v>
      </c>
      <c r="I161" s="10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ht="15.0" customHeight="1">
      <c r="A162" s="8"/>
      <c r="B162" s="76" t="s">
        <v>22</v>
      </c>
      <c r="C162" s="80" t="s">
        <v>530</v>
      </c>
      <c r="D162" s="81" t="s">
        <v>523</v>
      </c>
      <c r="E162" s="82">
        <v>0.0</v>
      </c>
      <c r="F162" s="82">
        <v>0.61</v>
      </c>
      <c r="G162" s="80" t="s">
        <v>524</v>
      </c>
      <c r="H162" s="76" t="s">
        <v>12</v>
      </c>
      <c r="I162" s="10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ht="15.0" customHeight="1">
      <c r="A163" s="8"/>
      <c r="B163" s="76" t="s">
        <v>22</v>
      </c>
      <c r="C163" s="80" t="s">
        <v>531</v>
      </c>
      <c r="D163" s="81" t="s">
        <v>532</v>
      </c>
      <c r="E163" s="82">
        <v>0.0</v>
      </c>
      <c r="F163" s="82">
        <v>1000.0</v>
      </c>
      <c r="G163" s="80" t="s">
        <v>516</v>
      </c>
      <c r="H163" s="76" t="s">
        <v>33</v>
      </c>
      <c r="I163" s="10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ht="15.0" customHeight="1">
      <c r="A164" s="8"/>
      <c r="B164" s="76" t="s">
        <v>18</v>
      </c>
      <c r="C164" s="80" t="s">
        <v>381</v>
      </c>
      <c r="D164" s="81" t="s">
        <v>533</v>
      </c>
      <c r="E164" s="82" t="s">
        <v>513</v>
      </c>
      <c r="F164" s="82">
        <v>158.54</v>
      </c>
      <c r="G164" s="80" t="s">
        <v>534</v>
      </c>
      <c r="H164" s="76" t="s">
        <v>33</v>
      </c>
      <c r="I164" s="10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ht="15.0" customHeight="1">
      <c r="A165" s="8"/>
      <c r="B165" s="76" t="s">
        <v>18</v>
      </c>
      <c r="C165" s="80" t="s">
        <v>381</v>
      </c>
      <c r="D165" s="98" t="s">
        <v>535</v>
      </c>
      <c r="E165" s="82" t="s">
        <v>513</v>
      </c>
      <c r="F165" s="82">
        <v>110.72</v>
      </c>
      <c r="G165" s="80" t="s">
        <v>536</v>
      </c>
      <c r="H165" s="76" t="s">
        <v>33</v>
      </c>
      <c r="I165" s="10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ht="15.0" customHeight="1">
      <c r="A166" s="8"/>
      <c r="B166" s="76" t="s">
        <v>18</v>
      </c>
      <c r="C166" s="80" t="s">
        <v>397</v>
      </c>
      <c r="D166" s="98" t="s">
        <v>537</v>
      </c>
      <c r="E166" s="82">
        <v>0.0</v>
      </c>
      <c r="F166" s="82">
        <v>131.96</v>
      </c>
      <c r="G166" s="80" t="s">
        <v>538</v>
      </c>
      <c r="H166" s="76" t="s">
        <v>33</v>
      </c>
      <c r="I166" s="10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ht="15.0" customHeight="1">
      <c r="A167" s="8"/>
      <c r="B167" s="76" t="s">
        <v>18</v>
      </c>
      <c r="C167" s="80" t="s">
        <v>407</v>
      </c>
      <c r="D167" s="81" t="s">
        <v>539</v>
      </c>
      <c r="E167" s="82">
        <v>0.0</v>
      </c>
      <c r="F167" s="82">
        <v>129.41</v>
      </c>
      <c r="G167" s="80" t="s">
        <v>540</v>
      </c>
      <c r="H167" s="76" t="s">
        <v>33</v>
      </c>
      <c r="I167" s="10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ht="15.0" customHeight="1">
      <c r="A168" s="8"/>
      <c r="B168" s="76" t="s">
        <v>18</v>
      </c>
      <c r="C168" s="80" t="s">
        <v>427</v>
      </c>
      <c r="D168" s="81" t="s">
        <v>510</v>
      </c>
      <c r="E168" s="82">
        <v>0.0</v>
      </c>
      <c r="F168" s="82">
        <v>262.64</v>
      </c>
      <c r="G168" s="80" t="s">
        <v>511</v>
      </c>
      <c r="H168" s="76" t="s">
        <v>12</v>
      </c>
      <c r="I168" s="10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ht="15.0" customHeight="1">
      <c r="A169" s="8"/>
      <c r="B169" s="76" t="s">
        <v>18</v>
      </c>
      <c r="C169" s="80" t="s">
        <v>541</v>
      </c>
      <c r="D169" s="98" t="s">
        <v>542</v>
      </c>
      <c r="E169" s="82">
        <v>0.0</v>
      </c>
      <c r="F169" s="82">
        <v>10.0</v>
      </c>
      <c r="G169" s="80" t="s">
        <v>543</v>
      </c>
      <c r="H169" s="76" t="s">
        <v>33</v>
      </c>
      <c r="I169" s="10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ht="15.0" customHeight="1">
      <c r="A170" s="8"/>
      <c r="B170" s="76" t="s">
        <v>18</v>
      </c>
      <c r="C170" s="80" t="s">
        <v>455</v>
      </c>
      <c r="D170" s="98" t="s">
        <v>544</v>
      </c>
      <c r="E170" s="82">
        <v>0.0</v>
      </c>
      <c r="F170" s="82">
        <v>14.16</v>
      </c>
      <c r="G170" s="80" t="s">
        <v>545</v>
      </c>
      <c r="H170" s="76" t="s">
        <v>33</v>
      </c>
      <c r="I170" s="10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ht="15.0" customHeight="1">
      <c r="A171" s="8"/>
      <c r="B171" s="76" t="s">
        <v>18</v>
      </c>
      <c r="C171" s="80" t="s">
        <v>462</v>
      </c>
      <c r="D171" s="81" t="s">
        <v>546</v>
      </c>
      <c r="E171" s="82">
        <v>0.0</v>
      </c>
      <c r="F171" s="82">
        <v>1003.29</v>
      </c>
      <c r="G171" s="80" t="s">
        <v>547</v>
      </c>
      <c r="H171" s="76" t="s">
        <v>39</v>
      </c>
      <c r="I171" s="10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ht="15.0" customHeight="1">
      <c r="A172" s="8"/>
      <c r="B172" s="76" t="s">
        <v>18</v>
      </c>
      <c r="C172" s="80" t="s">
        <v>483</v>
      </c>
      <c r="D172" s="81" t="s">
        <v>548</v>
      </c>
      <c r="E172" s="82">
        <v>0.0</v>
      </c>
      <c r="F172" s="82">
        <v>302.59</v>
      </c>
      <c r="G172" s="80" t="s">
        <v>549</v>
      </c>
      <c r="H172" s="76" t="s">
        <v>41</v>
      </c>
      <c r="I172" s="10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</sheetData>
  <autoFilter ref="$B$19:$H$172">
    <sortState ref="B19:H172">
      <sortCondition ref="B19:B172"/>
    </sortState>
  </autoFilter>
  <customSheetViews>
    <customSheetView guid="{CD2BF927-9D79-47FC-BBA8-927062D6B3F5}" filter="1" showAutoFilter="1">
      <autoFilter ref="$B$19:$H$172"/>
    </customSheetView>
  </customSheetViews>
  <mergeCells count="5">
    <mergeCell ref="B2:G2"/>
    <mergeCell ref="B13:C13"/>
    <mergeCell ref="B14:C14"/>
    <mergeCell ref="B15:C15"/>
    <mergeCell ref="B16:C16"/>
  </mergeCells>
  <dataValidations>
    <dataValidation type="list" allowBlank="1" sqref="H20:H172">
      <formula1>$J$4:$J$17</formula1>
    </dataValidation>
  </dataValidations>
  <hyperlinks>
    <hyperlink r:id="rId1" ref="D90"/>
    <hyperlink r:id="rId2" ref="D165"/>
    <hyperlink r:id="rId3" ref="D166"/>
    <hyperlink r:id="rId4" ref="D169"/>
    <hyperlink r:id="rId5" ref="D170"/>
  </hyperlinks>
  <printOptions/>
  <pageMargins bottom="0.75" footer="0.0" header="0.0" left="0.25" right="0.25" top="0.75"/>
  <pageSetup fitToHeight="0" paperSize="9" orientation="portrait"/>
  <drawing r:id="rId6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 outlineLevelRow="1"/>
  <cols>
    <col customWidth="1" min="1" max="1" width="1.57"/>
    <col customWidth="1" min="2" max="2" width="12.0"/>
    <col customWidth="1" min="3" max="3" width="18.57"/>
    <col customWidth="1" min="4" max="4" width="27.43"/>
    <col customWidth="1" min="5" max="6" width="25.0"/>
    <col customWidth="1" min="7" max="7" width="39.43"/>
    <col customWidth="1" min="8" max="9" width="20.57"/>
    <col customWidth="1" min="10" max="10" width="14.43"/>
    <col customWidth="1" min="11" max="11" width="50.0"/>
    <col customWidth="1" min="12" max="24" width="9.0"/>
  </cols>
  <sheetData>
    <row r="1" ht="13.5" customHeight="1" outlineLevel="1">
      <c r="A1" s="99"/>
      <c r="B1" s="100"/>
      <c r="C1" s="100"/>
      <c r="D1" s="99"/>
      <c r="E1" s="99"/>
      <c r="F1" s="99"/>
      <c r="G1" s="99"/>
      <c r="H1" s="100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ht="24.0" customHeight="1" outlineLevel="1">
      <c r="A2" s="101"/>
      <c r="B2" s="102" t="s">
        <v>0</v>
      </c>
      <c r="C2" s="5"/>
      <c r="D2" s="5"/>
      <c r="E2" s="5"/>
      <c r="F2" s="5"/>
      <c r="G2" s="5"/>
      <c r="H2" s="103"/>
      <c r="I2" s="101"/>
      <c r="J2" s="104"/>
      <c r="K2" s="104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ht="13.5" customHeight="1" outlineLevel="1">
      <c r="A3" s="99"/>
      <c r="B3" s="100"/>
      <c r="C3" s="100"/>
      <c r="D3" s="99"/>
      <c r="E3" s="99"/>
      <c r="F3" s="99"/>
      <c r="G3" s="99"/>
      <c r="H3" s="100"/>
      <c r="I3" s="105"/>
      <c r="J3" s="106" t="s">
        <v>1</v>
      </c>
      <c r="K3" s="106" t="s">
        <v>2</v>
      </c>
      <c r="L3" s="107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</row>
    <row r="4" ht="13.5" customHeight="1" outlineLevel="1">
      <c r="A4" s="101"/>
      <c r="B4" s="103" t="s">
        <v>3</v>
      </c>
      <c r="C4" s="103"/>
      <c r="D4" s="101"/>
      <c r="E4" s="101"/>
      <c r="F4" s="101"/>
      <c r="G4" s="108" t="s">
        <v>550</v>
      </c>
      <c r="H4" s="103"/>
      <c r="I4" s="109"/>
      <c r="J4" s="83" t="s">
        <v>4</v>
      </c>
      <c r="K4" s="83" t="s">
        <v>5</v>
      </c>
      <c r="L4" s="110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</row>
    <row r="5" ht="13.5" customHeight="1" outlineLevel="1">
      <c r="A5" s="103"/>
      <c r="B5" s="111" t="s">
        <v>6</v>
      </c>
      <c r="C5" s="112" t="s">
        <v>7</v>
      </c>
      <c r="D5" s="112" t="s">
        <v>8</v>
      </c>
      <c r="E5" s="113" t="s">
        <v>9</v>
      </c>
      <c r="F5" s="113" t="s">
        <v>10</v>
      </c>
      <c r="G5" s="114" t="s">
        <v>11</v>
      </c>
      <c r="H5" s="103"/>
      <c r="I5" s="115"/>
      <c r="J5" s="83" t="s">
        <v>12</v>
      </c>
      <c r="K5" s="83" t="s">
        <v>13</v>
      </c>
      <c r="L5" s="116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</row>
    <row r="6" ht="13.5" customHeight="1" outlineLevel="1">
      <c r="A6" s="99"/>
      <c r="B6" s="117" t="s">
        <v>14</v>
      </c>
      <c r="C6" s="118" t="s">
        <v>15</v>
      </c>
      <c r="D6" s="119">
        <v>5.8306489E7</v>
      </c>
      <c r="E6" s="120">
        <f>sumif(B20:B107,B6,E20:E107)</f>
        <v>21402</v>
      </c>
      <c r="F6" s="120">
        <f>sumif(B20:B107,B6,F20:F107)</f>
        <v>33969133</v>
      </c>
      <c r="G6" s="121">
        <f t="shared" ref="G6:G12" si="1">D6+E6-F6</f>
        <v>24358758</v>
      </c>
      <c r="H6" s="100"/>
      <c r="I6" s="105"/>
      <c r="J6" s="83" t="s">
        <v>16</v>
      </c>
      <c r="K6" s="83" t="s">
        <v>17</v>
      </c>
      <c r="L6" s="107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</row>
    <row r="7" ht="13.5" customHeight="1" outlineLevel="1">
      <c r="A7" s="99"/>
      <c r="B7" s="122" t="s">
        <v>18</v>
      </c>
      <c r="C7" s="123" t="s">
        <v>19</v>
      </c>
      <c r="D7" s="124">
        <v>162771.59</v>
      </c>
      <c r="E7" s="120">
        <f>sumif(B20:B107,B7,E20:E107)</f>
        <v>0</v>
      </c>
      <c r="F7" s="120">
        <f>sumif(B20:B107,B7,F20:F107)</f>
        <v>105398.73</v>
      </c>
      <c r="G7" s="32">
        <f t="shared" si="1"/>
        <v>57372.86</v>
      </c>
      <c r="H7" s="125"/>
      <c r="I7" s="105"/>
      <c r="J7" s="83" t="s">
        <v>20</v>
      </c>
      <c r="K7" s="83" t="s">
        <v>21</v>
      </c>
      <c r="L7" s="107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</row>
    <row r="8" ht="13.5" customHeight="1" outlineLevel="1">
      <c r="A8" s="99"/>
      <c r="B8" s="122" t="s">
        <v>22</v>
      </c>
      <c r="C8" s="123" t="s">
        <v>23</v>
      </c>
      <c r="D8" s="124">
        <v>21843.89</v>
      </c>
      <c r="E8" s="120">
        <f>sumif(B20:B107,B8,E20:E107)</f>
        <v>0</v>
      </c>
      <c r="F8" s="120">
        <f>sumif(B20:B107,B8,F20:F107)</f>
        <v>7963.21</v>
      </c>
      <c r="G8" s="38">
        <f t="shared" si="1"/>
        <v>13880.68</v>
      </c>
      <c r="H8" s="100"/>
      <c r="I8" s="105"/>
      <c r="J8" s="83" t="s">
        <v>24</v>
      </c>
      <c r="K8" s="83" t="s">
        <v>25</v>
      </c>
      <c r="L8" s="107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</row>
    <row r="9" ht="13.5" customHeight="1" outlineLevel="1">
      <c r="A9" s="99"/>
      <c r="B9" s="122" t="s">
        <v>26</v>
      </c>
      <c r="C9" s="123" t="s">
        <v>15</v>
      </c>
      <c r="D9" s="126">
        <v>0.0</v>
      </c>
      <c r="E9" s="127">
        <f>sumif(B20:B107,B9,E20:E107)</f>
        <v>0</v>
      </c>
      <c r="F9" s="120">
        <f>sumif(B20:B107,B9,F20:F107)</f>
        <v>0</v>
      </c>
      <c r="G9" s="128">
        <f t="shared" si="1"/>
        <v>0</v>
      </c>
      <c r="H9" s="100"/>
      <c r="I9" s="105"/>
      <c r="J9" s="83" t="s">
        <v>27</v>
      </c>
      <c r="K9" s="83" t="s">
        <v>28</v>
      </c>
      <c r="L9" s="107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</row>
    <row r="10" ht="13.5" customHeight="1" outlineLevel="1">
      <c r="A10" s="99"/>
      <c r="B10" s="122" t="s">
        <v>551</v>
      </c>
      <c r="C10" s="123" t="s">
        <v>19</v>
      </c>
      <c r="D10" s="126">
        <v>0.0</v>
      </c>
      <c r="E10" s="127">
        <f>sumif(B20:B107,B10,E20:E107)</f>
        <v>199975.6</v>
      </c>
      <c r="F10" s="120">
        <f>sumif(B20:B107,B10,F20:F107)</f>
        <v>0</v>
      </c>
      <c r="G10" s="128">
        <f t="shared" si="1"/>
        <v>199975.6</v>
      </c>
      <c r="H10" s="100"/>
      <c r="I10" s="105"/>
      <c r="J10" s="83" t="s">
        <v>29</v>
      </c>
      <c r="K10" s="83" t="s">
        <v>30</v>
      </c>
      <c r="L10" s="107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</row>
    <row r="11" ht="13.5" customHeight="1" outlineLevel="1">
      <c r="A11" s="99"/>
      <c r="B11" s="122" t="s">
        <v>552</v>
      </c>
      <c r="C11" s="123" t="s">
        <v>15</v>
      </c>
      <c r="D11" s="126">
        <v>0.0</v>
      </c>
      <c r="E11" s="120">
        <f>sumif(B20:B107,B11,E20:E107)</f>
        <v>139598000</v>
      </c>
      <c r="F11" s="120">
        <f>sumif(B20:B107,B11,F20:F107)</f>
        <v>52356488</v>
      </c>
      <c r="G11" s="128">
        <f t="shared" si="1"/>
        <v>87241512</v>
      </c>
      <c r="H11" s="100"/>
      <c r="I11" s="105"/>
      <c r="J11" s="83" t="s">
        <v>31</v>
      </c>
      <c r="K11" s="83" t="s">
        <v>32</v>
      </c>
      <c r="L11" s="107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</row>
    <row r="12" ht="13.5" customHeight="1" outlineLevel="1">
      <c r="A12" s="99"/>
      <c r="B12" s="122" t="s">
        <v>553</v>
      </c>
      <c r="C12" s="123" t="s">
        <v>19</v>
      </c>
      <c r="D12" s="124">
        <v>0.0</v>
      </c>
      <c r="E12" s="120">
        <f>sumif(B20:B107,B12,E20:E107)</f>
        <v>100000</v>
      </c>
      <c r="F12" s="120">
        <f>sumif(B20:B107,B12,F20:F107)</f>
        <v>100000</v>
      </c>
      <c r="G12" s="128">
        <f t="shared" si="1"/>
        <v>0</v>
      </c>
      <c r="H12" s="100"/>
      <c r="I12" s="105"/>
      <c r="J12" s="83" t="s">
        <v>33</v>
      </c>
      <c r="K12" s="84" t="s">
        <v>34</v>
      </c>
      <c r="L12" s="107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</row>
    <row r="13" ht="13.5" customHeight="1" outlineLevel="1">
      <c r="A13" s="101"/>
      <c r="B13" s="129" t="s">
        <v>35</v>
      </c>
      <c r="C13" s="50"/>
      <c r="D13" s="130"/>
      <c r="E13" s="131"/>
      <c r="F13" s="131"/>
      <c r="G13" s="131"/>
      <c r="H13" s="132"/>
      <c r="I13" s="133"/>
      <c r="J13" s="83" t="s">
        <v>36</v>
      </c>
      <c r="K13" s="84" t="s">
        <v>37</v>
      </c>
      <c r="L13" s="110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</row>
    <row r="14" ht="13.5" customHeight="1" outlineLevel="1">
      <c r="A14" s="101"/>
      <c r="B14" s="129" t="s">
        <v>38</v>
      </c>
      <c r="C14" s="50"/>
      <c r="D14" s="130"/>
      <c r="E14" s="131"/>
      <c r="F14" s="131"/>
      <c r="G14" s="131"/>
      <c r="H14" s="132"/>
      <c r="I14" s="134"/>
      <c r="J14" s="83" t="s">
        <v>39</v>
      </c>
      <c r="K14" s="84" t="s">
        <v>40</v>
      </c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</row>
    <row r="15" ht="13.5" customHeight="1" outlineLevel="1">
      <c r="A15" s="101"/>
      <c r="B15" s="129"/>
      <c r="C15" s="50"/>
      <c r="D15" s="130"/>
      <c r="E15" s="131"/>
      <c r="F15" s="131"/>
      <c r="G15" s="131"/>
      <c r="H15" s="132"/>
      <c r="I15" s="103"/>
      <c r="J15" s="83" t="s">
        <v>41</v>
      </c>
      <c r="K15" s="84" t="s">
        <v>42</v>
      </c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</row>
    <row r="16" ht="13.5" customHeight="1" outlineLevel="1">
      <c r="A16" s="101"/>
      <c r="B16" s="129"/>
      <c r="C16" s="50"/>
      <c r="D16" s="130"/>
      <c r="E16" s="131"/>
      <c r="F16" s="131"/>
      <c r="G16" s="131"/>
      <c r="H16" s="132"/>
      <c r="I16" s="103"/>
      <c r="J16" s="83" t="s">
        <v>77</v>
      </c>
      <c r="K16" s="84" t="s">
        <v>78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</row>
    <row r="17" ht="13.5" customHeight="1">
      <c r="A17" s="99"/>
      <c r="B17" s="100"/>
      <c r="C17" s="100"/>
      <c r="D17" s="99"/>
      <c r="E17" s="99"/>
      <c r="F17" s="99"/>
      <c r="G17" s="99"/>
      <c r="H17" s="100"/>
      <c r="I17" s="135"/>
      <c r="J17" s="83" t="s">
        <v>554</v>
      </c>
      <c r="K17" s="84" t="s">
        <v>555</v>
      </c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</row>
    <row r="18" ht="13.5" customHeight="1">
      <c r="A18" s="103"/>
      <c r="B18" s="136" t="s">
        <v>43</v>
      </c>
      <c r="C18" s="136"/>
      <c r="D18" s="136"/>
      <c r="E18" s="137"/>
      <c r="F18" s="137"/>
      <c r="G18" s="136"/>
      <c r="H18" s="136"/>
      <c r="I18" s="138"/>
      <c r="J18" s="83" t="s">
        <v>556</v>
      </c>
      <c r="K18" s="84" t="s">
        <v>557</v>
      </c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</row>
    <row r="19" ht="13.5" customHeight="1">
      <c r="A19" s="115"/>
      <c r="B19" s="139" t="s">
        <v>6</v>
      </c>
      <c r="C19" s="139" t="s">
        <v>44</v>
      </c>
      <c r="D19" s="139" t="s">
        <v>45</v>
      </c>
      <c r="E19" s="139" t="s">
        <v>46</v>
      </c>
      <c r="F19" s="139" t="s">
        <v>47</v>
      </c>
      <c r="G19" s="140" t="s">
        <v>48</v>
      </c>
      <c r="H19" s="139" t="s">
        <v>1</v>
      </c>
      <c r="I19" s="141"/>
      <c r="J19" s="99"/>
      <c r="K19" s="99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</row>
    <row r="20" ht="13.5" customHeight="1">
      <c r="A20" s="105"/>
      <c r="B20" s="142" t="s">
        <v>551</v>
      </c>
      <c r="C20" s="143" t="s">
        <v>558</v>
      </c>
      <c r="D20" s="144" t="s">
        <v>559</v>
      </c>
      <c r="E20" s="145">
        <v>199975.6</v>
      </c>
      <c r="F20" s="145">
        <v>0.0</v>
      </c>
      <c r="G20" s="146" t="s">
        <v>560</v>
      </c>
      <c r="H20" s="147" t="s">
        <v>77</v>
      </c>
      <c r="I20" s="107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</row>
    <row r="21" ht="13.5" customHeight="1">
      <c r="A21" s="105"/>
      <c r="B21" s="142" t="s">
        <v>14</v>
      </c>
      <c r="C21" s="143" t="s">
        <v>561</v>
      </c>
      <c r="D21" s="144" t="s">
        <v>562</v>
      </c>
      <c r="E21" s="145">
        <v>0.0</v>
      </c>
      <c r="F21" s="145">
        <v>31500.0</v>
      </c>
      <c r="G21" s="146" t="s">
        <v>563</v>
      </c>
      <c r="H21" s="147" t="s">
        <v>29</v>
      </c>
      <c r="I21" s="107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</row>
    <row r="22" ht="13.5" customHeight="1">
      <c r="A22" s="105"/>
      <c r="B22" s="142" t="s">
        <v>14</v>
      </c>
      <c r="C22" s="143" t="s">
        <v>561</v>
      </c>
      <c r="D22" s="144" t="s">
        <v>564</v>
      </c>
      <c r="E22" s="145">
        <v>0.0</v>
      </c>
      <c r="F22" s="145">
        <v>146020.0</v>
      </c>
      <c r="G22" s="146" t="s">
        <v>565</v>
      </c>
      <c r="H22" s="147" t="s">
        <v>33</v>
      </c>
      <c r="I22" s="107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</row>
    <row r="23" ht="13.5" customHeight="1">
      <c r="A23" s="105"/>
      <c r="B23" s="142" t="s">
        <v>14</v>
      </c>
      <c r="C23" s="143" t="s">
        <v>561</v>
      </c>
      <c r="D23" s="144" t="s">
        <v>566</v>
      </c>
      <c r="E23" s="145">
        <v>0.0</v>
      </c>
      <c r="F23" s="145">
        <v>29200.0</v>
      </c>
      <c r="G23" s="146" t="s">
        <v>567</v>
      </c>
      <c r="H23" s="147" t="s">
        <v>33</v>
      </c>
      <c r="I23" s="107"/>
      <c r="J23" s="99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</row>
    <row r="24" ht="13.5" customHeight="1">
      <c r="A24" s="105"/>
      <c r="B24" s="142" t="s">
        <v>14</v>
      </c>
      <c r="C24" s="143" t="s">
        <v>561</v>
      </c>
      <c r="D24" s="144" t="s">
        <v>568</v>
      </c>
      <c r="E24" s="145">
        <v>0.0</v>
      </c>
      <c r="F24" s="145">
        <v>81000.0</v>
      </c>
      <c r="G24" s="146" t="s">
        <v>569</v>
      </c>
      <c r="H24" s="147" t="s">
        <v>33</v>
      </c>
      <c r="I24" s="107"/>
      <c r="J24" s="99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</row>
    <row r="25" ht="13.5" customHeight="1">
      <c r="A25" s="105"/>
      <c r="B25" s="142" t="s">
        <v>14</v>
      </c>
      <c r="C25" s="143" t="s">
        <v>561</v>
      </c>
      <c r="D25" s="144" t="s">
        <v>570</v>
      </c>
      <c r="E25" s="145">
        <v>0.0</v>
      </c>
      <c r="F25" s="145">
        <v>3025000.0</v>
      </c>
      <c r="G25" s="146" t="s">
        <v>571</v>
      </c>
      <c r="H25" s="147" t="s">
        <v>33</v>
      </c>
      <c r="I25" s="107"/>
      <c r="J25" s="99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</row>
    <row r="26" ht="13.5" customHeight="1">
      <c r="A26" s="105"/>
      <c r="B26" s="142" t="str">
        <f>B6</f>
        <v>신한 #672</v>
      </c>
      <c r="C26" s="148" t="s">
        <v>572</v>
      </c>
      <c r="D26" s="148" t="s">
        <v>573</v>
      </c>
      <c r="E26" s="149">
        <v>0.0</v>
      </c>
      <c r="F26" s="149">
        <v>600000.0</v>
      </c>
      <c r="G26" s="143" t="s">
        <v>574</v>
      </c>
      <c r="H26" s="147" t="s">
        <v>12</v>
      </c>
      <c r="I26" s="107"/>
      <c r="J26" s="99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</row>
    <row r="27" ht="13.5" customHeight="1">
      <c r="A27" s="105"/>
      <c r="B27" s="142" t="str">
        <f>B6</f>
        <v>신한 #672</v>
      </c>
      <c r="C27" s="148" t="s">
        <v>575</v>
      </c>
      <c r="D27" s="148" t="s">
        <v>576</v>
      </c>
      <c r="E27" s="149">
        <v>0.0</v>
      </c>
      <c r="F27" s="149">
        <v>59800.0</v>
      </c>
      <c r="G27" s="143" t="s">
        <v>577</v>
      </c>
      <c r="H27" s="147" t="s">
        <v>12</v>
      </c>
      <c r="I27" s="107"/>
      <c r="J27" s="99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</row>
    <row r="28" ht="13.5" customHeight="1">
      <c r="A28" s="105"/>
      <c r="B28" s="142" t="str">
        <f>B6</f>
        <v>신한 #672</v>
      </c>
      <c r="C28" s="148" t="s">
        <v>578</v>
      </c>
      <c r="D28" s="148" t="s">
        <v>579</v>
      </c>
      <c r="E28" s="149">
        <v>0.0</v>
      </c>
      <c r="F28" s="149">
        <v>52000.0</v>
      </c>
      <c r="G28" s="143" t="s">
        <v>580</v>
      </c>
      <c r="H28" s="147" t="s">
        <v>12</v>
      </c>
      <c r="I28" s="107"/>
      <c r="J28" s="99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</row>
    <row r="29" ht="13.5" customHeight="1">
      <c r="A29" s="105"/>
      <c r="B29" s="142" t="s">
        <v>14</v>
      </c>
      <c r="C29" s="143" t="s">
        <v>561</v>
      </c>
      <c r="D29" s="144" t="s">
        <v>116</v>
      </c>
      <c r="E29" s="145">
        <v>0.0</v>
      </c>
      <c r="F29" s="145">
        <v>32500.0</v>
      </c>
      <c r="G29" s="146" t="s">
        <v>581</v>
      </c>
      <c r="H29" s="147" t="s">
        <v>33</v>
      </c>
      <c r="I29" s="107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</row>
    <row r="30" ht="13.5" customHeight="1">
      <c r="A30" s="105"/>
      <c r="B30" s="142" t="s">
        <v>14</v>
      </c>
      <c r="C30" s="143" t="s">
        <v>582</v>
      </c>
      <c r="D30" s="144" t="s">
        <v>583</v>
      </c>
      <c r="E30" s="145">
        <v>0.0</v>
      </c>
      <c r="F30" s="145">
        <v>1000.0</v>
      </c>
      <c r="G30" s="146" t="s">
        <v>583</v>
      </c>
      <c r="H30" s="147" t="s">
        <v>33</v>
      </c>
      <c r="I30" s="107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</row>
    <row r="31" ht="13.5" customHeight="1">
      <c r="A31" s="105"/>
      <c r="B31" s="142" t="s">
        <v>14</v>
      </c>
      <c r="C31" s="143" t="s">
        <v>582</v>
      </c>
      <c r="D31" s="144" t="s">
        <v>584</v>
      </c>
      <c r="E31" s="145">
        <v>0.0</v>
      </c>
      <c r="F31" s="145">
        <v>2537830.0</v>
      </c>
      <c r="G31" s="146" t="s">
        <v>585</v>
      </c>
      <c r="H31" s="147" t="s">
        <v>31</v>
      </c>
      <c r="I31" s="107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</row>
    <row r="32" ht="13.5" customHeight="1">
      <c r="A32" s="105"/>
      <c r="B32" s="142" t="s">
        <v>14</v>
      </c>
      <c r="C32" s="143" t="s">
        <v>582</v>
      </c>
      <c r="D32" s="144" t="s">
        <v>586</v>
      </c>
      <c r="E32" s="145">
        <v>0.0</v>
      </c>
      <c r="F32" s="145">
        <v>253720.0</v>
      </c>
      <c r="G32" s="146" t="s">
        <v>587</v>
      </c>
      <c r="H32" s="147" t="s">
        <v>31</v>
      </c>
      <c r="I32" s="107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</row>
    <row r="33" ht="13.5" customHeight="1">
      <c r="A33" s="105"/>
      <c r="B33" s="142" t="s">
        <v>14</v>
      </c>
      <c r="C33" s="143" t="s">
        <v>588</v>
      </c>
      <c r="D33" s="144" t="s">
        <v>589</v>
      </c>
      <c r="E33" s="145">
        <v>0.0</v>
      </c>
      <c r="F33" s="145">
        <v>300000.0</v>
      </c>
      <c r="G33" s="146" t="s">
        <v>590</v>
      </c>
      <c r="H33" s="147" t="s">
        <v>33</v>
      </c>
      <c r="I33" s="107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</row>
    <row r="34" ht="13.5" customHeight="1">
      <c r="A34" s="105"/>
      <c r="B34" s="142" t="s">
        <v>14</v>
      </c>
      <c r="C34" s="143" t="s">
        <v>591</v>
      </c>
      <c r="D34" s="144" t="s">
        <v>592</v>
      </c>
      <c r="E34" s="145">
        <v>0.0</v>
      </c>
      <c r="F34" s="145">
        <v>4086460.0</v>
      </c>
      <c r="G34" s="146" t="s">
        <v>593</v>
      </c>
      <c r="H34" s="147" t="s">
        <v>31</v>
      </c>
      <c r="I34" s="107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</row>
    <row r="35" ht="13.5" customHeight="1">
      <c r="A35" s="105"/>
      <c r="B35" s="142" t="s">
        <v>14</v>
      </c>
      <c r="C35" s="143" t="s">
        <v>591</v>
      </c>
      <c r="D35" s="144" t="s">
        <v>594</v>
      </c>
      <c r="E35" s="145">
        <v>0.0</v>
      </c>
      <c r="F35" s="145">
        <v>4182900.0</v>
      </c>
      <c r="G35" s="146" t="s">
        <v>595</v>
      </c>
      <c r="H35" s="147" t="s">
        <v>31</v>
      </c>
      <c r="I35" s="107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</row>
    <row r="36" ht="13.5" customHeight="1">
      <c r="A36" s="105"/>
      <c r="B36" s="142" t="s">
        <v>14</v>
      </c>
      <c r="C36" s="143" t="s">
        <v>591</v>
      </c>
      <c r="D36" s="144" t="s">
        <v>596</v>
      </c>
      <c r="E36" s="145">
        <v>0.0</v>
      </c>
      <c r="F36" s="145">
        <v>941000.0</v>
      </c>
      <c r="G36" s="146" t="s">
        <v>597</v>
      </c>
      <c r="H36" s="147" t="s">
        <v>31</v>
      </c>
      <c r="I36" s="107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</row>
    <row r="37" ht="13.5" customHeight="1">
      <c r="A37" s="105"/>
      <c r="B37" s="142" t="s">
        <v>14</v>
      </c>
      <c r="C37" s="143" t="s">
        <v>591</v>
      </c>
      <c r="D37" s="144" t="s">
        <v>598</v>
      </c>
      <c r="E37" s="145">
        <v>0.0</v>
      </c>
      <c r="F37" s="145">
        <v>348680.0</v>
      </c>
      <c r="G37" s="146" t="s">
        <v>599</v>
      </c>
      <c r="H37" s="147" t="s">
        <v>31</v>
      </c>
      <c r="I37" s="107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</row>
    <row r="38" ht="13.5" customHeight="1">
      <c r="A38" s="105"/>
      <c r="B38" s="142" t="s">
        <v>14</v>
      </c>
      <c r="C38" s="143" t="s">
        <v>600</v>
      </c>
      <c r="D38" s="144" t="s">
        <v>601</v>
      </c>
      <c r="E38" s="145">
        <v>0.0</v>
      </c>
      <c r="F38" s="145">
        <v>110000.0</v>
      </c>
      <c r="G38" s="146" t="s">
        <v>602</v>
      </c>
      <c r="H38" s="147" t="s">
        <v>33</v>
      </c>
      <c r="I38" s="107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</row>
    <row r="39" ht="13.5" customHeight="1">
      <c r="A39" s="105"/>
      <c r="B39" s="142" t="s">
        <v>14</v>
      </c>
      <c r="C39" s="143" t="s">
        <v>603</v>
      </c>
      <c r="D39" s="144" t="s">
        <v>604</v>
      </c>
      <c r="E39" s="145">
        <v>0.0</v>
      </c>
      <c r="F39" s="145">
        <v>110000.0</v>
      </c>
      <c r="G39" s="146" t="s">
        <v>605</v>
      </c>
      <c r="H39" s="147" t="s">
        <v>33</v>
      </c>
      <c r="I39" s="107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</row>
    <row r="40" ht="13.5" customHeight="1">
      <c r="A40" s="105"/>
      <c r="B40" s="142" t="s">
        <v>14</v>
      </c>
      <c r="C40" s="143" t="s">
        <v>606</v>
      </c>
      <c r="D40" s="144" t="s">
        <v>607</v>
      </c>
      <c r="E40" s="145">
        <v>21396.0</v>
      </c>
      <c r="F40" s="145">
        <v>0.0</v>
      </c>
      <c r="G40" s="146" t="s">
        <v>608</v>
      </c>
      <c r="H40" s="147" t="s">
        <v>36</v>
      </c>
      <c r="I40" s="107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</row>
    <row r="41" ht="13.5" customHeight="1">
      <c r="A41" s="105"/>
      <c r="B41" s="142" t="s">
        <v>14</v>
      </c>
      <c r="C41" s="143" t="s">
        <v>609</v>
      </c>
      <c r="D41" s="144" t="s">
        <v>610</v>
      </c>
      <c r="E41" s="145">
        <v>0.0</v>
      </c>
      <c r="F41" s="145">
        <v>195000.0</v>
      </c>
      <c r="G41" s="146" t="s">
        <v>611</v>
      </c>
      <c r="H41" s="147" t="s">
        <v>31</v>
      </c>
      <c r="I41" s="107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</row>
    <row r="42" ht="13.5" customHeight="1">
      <c r="A42" s="105"/>
      <c r="B42" s="142" t="s">
        <v>14</v>
      </c>
      <c r="C42" s="143" t="s">
        <v>612</v>
      </c>
      <c r="D42" s="144" t="s">
        <v>613</v>
      </c>
      <c r="E42" s="145">
        <v>0.0</v>
      </c>
      <c r="F42" s="145">
        <v>200500.0</v>
      </c>
      <c r="G42" s="146" t="s">
        <v>614</v>
      </c>
      <c r="H42" s="147" t="s">
        <v>33</v>
      </c>
      <c r="I42" s="107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</row>
    <row r="43" ht="13.5" customHeight="1">
      <c r="A43" s="105"/>
      <c r="B43" s="142" t="s">
        <v>14</v>
      </c>
      <c r="C43" s="143" t="s">
        <v>612</v>
      </c>
      <c r="D43" s="144" t="s">
        <v>615</v>
      </c>
      <c r="E43" s="145">
        <v>5.0</v>
      </c>
      <c r="F43" s="145">
        <v>0.0</v>
      </c>
      <c r="G43" s="146" t="s">
        <v>615</v>
      </c>
      <c r="H43" s="147" t="s">
        <v>36</v>
      </c>
      <c r="I43" s="107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</row>
    <row r="44" ht="13.5" customHeight="1">
      <c r="A44" s="105"/>
      <c r="B44" s="150" t="str">
        <f>B6</f>
        <v>신한 #672</v>
      </c>
      <c r="C44" s="151" t="s">
        <v>616</v>
      </c>
      <c r="D44" s="151" t="s">
        <v>617</v>
      </c>
      <c r="E44" s="152">
        <v>0.0</v>
      </c>
      <c r="F44" s="152">
        <v>300500.0</v>
      </c>
      <c r="G44" s="153" t="s">
        <v>618</v>
      </c>
      <c r="H44" s="153" t="s">
        <v>12</v>
      </c>
      <c r="I44" s="107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</row>
    <row r="45" ht="13.5" customHeight="1">
      <c r="A45" s="105"/>
      <c r="B45" s="150" t="str">
        <f>B6</f>
        <v>신한 #672</v>
      </c>
      <c r="C45" s="151" t="s">
        <v>619</v>
      </c>
      <c r="D45" s="151" t="s">
        <v>474</v>
      </c>
      <c r="E45" s="152">
        <v>0.0</v>
      </c>
      <c r="F45" s="152">
        <v>100500.0</v>
      </c>
      <c r="G45" s="153" t="s">
        <v>620</v>
      </c>
      <c r="H45" s="153" t="s">
        <v>12</v>
      </c>
      <c r="I45" s="107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</row>
    <row r="46" ht="13.5" customHeight="1">
      <c r="A46" s="105"/>
      <c r="B46" s="142" t="s">
        <v>14</v>
      </c>
      <c r="C46" s="143" t="s">
        <v>612</v>
      </c>
      <c r="D46" s="144" t="s">
        <v>615</v>
      </c>
      <c r="E46" s="145">
        <v>1.0</v>
      </c>
      <c r="F46" s="145">
        <v>0.0</v>
      </c>
      <c r="G46" s="146" t="s">
        <v>615</v>
      </c>
      <c r="H46" s="147" t="s">
        <v>36</v>
      </c>
      <c r="I46" s="107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</row>
    <row r="47" ht="13.5" customHeight="1">
      <c r="A47" s="105"/>
      <c r="B47" s="142" t="s">
        <v>14</v>
      </c>
      <c r="C47" s="143" t="s">
        <v>621</v>
      </c>
      <c r="D47" s="144" t="s">
        <v>604</v>
      </c>
      <c r="E47" s="145">
        <v>0.0</v>
      </c>
      <c r="F47" s="145">
        <v>110000.0</v>
      </c>
      <c r="G47" s="146" t="s">
        <v>605</v>
      </c>
      <c r="H47" s="147" t="s">
        <v>33</v>
      </c>
      <c r="I47" s="107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</row>
    <row r="48" ht="13.5" customHeight="1">
      <c r="A48" s="105"/>
      <c r="B48" s="142" t="s">
        <v>14</v>
      </c>
      <c r="C48" s="143" t="s">
        <v>621</v>
      </c>
      <c r="D48" s="144" t="s">
        <v>497</v>
      </c>
      <c r="E48" s="145">
        <v>0.0</v>
      </c>
      <c r="F48" s="145">
        <v>330000.0</v>
      </c>
      <c r="G48" s="146" t="s">
        <v>622</v>
      </c>
      <c r="H48" s="147" t="s">
        <v>33</v>
      </c>
      <c r="I48" s="107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</row>
    <row r="49" ht="13.5" customHeight="1">
      <c r="A49" s="105"/>
      <c r="B49" s="142" t="s">
        <v>14</v>
      </c>
      <c r="C49" s="143" t="s">
        <v>621</v>
      </c>
      <c r="D49" s="144" t="s">
        <v>623</v>
      </c>
      <c r="E49" s="145">
        <v>0.0</v>
      </c>
      <c r="F49" s="145">
        <v>2471524.0</v>
      </c>
      <c r="G49" s="146" t="s">
        <v>624</v>
      </c>
      <c r="H49" s="147" t="s">
        <v>33</v>
      </c>
      <c r="I49" s="107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</row>
    <row r="50" ht="13.5" customHeight="1">
      <c r="A50" s="105"/>
      <c r="B50" s="142" t="s">
        <v>14</v>
      </c>
      <c r="C50" s="143" t="s">
        <v>625</v>
      </c>
      <c r="D50" s="144" t="s">
        <v>626</v>
      </c>
      <c r="E50" s="145">
        <v>0.0</v>
      </c>
      <c r="F50" s="145">
        <v>7832500.0</v>
      </c>
      <c r="G50" s="146" t="s">
        <v>627</v>
      </c>
      <c r="H50" s="147" t="s">
        <v>16</v>
      </c>
      <c r="I50" s="107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</row>
    <row r="51" ht="13.5" customHeight="1">
      <c r="A51" s="105"/>
      <c r="B51" s="142" t="s">
        <v>14</v>
      </c>
      <c r="C51" s="143" t="s">
        <v>628</v>
      </c>
      <c r="D51" s="144" t="s">
        <v>629</v>
      </c>
      <c r="E51" s="145">
        <v>0.0</v>
      </c>
      <c r="F51" s="145">
        <v>5499999.0</v>
      </c>
      <c r="G51" s="146" t="s">
        <v>630</v>
      </c>
      <c r="H51" s="147" t="s">
        <v>4</v>
      </c>
      <c r="I51" s="107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</row>
    <row r="52" ht="13.5" customHeight="1">
      <c r="A52" s="105"/>
      <c r="B52" s="142" t="s">
        <v>553</v>
      </c>
      <c r="C52" s="143" t="s">
        <v>631</v>
      </c>
      <c r="D52" s="144" t="s">
        <v>632</v>
      </c>
      <c r="E52" s="145">
        <v>0.0</v>
      </c>
      <c r="F52" s="145">
        <v>100000.0</v>
      </c>
      <c r="G52" s="146" t="s">
        <v>633</v>
      </c>
      <c r="H52" s="147" t="s">
        <v>556</v>
      </c>
      <c r="I52" s="107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</row>
    <row r="53" ht="13.5" customHeight="1">
      <c r="A53" s="105"/>
      <c r="B53" s="142" t="s">
        <v>553</v>
      </c>
      <c r="C53" s="143" t="s">
        <v>631</v>
      </c>
      <c r="D53" s="144" t="s">
        <v>634</v>
      </c>
      <c r="E53" s="145">
        <v>100000.0</v>
      </c>
      <c r="F53" s="145">
        <v>0.0</v>
      </c>
      <c r="G53" s="146" t="s">
        <v>635</v>
      </c>
      <c r="H53" s="147" t="s">
        <v>77</v>
      </c>
      <c r="I53" s="107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</row>
    <row r="54" ht="13.5" customHeight="1">
      <c r="A54" s="105"/>
      <c r="B54" s="142" t="str">
        <f>B11</f>
        <v>하나 #304</v>
      </c>
      <c r="C54" s="154" t="s">
        <v>558</v>
      </c>
      <c r="D54" s="155"/>
      <c r="E54" s="156">
        <v>0.0</v>
      </c>
      <c r="F54" s="157">
        <v>4.9938488E7</v>
      </c>
      <c r="G54" s="158" t="s">
        <v>636</v>
      </c>
      <c r="H54" s="147" t="s">
        <v>41</v>
      </c>
      <c r="I54" s="107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</row>
    <row r="55" ht="13.5" customHeight="1">
      <c r="A55" s="105"/>
      <c r="B55" s="142" t="s">
        <v>552</v>
      </c>
      <c r="C55" s="143" t="s">
        <v>558</v>
      </c>
      <c r="D55" s="144" t="s">
        <v>637</v>
      </c>
      <c r="E55" s="145">
        <v>0.0</v>
      </c>
      <c r="F55" s="145">
        <v>2418000.0</v>
      </c>
      <c r="G55" s="146" t="s">
        <v>638</v>
      </c>
      <c r="H55" s="147" t="s">
        <v>33</v>
      </c>
      <c r="I55" s="107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</row>
    <row r="56" ht="13.5" customHeight="1">
      <c r="A56" s="105"/>
      <c r="B56" s="142" t="s">
        <v>552</v>
      </c>
      <c r="C56" s="143" t="s">
        <v>631</v>
      </c>
      <c r="D56" s="144" t="s">
        <v>632</v>
      </c>
      <c r="E56" s="145">
        <v>1.39598E8</v>
      </c>
      <c r="F56" s="145">
        <v>0.0</v>
      </c>
      <c r="G56" s="146" t="s">
        <v>639</v>
      </c>
      <c r="H56" s="147" t="s">
        <v>556</v>
      </c>
      <c r="I56" s="107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</row>
    <row r="57" ht="13.5" customHeight="1">
      <c r="A57" s="105"/>
      <c r="B57" s="142" t="s">
        <v>22</v>
      </c>
      <c r="C57" s="143" t="s">
        <v>561</v>
      </c>
      <c r="D57" s="144" t="s">
        <v>640</v>
      </c>
      <c r="E57" s="145">
        <v>0.0</v>
      </c>
      <c r="F57" s="145">
        <v>591.91</v>
      </c>
      <c r="G57" s="146" t="s">
        <v>516</v>
      </c>
      <c r="H57" s="147" t="s">
        <v>33</v>
      </c>
      <c r="I57" s="107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</row>
    <row r="58" ht="13.5" customHeight="1">
      <c r="A58" s="105"/>
      <c r="B58" s="142" t="s">
        <v>22</v>
      </c>
      <c r="C58" s="143" t="s">
        <v>641</v>
      </c>
      <c r="D58" s="144" t="s">
        <v>642</v>
      </c>
      <c r="E58" s="145">
        <v>0.0</v>
      </c>
      <c r="F58" s="145">
        <v>1000.0</v>
      </c>
      <c r="G58" s="146" t="s">
        <v>516</v>
      </c>
      <c r="H58" s="147" t="s">
        <v>33</v>
      </c>
      <c r="I58" s="107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</row>
    <row r="59" ht="13.5" customHeight="1">
      <c r="A59" s="105"/>
      <c r="B59" s="142" t="s">
        <v>22</v>
      </c>
      <c r="C59" s="143" t="s">
        <v>643</v>
      </c>
      <c r="D59" s="144" t="s">
        <v>644</v>
      </c>
      <c r="E59" s="145">
        <v>0.0</v>
      </c>
      <c r="F59" s="145">
        <v>1000.0</v>
      </c>
      <c r="G59" s="146" t="s">
        <v>516</v>
      </c>
      <c r="H59" s="147" t="s">
        <v>33</v>
      </c>
      <c r="I59" s="107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</row>
    <row r="60" ht="13.5" customHeight="1">
      <c r="A60" s="105"/>
      <c r="B60" s="142" t="s">
        <v>22</v>
      </c>
      <c r="C60" s="143" t="s">
        <v>606</v>
      </c>
      <c r="D60" s="144" t="s">
        <v>645</v>
      </c>
      <c r="E60" s="145">
        <v>0.0</v>
      </c>
      <c r="F60" s="145">
        <v>1000.0</v>
      </c>
      <c r="G60" s="146" t="s">
        <v>516</v>
      </c>
      <c r="H60" s="147" t="s">
        <v>33</v>
      </c>
      <c r="I60" s="107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</row>
    <row r="61" ht="13.5" customHeight="1">
      <c r="A61" s="105"/>
      <c r="B61" s="142" t="s">
        <v>22</v>
      </c>
      <c r="C61" s="143" t="s">
        <v>631</v>
      </c>
      <c r="D61" s="144" t="s">
        <v>646</v>
      </c>
      <c r="E61" s="145">
        <v>0.0</v>
      </c>
      <c r="F61" s="145">
        <v>1000.0</v>
      </c>
      <c r="G61" s="146" t="s">
        <v>516</v>
      </c>
      <c r="H61" s="147" t="s">
        <v>33</v>
      </c>
      <c r="I61" s="107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</row>
    <row r="62" ht="13.5" customHeight="1">
      <c r="A62" s="105"/>
      <c r="B62" s="142" t="s">
        <v>22</v>
      </c>
      <c r="C62" s="143" t="s">
        <v>621</v>
      </c>
      <c r="D62" s="144" t="s">
        <v>519</v>
      </c>
      <c r="E62" s="145">
        <v>0.0</v>
      </c>
      <c r="F62" s="145">
        <v>430.61</v>
      </c>
      <c r="G62" s="146" t="s">
        <v>647</v>
      </c>
      <c r="H62" s="147" t="s">
        <v>33</v>
      </c>
      <c r="I62" s="107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</row>
    <row r="63" ht="13.5" customHeight="1">
      <c r="A63" s="105"/>
      <c r="B63" s="142" t="s">
        <v>22</v>
      </c>
      <c r="C63" s="143" t="s">
        <v>625</v>
      </c>
      <c r="D63" s="144" t="s">
        <v>648</v>
      </c>
      <c r="E63" s="145">
        <v>0.0</v>
      </c>
      <c r="F63" s="145">
        <v>1000.0</v>
      </c>
      <c r="G63" s="146" t="s">
        <v>516</v>
      </c>
      <c r="H63" s="147" t="s">
        <v>33</v>
      </c>
      <c r="I63" s="107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</row>
    <row r="64" ht="13.5" customHeight="1">
      <c r="A64" s="105"/>
      <c r="B64" s="142" t="s">
        <v>18</v>
      </c>
      <c r="C64" s="143" t="s">
        <v>649</v>
      </c>
      <c r="D64" s="144" t="s">
        <v>533</v>
      </c>
      <c r="E64" s="145">
        <v>0.0</v>
      </c>
      <c r="F64" s="145">
        <v>218.8</v>
      </c>
      <c r="G64" s="146" t="s">
        <v>650</v>
      </c>
      <c r="H64" s="147" t="s">
        <v>33</v>
      </c>
      <c r="I64" s="107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</row>
    <row r="65" ht="13.5" customHeight="1">
      <c r="A65" s="105"/>
      <c r="B65" s="142" t="s">
        <v>18</v>
      </c>
      <c r="C65" s="143" t="s">
        <v>649</v>
      </c>
      <c r="D65" s="159" t="s">
        <v>651</v>
      </c>
      <c r="E65" s="145">
        <v>0.0</v>
      </c>
      <c r="F65" s="145">
        <v>143.07</v>
      </c>
      <c r="G65" s="146" t="s">
        <v>652</v>
      </c>
      <c r="H65" s="147" t="s">
        <v>33</v>
      </c>
      <c r="I65" s="107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</row>
    <row r="66" ht="13.5" customHeight="1">
      <c r="A66" s="105"/>
      <c r="B66" s="142" t="s">
        <v>18</v>
      </c>
      <c r="C66" s="143" t="s">
        <v>588</v>
      </c>
      <c r="D66" s="144" t="s">
        <v>653</v>
      </c>
      <c r="E66" s="145">
        <v>0.0</v>
      </c>
      <c r="F66" s="145">
        <v>948.0</v>
      </c>
      <c r="G66" s="146" t="s">
        <v>654</v>
      </c>
      <c r="H66" s="147" t="s">
        <v>33</v>
      </c>
      <c r="I66" s="107"/>
      <c r="J66" s="99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</row>
    <row r="67" ht="13.5" customHeight="1">
      <c r="A67" s="105"/>
      <c r="B67" s="142" t="s">
        <v>18</v>
      </c>
      <c r="C67" s="143" t="s">
        <v>641</v>
      </c>
      <c r="D67" s="144" t="s">
        <v>655</v>
      </c>
      <c r="E67" s="145">
        <v>0.0</v>
      </c>
      <c r="F67" s="145">
        <v>249.39</v>
      </c>
      <c r="G67" s="146" t="s">
        <v>656</v>
      </c>
      <c r="H67" s="147" t="s">
        <v>33</v>
      </c>
      <c r="I67" s="107"/>
      <c r="J67" s="99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</row>
    <row r="68" ht="13.5" customHeight="1">
      <c r="A68" s="105"/>
      <c r="B68" s="142" t="s">
        <v>18</v>
      </c>
      <c r="C68" s="143" t="s">
        <v>657</v>
      </c>
      <c r="D68" s="159" t="s">
        <v>658</v>
      </c>
      <c r="E68" s="145">
        <v>0.0</v>
      </c>
      <c r="F68" s="145">
        <v>68.88</v>
      </c>
      <c r="G68" s="146" t="s">
        <v>545</v>
      </c>
      <c r="H68" s="147" t="s">
        <v>33</v>
      </c>
      <c r="I68" s="107"/>
      <c r="J68" s="99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</row>
    <row r="69" ht="13.5" customHeight="1">
      <c r="A69" s="105"/>
      <c r="B69" s="147" t="str">
        <f>B8</f>
        <v>WISE SGD</v>
      </c>
      <c r="C69" s="154" t="s">
        <v>558</v>
      </c>
      <c r="D69" s="158" t="s">
        <v>659</v>
      </c>
      <c r="E69" s="156">
        <v>0.0</v>
      </c>
      <c r="F69" s="156">
        <v>8.2</v>
      </c>
      <c r="G69" s="158" t="s">
        <v>660</v>
      </c>
      <c r="H69" s="147" t="s">
        <v>12</v>
      </c>
      <c r="I69" s="107"/>
      <c r="J69" s="99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</row>
    <row r="70" ht="13.5" customHeight="1">
      <c r="A70" s="105"/>
      <c r="B70" s="147" t="str">
        <f>B8</f>
        <v>WISE SGD</v>
      </c>
      <c r="C70" s="154" t="s">
        <v>558</v>
      </c>
      <c r="D70" s="158" t="s">
        <v>661</v>
      </c>
      <c r="E70" s="156">
        <v>0.0</v>
      </c>
      <c r="F70" s="156">
        <v>1.51</v>
      </c>
      <c r="G70" s="158" t="s">
        <v>660</v>
      </c>
      <c r="H70" s="147" t="s">
        <v>12</v>
      </c>
      <c r="I70" s="107"/>
      <c r="J70" s="99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</row>
    <row r="71" ht="13.5" customHeight="1">
      <c r="A71" s="105"/>
      <c r="B71" s="142" t="str">
        <f>B8</f>
        <v>WISE SGD</v>
      </c>
      <c r="C71" s="154" t="s">
        <v>558</v>
      </c>
      <c r="D71" s="158" t="s">
        <v>662</v>
      </c>
      <c r="E71" s="156">
        <v>0.0</v>
      </c>
      <c r="F71" s="156">
        <v>2.72</v>
      </c>
      <c r="G71" s="158" t="s">
        <v>660</v>
      </c>
      <c r="H71" s="147" t="s">
        <v>12</v>
      </c>
      <c r="I71" s="107"/>
      <c r="J71" s="99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</row>
    <row r="72" ht="13.5" customHeight="1">
      <c r="A72" s="105"/>
      <c r="B72" s="142" t="str">
        <f>B8</f>
        <v>WISE SGD</v>
      </c>
      <c r="C72" s="154" t="s">
        <v>558</v>
      </c>
      <c r="D72" s="158" t="s">
        <v>523</v>
      </c>
      <c r="E72" s="156">
        <v>0.0</v>
      </c>
      <c r="F72" s="156">
        <v>3.08</v>
      </c>
      <c r="G72" s="158" t="s">
        <v>660</v>
      </c>
      <c r="H72" s="147" t="s">
        <v>12</v>
      </c>
      <c r="I72" s="107"/>
      <c r="J72" s="99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</row>
    <row r="73" ht="13.5" customHeight="1">
      <c r="A73" s="105"/>
      <c r="B73" s="142" t="str">
        <f>B8</f>
        <v>WISE SGD</v>
      </c>
      <c r="C73" s="154" t="s">
        <v>558</v>
      </c>
      <c r="D73" s="158" t="s">
        <v>523</v>
      </c>
      <c r="E73" s="156">
        <v>0.0</v>
      </c>
      <c r="F73" s="156">
        <v>2.01</v>
      </c>
      <c r="G73" s="158" t="s">
        <v>660</v>
      </c>
      <c r="H73" s="147" t="s">
        <v>12</v>
      </c>
      <c r="I73" s="107"/>
      <c r="J73" s="99"/>
      <c r="K73" s="99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</row>
    <row r="74" ht="13.5" customHeight="1">
      <c r="A74" s="105"/>
      <c r="B74" s="142" t="str">
        <f>B8</f>
        <v>WISE SGD</v>
      </c>
      <c r="C74" s="154" t="s">
        <v>663</v>
      </c>
      <c r="D74" s="158" t="s">
        <v>523</v>
      </c>
      <c r="E74" s="156">
        <v>0.0</v>
      </c>
      <c r="F74" s="156">
        <v>1.82</v>
      </c>
      <c r="G74" s="158" t="s">
        <v>660</v>
      </c>
      <c r="H74" s="147" t="s">
        <v>12</v>
      </c>
      <c r="I74" s="107"/>
      <c r="J74" s="99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</row>
    <row r="75" ht="13.5" customHeight="1">
      <c r="A75" s="105"/>
      <c r="B75" s="142" t="str">
        <f>B8</f>
        <v>WISE SGD</v>
      </c>
      <c r="C75" s="154" t="s">
        <v>663</v>
      </c>
      <c r="D75" s="158" t="s">
        <v>523</v>
      </c>
      <c r="E75" s="156">
        <v>0.0</v>
      </c>
      <c r="F75" s="156">
        <v>0.85</v>
      </c>
      <c r="G75" s="158" t="s">
        <v>660</v>
      </c>
      <c r="H75" s="147" t="s">
        <v>12</v>
      </c>
      <c r="I75" s="107"/>
      <c r="J75" s="99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</row>
    <row r="76" ht="13.5" customHeight="1">
      <c r="A76" s="105"/>
      <c r="B76" s="142" t="str">
        <f>B8</f>
        <v>WISE SGD</v>
      </c>
      <c r="C76" s="154" t="s">
        <v>663</v>
      </c>
      <c r="D76" s="158" t="s">
        <v>523</v>
      </c>
      <c r="E76" s="156">
        <v>0.0</v>
      </c>
      <c r="F76" s="156">
        <v>2.25</v>
      </c>
      <c r="G76" s="158" t="s">
        <v>660</v>
      </c>
      <c r="H76" s="147" t="s">
        <v>12</v>
      </c>
      <c r="I76" s="107"/>
      <c r="J76" s="99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</row>
    <row r="77" ht="13.5" customHeight="1">
      <c r="A77" s="105"/>
      <c r="B77" s="142" t="str">
        <f>B8</f>
        <v>WISE SGD</v>
      </c>
      <c r="C77" s="154" t="s">
        <v>663</v>
      </c>
      <c r="D77" s="160" t="s">
        <v>664</v>
      </c>
      <c r="E77" s="156">
        <v>0.0</v>
      </c>
      <c r="F77" s="156">
        <v>12.08</v>
      </c>
      <c r="G77" s="158" t="s">
        <v>660</v>
      </c>
      <c r="H77" s="147" t="s">
        <v>12</v>
      </c>
      <c r="I77" s="107"/>
      <c r="J77" s="99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</row>
    <row r="78" ht="13.5" customHeight="1">
      <c r="A78" s="105"/>
      <c r="B78" s="142" t="str">
        <f>B8</f>
        <v>WISE SGD</v>
      </c>
      <c r="C78" s="154" t="s">
        <v>663</v>
      </c>
      <c r="D78" s="161" t="s">
        <v>523</v>
      </c>
      <c r="E78" s="162">
        <v>0.0</v>
      </c>
      <c r="F78" s="162">
        <v>1.46</v>
      </c>
      <c r="G78" s="158" t="s">
        <v>660</v>
      </c>
      <c r="H78" s="147" t="s">
        <v>12</v>
      </c>
      <c r="I78" s="107"/>
      <c r="J78" s="99"/>
      <c r="K78" s="99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</row>
    <row r="79" ht="13.5" customHeight="1">
      <c r="A79" s="105"/>
      <c r="B79" s="142" t="str">
        <f>B8</f>
        <v>WISE SGD</v>
      </c>
      <c r="C79" s="154" t="s">
        <v>665</v>
      </c>
      <c r="D79" s="158" t="s">
        <v>523</v>
      </c>
      <c r="E79" s="156">
        <v>0.0</v>
      </c>
      <c r="F79" s="156">
        <v>1.16</v>
      </c>
      <c r="G79" s="158" t="s">
        <v>660</v>
      </c>
      <c r="H79" s="147" t="s">
        <v>12</v>
      </c>
      <c r="I79" s="107"/>
      <c r="J79" s="99"/>
      <c r="K79" s="99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</row>
    <row r="80" ht="13.5" customHeight="1">
      <c r="A80" s="105"/>
      <c r="B80" s="142" t="str">
        <f>B8</f>
        <v>WISE SGD</v>
      </c>
      <c r="C80" s="154" t="s">
        <v>665</v>
      </c>
      <c r="D80" s="158" t="s">
        <v>523</v>
      </c>
      <c r="E80" s="156">
        <v>0.0</v>
      </c>
      <c r="F80" s="156">
        <v>0.85</v>
      </c>
      <c r="G80" s="158" t="s">
        <v>660</v>
      </c>
      <c r="H80" s="147" t="s">
        <v>12</v>
      </c>
      <c r="I80" s="107"/>
      <c r="J80" s="99"/>
      <c r="K80" s="99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</row>
    <row r="81" ht="13.5" customHeight="1">
      <c r="A81" s="105"/>
      <c r="B81" s="142" t="str">
        <f>B8</f>
        <v>WISE SGD</v>
      </c>
      <c r="C81" s="154" t="s">
        <v>665</v>
      </c>
      <c r="D81" s="158" t="s">
        <v>523</v>
      </c>
      <c r="E81" s="156">
        <v>0.0</v>
      </c>
      <c r="F81" s="156">
        <v>5.47</v>
      </c>
      <c r="G81" s="158" t="s">
        <v>660</v>
      </c>
      <c r="H81" s="147" t="s">
        <v>12</v>
      </c>
      <c r="I81" s="107"/>
      <c r="J81" s="99"/>
      <c r="K81" s="99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</row>
    <row r="82" ht="13.5" customHeight="1">
      <c r="A82" s="105"/>
      <c r="B82" s="142" t="str">
        <f>B8</f>
        <v>WISE SGD</v>
      </c>
      <c r="C82" s="154" t="s">
        <v>621</v>
      </c>
      <c r="D82" s="158" t="s">
        <v>523</v>
      </c>
      <c r="E82" s="156">
        <v>0.0</v>
      </c>
      <c r="F82" s="156">
        <v>7.43</v>
      </c>
      <c r="G82" s="158" t="s">
        <v>660</v>
      </c>
      <c r="H82" s="147" t="s">
        <v>12</v>
      </c>
      <c r="I82" s="107"/>
      <c r="J82" s="99"/>
      <c r="K82" s="99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</row>
    <row r="83" ht="13.5" customHeight="1">
      <c r="A83" s="105"/>
      <c r="B83" s="142" t="str">
        <f>B8</f>
        <v>WISE SGD</v>
      </c>
      <c r="C83" s="154" t="s">
        <v>621</v>
      </c>
      <c r="D83" s="161" t="s">
        <v>523</v>
      </c>
      <c r="E83" s="162">
        <v>0.0</v>
      </c>
      <c r="F83" s="162">
        <v>3.1</v>
      </c>
      <c r="G83" s="158" t="s">
        <v>660</v>
      </c>
      <c r="H83" s="147" t="s">
        <v>12</v>
      </c>
      <c r="I83" s="107"/>
      <c r="J83" s="99"/>
      <c r="K83" s="99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</row>
    <row r="84" ht="13.5" customHeight="1">
      <c r="A84" s="105"/>
      <c r="B84" s="142" t="str">
        <f>B8</f>
        <v>WISE SGD</v>
      </c>
      <c r="C84" s="154" t="s">
        <v>621</v>
      </c>
      <c r="D84" s="144" t="s">
        <v>523</v>
      </c>
      <c r="E84" s="145">
        <v>0.0</v>
      </c>
      <c r="F84" s="145">
        <v>1.88</v>
      </c>
      <c r="G84" s="158" t="s">
        <v>660</v>
      </c>
      <c r="H84" s="147" t="s">
        <v>12</v>
      </c>
      <c r="I84" s="107"/>
      <c r="J84" s="99"/>
      <c r="K84" s="99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</row>
    <row r="85" ht="13.5" customHeight="1">
      <c r="A85" s="105"/>
      <c r="B85" s="142" t="str">
        <f>B8</f>
        <v>WISE SGD</v>
      </c>
      <c r="C85" s="154" t="s">
        <v>621</v>
      </c>
      <c r="D85" s="144" t="s">
        <v>523</v>
      </c>
      <c r="E85" s="145">
        <v>0.0</v>
      </c>
      <c r="F85" s="145">
        <v>4.39</v>
      </c>
      <c r="G85" s="158" t="s">
        <v>660</v>
      </c>
      <c r="H85" s="147" t="s">
        <v>12</v>
      </c>
      <c r="I85" s="107"/>
      <c r="J85" s="99"/>
      <c r="K85" s="99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</row>
    <row r="86" ht="13.5" customHeight="1">
      <c r="A86" s="105"/>
      <c r="B86" s="142" t="s">
        <v>18</v>
      </c>
      <c r="C86" s="143" t="s">
        <v>666</v>
      </c>
      <c r="D86" s="144" t="s">
        <v>667</v>
      </c>
      <c r="E86" s="145">
        <v>0.0</v>
      </c>
      <c r="F86" s="145">
        <v>13.42</v>
      </c>
      <c r="G86" s="146" t="s">
        <v>668</v>
      </c>
      <c r="H86" s="147" t="s">
        <v>33</v>
      </c>
      <c r="I86" s="107"/>
      <c r="J86" s="99"/>
      <c r="K86" s="99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</row>
    <row r="87" ht="13.5" customHeight="1">
      <c r="A87" s="105"/>
      <c r="B87" s="142" t="str">
        <f>B8</f>
        <v>WISE SGD</v>
      </c>
      <c r="C87" s="154" t="s">
        <v>621</v>
      </c>
      <c r="D87" s="144" t="s">
        <v>526</v>
      </c>
      <c r="E87" s="145">
        <v>0.0</v>
      </c>
      <c r="F87" s="145">
        <v>1831.37</v>
      </c>
      <c r="G87" s="158" t="s">
        <v>669</v>
      </c>
      <c r="H87" s="147" t="s">
        <v>41</v>
      </c>
      <c r="I87" s="107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</row>
    <row r="88" ht="13.5" customHeight="1">
      <c r="A88" s="105"/>
      <c r="B88" s="142" t="str">
        <f>B8</f>
        <v>WISE SGD</v>
      </c>
      <c r="C88" s="154" t="s">
        <v>621</v>
      </c>
      <c r="D88" s="144" t="s">
        <v>523</v>
      </c>
      <c r="E88" s="145">
        <v>0.0</v>
      </c>
      <c r="F88" s="145">
        <v>1.16</v>
      </c>
      <c r="G88" s="158" t="s">
        <v>660</v>
      </c>
      <c r="H88" s="147" t="s">
        <v>12</v>
      </c>
      <c r="I88" s="107"/>
      <c r="J88" s="99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</row>
    <row r="89" ht="13.5" customHeight="1">
      <c r="A89" s="105"/>
      <c r="B89" s="142" t="str">
        <f>B8</f>
        <v>WISE SGD</v>
      </c>
      <c r="C89" s="154" t="s">
        <v>621</v>
      </c>
      <c r="D89" s="144" t="s">
        <v>523</v>
      </c>
      <c r="E89" s="145">
        <v>0.0</v>
      </c>
      <c r="F89" s="145">
        <v>0.86</v>
      </c>
      <c r="G89" s="158" t="s">
        <v>660</v>
      </c>
      <c r="H89" s="147" t="s">
        <v>12</v>
      </c>
      <c r="I89" s="107"/>
      <c r="J89" s="99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</row>
    <row r="90" ht="13.5" customHeight="1">
      <c r="A90" s="105"/>
      <c r="B90" s="142" t="str">
        <f>B8</f>
        <v>WISE SGD</v>
      </c>
      <c r="C90" s="154" t="s">
        <v>621</v>
      </c>
      <c r="D90" s="144" t="s">
        <v>523</v>
      </c>
      <c r="E90" s="145">
        <v>0.0</v>
      </c>
      <c r="F90" s="145">
        <v>1.95</v>
      </c>
      <c r="G90" s="158" t="s">
        <v>660</v>
      </c>
      <c r="H90" s="147" t="s">
        <v>12</v>
      </c>
      <c r="I90" s="107"/>
      <c r="J90" s="99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</row>
    <row r="91" ht="13.5" customHeight="1">
      <c r="A91" s="105"/>
      <c r="B91" s="142" t="s">
        <v>18</v>
      </c>
      <c r="C91" s="143" t="s">
        <v>666</v>
      </c>
      <c r="D91" s="159" t="s">
        <v>542</v>
      </c>
      <c r="E91" s="145">
        <v>0.0</v>
      </c>
      <c r="F91" s="145">
        <v>10.0</v>
      </c>
      <c r="G91" s="146" t="s">
        <v>670</v>
      </c>
      <c r="H91" s="147" t="s">
        <v>33</v>
      </c>
      <c r="I91" s="107"/>
      <c r="J91" s="99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</row>
    <row r="92" ht="13.5" customHeight="1">
      <c r="A92" s="105"/>
      <c r="B92" s="142" t="str">
        <f>B8</f>
        <v>WISE SGD</v>
      </c>
      <c r="C92" s="143" t="s">
        <v>625</v>
      </c>
      <c r="D92" s="144" t="s">
        <v>523</v>
      </c>
      <c r="E92" s="145">
        <v>0.0</v>
      </c>
      <c r="F92" s="145">
        <v>5.3</v>
      </c>
      <c r="G92" s="158" t="s">
        <v>660</v>
      </c>
      <c r="H92" s="147" t="s">
        <v>12</v>
      </c>
      <c r="I92" s="107"/>
      <c r="J92" s="99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</row>
    <row r="93" ht="13.5" customHeight="1">
      <c r="A93" s="105"/>
      <c r="B93" s="142" t="str">
        <f>B8</f>
        <v>WISE SGD</v>
      </c>
      <c r="C93" s="143" t="s">
        <v>625</v>
      </c>
      <c r="D93" s="144" t="s">
        <v>523</v>
      </c>
      <c r="E93" s="145">
        <v>0.0</v>
      </c>
      <c r="F93" s="145">
        <v>0.86</v>
      </c>
      <c r="G93" s="158" t="s">
        <v>660</v>
      </c>
      <c r="H93" s="147" t="s">
        <v>12</v>
      </c>
      <c r="I93" s="107"/>
      <c r="J93" s="99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</row>
    <row r="94" ht="13.5" customHeight="1">
      <c r="A94" s="105"/>
      <c r="B94" s="142" t="str">
        <f>B8</f>
        <v>WISE SGD</v>
      </c>
      <c r="C94" s="143" t="s">
        <v>625</v>
      </c>
      <c r="D94" s="163" t="s">
        <v>523</v>
      </c>
      <c r="E94" s="162">
        <v>0.0</v>
      </c>
      <c r="F94" s="162">
        <v>0.86</v>
      </c>
      <c r="G94" s="158" t="s">
        <v>660</v>
      </c>
      <c r="H94" s="147" t="s">
        <v>12</v>
      </c>
      <c r="I94" s="107"/>
      <c r="J94" s="99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</row>
    <row r="95" ht="13.5" customHeight="1">
      <c r="A95" s="105"/>
      <c r="B95" s="142" t="str">
        <f>B8</f>
        <v>WISE SGD</v>
      </c>
      <c r="C95" s="143" t="s">
        <v>625</v>
      </c>
      <c r="D95" s="163" t="s">
        <v>523</v>
      </c>
      <c r="E95" s="162">
        <v>0.0</v>
      </c>
      <c r="F95" s="162">
        <v>1.34</v>
      </c>
      <c r="G95" s="158" t="s">
        <v>660</v>
      </c>
      <c r="H95" s="147" t="s">
        <v>12</v>
      </c>
      <c r="I95" s="107"/>
      <c r="J95" s="99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</row>
    <row r="96" ht="13.5" customHeight="1">
      <c r="A96" s="105"/>
      <c r="B96" s="142" t="s">
        <v>18</v>
      </c>
      <c r="C96" s="143" t="s">
        <v>612</v>
      </c>
      <c r="D96" s="144" t="s">
        <v>671</v>
      </c>
      <c r="E96" s="145">
        <v>0.0</v>
      </c>
      <c r="F96" s="145">
        <v>100014.39</v>
      </c>
      <c r="G96" s="146" t="s">
        <v>672</v>
      </c>
      <c r="H96" s="147" t="s">
        <v>39</v>
      </c>
      <c r="I96" s="107"/>
      <c r="J96" s="99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</row>
    <row r="97" ht="13.5" customHeight="1">
      <c r="A97" s="105"/>
      <c r="B97" s="142" t="s">
        <v>18</v>
      </c>
      <c r="C97" s="143" t="s">
        <v>625</v>
      </c>
      <c r="D97" s="144" t="s">
        <v>655</v>
      </c>
      <c r="E97" s="145">
        <v>0.0</v>
      </c>
      <c r="F97" s="145">
        <v>398.39</v>
      </c>
      <c r="G97" s="146" t="s">
        <v>656</v>
      </c>
      <c r="H97" s="147" t="s">
        <v>33</v>
      </c>
      <c r="I97" s="107"/>
      <c r="J97" s="99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</row>
    <row r="98" ht="13.5" customHeight="1">
      <c r="A98" s="105"/>
      <c r="B98" s="142" t="s">
        <v>18</v>
      </c>
      <c r="C98" s="143" t="s">
        <v>625</v>
      </c>
      <c r="D98" s="144" t="s">
        <v>673</v>
      </c>
      <c r="E98" s="145">
        <v>0.0</v>
      </c>
      <c r="F98" s="145">
        <v>3334.39</v>
      </c>
      <c r="G98" s="146" t="s">
        <v>674</v>
      </c>
      <c r="H98" s="147" t="s">
        <v>39</v>
      </c>
      <c r="I98" s="107"/>
      <c r="J98" s="99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</row>
    <row r="99" ht="13.5" customHeight="1">
      <c r="A99" s="105"/>
      <c r="B99" s="147" t="str">
        <f>B8</f>
        <v>WISE SGD</v>
      </c>
      <c r="C99" s="144" t="s">
        <v>675</v>
      </c>
      <c r="D99" s="164" t="s">
        <v>523</v>
      </c>
      <c r="E99" s="145">
        <v>0.0</v>
      </c>
      <c r="F99" s="165">
        <v>7.48</v>
      </c>
      <c r="G99" s="146" t="s">
        <v>660</v>
      </c>
      <c r="H99" s="147" t="s">
        <v>12</v>
      </c>
      <c r="I99" s="107"/>
      <c r="J99" s="99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</row>
    <row r="100" ht="13.5" customHeight="1">
      <c r="A100" s="105"/>
      <c r="B100" s="166" t="str">
        <f>B8</f>
        <v>WISE SGD</v>
      </c>
      <c r="C100" s="144" t="s">
        <v>675</v>
      </c>
      <c r="D100" s="144" t="s">
        <v>523</v>
      </c>
      <c r="E100" s="145">
        <v>0.0</v>
      </c>
      <c r="F100" s="145">
        <v>0.62</v>
      </c>
      <c r="G100" s="146" t="s">
        <v>660</v>
      </c>
      <c r="H100" s="147" t="s">
        <v>12</v>
      </c>
      <c r="I100" s="107"/>
      <c r="J100" s="99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</row>
    <row r="101" ht="13.5" customHeight="1">
      <c r="A101" s="105"/>
      <c r="B101" s="167" t="str">
        <f>B8</f>
        <v>WISE SGD</v>
      </c>
      <c r="C101" s="144" t="s">
        <v>628</v>
      </c>
      <c r="D101" s="144" t="s">
        <v>523</v>
      </c>
      <c r="E101" s="145">
        <v>0.0</v>
      </c>
      <c r="F101" s="145">
        <v>11.18</v>
      </c>
      <c r="G101" s="146" t="s">
        <v>660</v>
      </c>
      <c r="H101" s="147" t="s">
        <v>12</v>
      </c>
      <c r="I101" s="107"/>
      <c r="J101" s="99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</row>
    <row r="102" ht="13.5" customHeight="1">
      <c r="A102" s="105"/>
      <c r="B102" s="167" t="str">
        <f>B8</f>
        <v>WISE SGD</v>
      </c>
      <c r="C102" s="144" t="s">
        <v>628</v>
      </c>
      <c r="D102" s="144" t="s">
        <v>523</v>
      </c>
      <c r="E102" s="145">
        <v>0.0</v>
      </c>
      <c r="F102" s="145">
        <v>0.55</v>
      </c>
      <c r="G102" s="146" t="s">
        <v>660</v>
      </c>
      <c r="H102" s="147" t="s">
        <v>12</v>
      </c>
      <c r="I102" s="107"/>
      <c r="J102" s="99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</row>
    <row r="103" ht="13.5" customHeight="1">
      <c r="A103" s="105"/>
      <c r="B103" s="167" t="str">
        <f>B8</f>
        <v>WISE SGD</v>
      </c>
      <c r="C103" s="144" t="s">
        <v>628</v>
      </c>
      <c r="D103" s="144" t="s">
        <v>523</v>
      </c>
      <c r="E103" s="145">
        <v>0.0</v>
      </c>
      <c r="F103" s="145">
        <v>3.02</v>
      </c>
      <c r="G103" s="146" t="s">
        <v>660</v>
      </c>
      <c r="H103" s="147" t="s">
        <v>12</v>
      </c>
      <c r="I103" s="107"/>
      <c r="J103" s="99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</row>
    <row r="104" ht="13.5" customHeight="1">
      <c r="A104" s="105"/>
      <c r="B104" s="167" t="str">
        <f>B8</f>
        <v>WISE SGD</v>
      </c>
      <c r="C104" s="144" t="s">
        <v>628</v>
      </c>
      <c r="D104" s="144" t="s">
        <v>523</v>
      </c>
      <c r="E104" s="145">
        <v>0.0</v>
      </c>
      <c r="F104" s="145">
        <v>0.85</v>
      </c>
      <c r="G104" s="146" t="s">
        <v>660</v>
      </c>
      <c r="H104" s="147" t="s">
        <v>12</v>
      </c>
      <c r="I104" s="107"/>
      <c r="J104" s="99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</row>
    <row r="105" ht="13.5" customHeight="1">
      <c r="A105" s="105"/>
      <c r="B105" s="167" t="str">
        <f>B8</f>
        <v>WISE SGD</v>
      </c>
      <c r="C105" s="144" t="s">
        <v>628</v>
      </c>
      <c r="D105" s="144" t="s">
        <v>523</v>
      </c>
      <c r="E105" s="145">
        <v>0.0</v>
      </c>
      <c r="F105" s="145">
        <v>0.85</v>
      </c>
      <c r="G105" s="146" t="s">
        <v>660</v>
      </c>
      <c r="H105" s="147" t="s">
        <v>12</v>
      </c>
      <c r="I105" s="107"/>
      <c r="J105" s="99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</row>
    <row r="106" ht="13.5" customHeight="1">
      <c r="A106" s="105"/>
      <c r="B106" s="167" t="str">
        <f>B8</f>
        <v>WISE SGD</v>
      </c>
      <c r="C106" s="163" t="s">
        <v>628</v>
      </c>
      <c r="D106" s="163" t="s">
        <v>523</v>
      </c>
      <c r="E106" s="162">
        <v>0.0</v>
      </c>
      <c r="F106" s="162">
        <v>2.79</v>
      </c>
      <c r="G106" s="146" t="s">
        <v>660</v>
      </c>
      <c r="H106" s="147" t="s">
        <v>12</v>
      </c>
      <c r="I106" s="107"/>
      <c r="J106" s="99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</row>
    <row r="107" ht="13.5" customHeight="1">
      <c r="A107" s="105"/>
      <c r="B107" s="167" t="str">
        <f>B8</f>
        <v>WISE SGD</v>
      </c>
      <c r="C107" s="163" t="s">
        <v>628</v>
      </c>
      <c r="D107" s="163" t="s">
        <v>523</v>
      </c>
      <c r="E107" s="162">
        <v>0.0</v>
      </c>
      <c r="F107" s="162">
        <v>9.39</v>
      </c>
      <c r="G107" s="146" t="s">
        <v>660</v>
      </c>
      <c r="H107" s="147" t="s">
        <v>12</v>
      </c>
      <c r="I107" s="107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</row>
  </sheetData>
  <autoFilter ref="$B$19:$H$107">
    <sortState ref="B19:H107">
      <sortCondition ref="B19:B107"/>
    </sortState>
  </autoFilter>
  <customSheetViews>
    <customSheetView guid="{CD2BF927-9D79-47FC-BBA8-927062D6B3F5}" filter="1" showAutoFilter="1">
      <autoFilter ref="$B$19:$H$107"/>
    </customSheetView>
  </customSheetViews>
  <mergeCells count="5">
    <mergeCell ref="B2:G2"/>
    <mergeCell ref="B13:C13"/>
    <mergeCell ref="B14:C14"/>
    <mergeCell ref="B15:C15"/>
    <mergeCell ref="B16:C16"/>
  </mergeCells>
  <dataValidations>
    <dataValidation type="list" allowBlank="1" sqref="H20:H107">
      <formula1>$J$4:$J$30</formula1>
    </dataValidation>
  </dataValidations>
  <hyperlinks>
    <hyperlink r:id="rId1" ref="D65"/>
    <hyperlink r:id="rId2" ref="D68"/>
    <hyperlink r:id="rId3" ref="D91"/>
  </hyperlinks>
  <printOptions/>
  <pageMargins bottom="0.75" footer="0.0" header="0.0" left="0.25" right="0.25" top="0.75"/>
  <pageSetup fitToHeight="0" paperSize="9" orientation="portrait"/>
  <drawing r:id="rId4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9.0" topLeftCell="A20" activePane="bottomLeft" state="frozen"/>
      <selection activeCell="B21" sqref="B21" pane="bottomLeft"/>
    </sheetView>
  </sheetViews>
  <sheetFormatPr customHeight="1" defaultColWidth="14.43" defaultRowHeight="15.0" outlineLevelRow="1"/>
  <cols>
    <col customWidth="1" min="1" max="1" width="1.57"/>
    <col customWidth="1" min="2" max="2" width="15.14"/>
    <col customWidth="1" min="3" max="3" width="13.57"/>
    <col customWidth="1" min="4" max="4" width="30.57"/>
    <col customWidth="1" min="5" max="5" width="28.43"/>
    <col customWidth="1" min="6" max="6" width="29.29"/>
    <col customWidth="1" min="7" max="7" width="36.14"/>
    <col customWidth="1" min="8" max="8" width="20.0"/>
    <col customWidth="1" min="9" max="9" width="20.57"/>
    <col customWidth="1" min="10" max="10" width="14.43"/>
    <col customWidth="1" min="11" max="11" width="50.0"/>
    <col customWidth="1" min="12" max="24" width="9.0"/>
  </cols>
  <sheetData>
    <row r="1" ht="13.5" customHeight="1" outlineLevel="1">
      <c r="A1" s="99"/>
      <c r="B1" s="100"/>
      <c r="C1" s="100"/>
      <c r="D1" s="99"/>
      <c r="E1" s="99"/>
      <c r="F1" s="99"/>
      <c r="G1" s="99"/>
      <c r="H1" s="100"/>
      <c r="I1" s="99"/>
      <c r="J1" s="99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</row>
    <row r="2" ht="24.0" customHeight="1" outlineLevel="1">
      <c r="A2" s="101"/>
      <c r="B2" s="102" t="s">
        <v>0</v>
      </c>
      <c r="C2" s="5"/>
      <c r="D2" s="5"/>
      <c r="E2" s="5"/>
      <c r="F2" s="5"/>
      <c r="G2" s="5"/>
      <c r="H2" s="103"/>
      <c r="I2" s="101"/>
      <c r="J2" s="104"/>
      <c r="K2" s="104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</row>
    <row r="3" ht="13.5" customHeight="1" outlineLevel="1">
      <c r="A3" s="99"/>
      <c r="B3" s="100"/>
      <c r="C3" s="100"/>
      <c r="D3" s="99"/>
      <c r="E3" s="99"/>
      <c r="F3" s="99"/>
      <c r="G3" s="99"/>
      <c r="H3" s="100"/>
      <c r="I3" s="105"/>
      <c r="J3" s="106" t="s">
        <v>1</v>
      </c>
      <c r="K3" s="106" t="s">
        <v>2</v>
      </c>
      <c r="L3" s="107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</row>
    <row r="4" ht="13.5" customHeight="1" outlineLevel="1">
      <c r="A4" s="101"/>
      <c r="B4" s="103" t="s">
        <v>3</v>
      </c>
      <c r="C4" s="103"/>
      <c r="D4" s="101"/>
      <c r="E4" s="101"/>
      <c r="F4" s="101"/>
      <c r="G4" s="135" t="s">
        <v>676</v>
      </c>
      <c r="H4" s="103"/>
      <c r="I4" s="109"/>
      <c r="J4" s="83" t="s">
        <v>4</v>
      </c>
      <c r="K4" s="83" t="s">
        <v>5</v>
      </c>
      <c r="L4" s="110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</row>
    <row r="5" ht="13.5" customHeight="1" outlineLevel="1">
      <c r="A5" s="103"/>
      <c r="B5" s="111" t="s">
        <v>6</v>
      </c>
      <c r="C5" s="112" t="s">
        <v>7</v>
      </c>
      <c r="D5" s="168" t="s">
        <v>8</v>
      </c>
      <c r="E5" s="129" t="s">
        <v>9</v>
      </c>
      <c r="F5" s="113" t="s">
        <v>10</v>
      </c>
      <c r="G5" s="169" t="s">
        <v>11</v>
      </c>
      <c r="H5" s="103"/>
      <c r="I5" s="115"/>
      <c r="J5" s="83" t="s">
        <v>12</v>
      </c>
      <c r="K5" s="83" t="s">
        <v>13</v>
      </c>
      <c r="L5" s="116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</row>
    <row r="6" ht="13.5" customHeight="1" outlineLevel="1">
      <c r="A6" s="99"/>
      <c r="B6" s="170" t="s">
        <v>14</v>
      </c>
      <c r="C6" s="170" t="s">
        <v>15</v>
      </c>
      <c r="D6" s="171">
        <f>'22.9월'!G6</f>
        <v>24358758</v>
      </c>
      <c r="E6" s="172">
        <f>sumif(B20:B61,B6,E20:E61)</f>
        <v>143690000</v>
      </c>
      <c r="F6" s="172">
        <f>sumif(B20:B61,B6,F20:F61)</f>
        <v>32442224</v>
      </c>
      <c r="G6" s="173">
        <f t="shared" ref="G6:G12" si="1">D6+E6-F6</f>
        <v>135606534</v>
      </c>
      <c r="H6" s="100"/>
      <c r="I6" s="105"/>
      <c r="J6" s="83" t="s">
        <v>16</v>
      </c>
      <c r="K6" s="83" t="s">
        <v>17</v>
      </c>
      <c r="L6" s="107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</row>
    <row r="7" ht="13.5" customHeight="1" outlineLevel="1">
      <c r="A7" s="99"/>
      <c r="B7" s="174" t="s">
        <v>18</v>
      </c>
      <c r="C7" s="174" t="s">
        <v>19</v>
      </c>
      <c r="D7" s="175">
        <f>'22.9월'!G7</f>
        <v>57372.86</v>
      </c>
      <c r="E7" s="172">
        <f>sumif(B20:B61,B7,E20:E61)</f>
        <v>0</v>
      </c>
      <c r="F7" s="172">
        <f>sumif(B20:B61,B7,F20:F61)</f>
        <v>10094.39</v>
      </c>
      <c r="G7" s="32">
        <f t="shared" si="1"/>
        <v>47278.47</v>
      </c>
      <c r="H7" s="125"/>
      <c r="I7" s="105"/>
      <c r="J7" s="83" t="s">
        <v>20</v>
      </c>
      <c r="K7" s="83" t="s">
        <v>21</v>
      </c>
      <c r="L7" s="107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</row>
    <row r="8" ht="13.5" customHeight="1" outlineLevel="1">
      <c r="A8" s="99"/>
      <c r="B8" s="174" t="s">
        <v>22</v>
      </c>
      <c r="C8" s="174" t="s">
        <v>23</v>
      </c>
      <c r="D8" s="175">
        <f>'22.9월'!G8</f>
        <v>13880.68</v>
      </c>
      <c r="E8" s="172">
        <f>sumif(B20:B61,B8,E20:E61)</f>
        <v>0</v>
      </c>
      <c r="F8" s="172">
        <f>sumif(B20:B61,B8,F20:F61)</f>
        <v>9203.93</v>
      </c>
      <c r="G8" s="38">
        <f t="shared" si="1"/>
        <v>4676.75</v>
      </c>
      <c r="H8" s="100"/>
      <c r="I8" s="105"/>
      <c r="J8" s="83" t="s">
        <v>24</v>
      </c>
      <c r="K8" s="83" t="s">
        <v>25</v>
      </c>
      <c r="L8" s="107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</row>
    <row r="9" ht="13.5" customHeight="1" outlineLevel="1">
      <c r="A9" s="99"/>
      <c r="B9" s="174" t="s">
        <v>26</v>
      </c>
      <c r="C9" s="174" t="s">
        <v>15</v>
      </c>
      <c r="D9" s="175">
        <f>'22.9월'!G9</f>
        <v>0</v>
      </c>
      <c r="E9" s="127">
        <f>sumif(B20:B61,B9,E20:E61)</f>
        <v>0</v>
      </c>
      <c r="F9" s="172">
        <f>sumif(B20:B61,B9,F20:F61)</f>
        <v>0</v>
      </c>
      <c r="G9" s="176">
        <f t="shared" si="1"/>
        <v>0</v>
      </c>
      <c r="H9" s="100"/>
      <c r="I9" s="105"/>
      <c r="J9" s="83" t="s">
        <v>27</v>
      </c>
      <c r="K9" s="83" t="s">
        <v>28</v>
      </c>
      <c r="L9" s="107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</row>
    <row r="10" ht="13.5" customHeight="1" outlineLevel="1">
      <c r="A10" s="99"/>
      <c r="B10" s="174" t="s">
        <v>551</v>
      </c>
      <c r="C10" s="174" t="s">
        <v>19</v>
      </c>
      <c r="D10" s="175">
        <f>'22.9월'!G10</f>
        <v>199975.6</v>
      </c>
      <c r="E10" s="127">
        <f>sumif(B20:B61,B10,E20:E61)</f>
        <v>0</v>
      </c>
      <c r="F10" s="172">
        <f>sumif(B20:B61,B10,F20:F61)</f>
        <v>100000</v>
      </c>
      <c r="G10" s="128">
        <f t="shared" si="1"/>
        <v>99975.6</v>
      </c>
      <c r="H10" s="100"/>
      <c r="I10" s="105"/>
      <c r="J10" s="83" t="s">
        <v>29</v>
      </c>
      <c r="K10" s="83" t="s">
        <v>30</v>
      </c>
      <c r="L10" s="107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</row>
    <row r="11" ht="13.5" customHeight="1" outlineLevel="1">
      <c r="A11" s="99"/>
      <c r="B11" s="174" t="s">
        <v>552</v>
      </c>
      <c r="C11" s="174" t="s">
        <v>15</v>
      </c>
      <c r="D11" s="175">
        <f>'22.9월'!G11</f>
        <v>87241512</v>
      </c>
      <c r="E11" s="172">
        <f>sumif(B20:B61,B11,E20:E61)</f>
        <v>0</v>
      </c>
      <c r="F11" s="172">
        <f>sumif(B20:B61,B11,F20:F61)</f>
        <v>57494593</v>
      </c>
      <c r="G11" s="176">
        <f t="shared" si="1"/>
        <v>29746919</v>
      </c>
      <c r="H11" s="100"/>
      <c r="I11" s="105"/>
      <c r="J11" s="83" t="s">
        <v>31</v>
      </c>
      <c r="K11" s="83" t="s">
        <v>32</v>
      </c>
      <c r="L11" s="107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</row>
    <row r="12" ht="13.5" customHeight="1" outlineLevel="1">
      <c r="A12" s="99"/>
      <c r="B12" s="174" t="s">
        <v>553</v>
      </c>
      <c r="C12" s="174" t="s">
        <v>19</v>
      </c>
      <c r="D12" s="177">
        <f>'22.9월'!G12</f>
        <v>0</v>
      </c>
      <c r="E12" s="172">
        <f>sumif(B20:B61,B12,E20:E61)</f>
        <v>0</v>
      </c>
      <c r="F12" s="172">
        <f>sumif(B20:B61,B12,F20:F61)</f>
        <v>0</v>
      </c>
      <c r="G12" s="128">
        <f t="shared" si="1"/>
        <v>0</v>
      </c>
      <c r="H12" s="100"/>
      <c r="I12" s="105"/>
      <c r="J12" s="83" t="s">
        <v>33</v>
      </c>
      <c r="K12" s="84" t="s">
        <v>34</v>
      </c>
      <c r="L12" s="107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</row>
    <row r="13" ht="13.5" customHeight="1" outlineLevel="1">
      <c r="A13" s="101"/>
      <c r="B13" s="129" t="s">
        <v>35</v>
      </c>
      <c r="C13" s="50"/>
      <c r="D13" s="131">
        <f t="shared" ref="D13:G13" si="2">D6+D9+D11</f>
        <v>111600270</v>
      </c>
      <c r="E13" s="178">
        <f t="shared" si="2"/>
        <v>143690000</v>
      </c>
      <c r="F13" s="178">
        <f t="shared" si="2"/>
        <v>89936817</v>
      </c>
      <c r="G13" s="179">
        <f t="shared" si="2"/>
        <v>165353453</v>
      </c>
      <c r="H13" s="132"/>
      <c r="I13" s="133"/>
      <c r="J13" s="83" t="s">
        <v>36</v>
      </c>
      <c r="K13" s="84" t="s">
        <v>37</v>
      </c>
      <c r="L13" s="110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</row>
    <row r="14" ht="13.5" customHeight="1" outlineLevel="1">
      <c r="A14" s="101"/>
      <c r="B14" s="129" t="s">
        <v>38</v>
      </c>
      <c r="C14" s="50"/>
      <c r="D14" s="131">
        <f t="shared" ref="D14:G14" si="3">D7+D10+D12</f>
        <v>257348.46</v>
      </c>
      <c r="E14" s="178">
        <f t="shared" si="3"/>
        <v>0</v>
      </c>
      <c r="F14" s="178">
        <f t="shared" si="3"/>
        <v>110094.39</v>
      </c>
      <c r="G14" s="131">
        <f t="shared" si="3"/>
        <v>147254.07</v>
      </c>
      <c r="H14" s="132">
        <f>rounddown(G14*1420.9,0)</f>
        <v>209233308</v>
      </c>
      <c r="I14" s="134"/>
      <c r="J14" s="83" t="s">
        <v>39</v>
      </c>
      <c r="K14" s="84" t="s">
        <v>40</v>
      </c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</row>
    <row r="15" ht="13.5" customHeight="1" outlineLevel="1">
      <c r="A15" s="101"/>
      <c r="B15" s="180" t="s">
        <v>677</v>
      </c>
      <c r="C15" s="50"/>
      <c r="D15" s="131">
        <f t="shared" ref="D15:G15" si="4">D8</f>
        <v>13880.68</v>
      </c>
      <c r="E15" s="178">
        <f t="shared" si="4"/>
        <v>0</v>
      </c>
      <c r="F15" s="178">
        <f t="shared" si="4"/>
        <v>9203.93</v>
      </c>
      <c r="G15" s="131">
        <f t="shared" si="4"/>
        <v>4676.75</v>
      </c>
      <c r="H15" s="132"/>
      <c r="I15" s="103"/>
      <c r="J15" s="83" t="s">
        <v>41</v>
      </c>
      <c r="K15" s="84" t="s">
        <v>42</v>
      </c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</row>
    <row r="16" ht="13.5" customHeight="1" outlineLevel="1">
      <c r="A16" s="109"/>
      <c r="B16" s="181"/>
      <c r="C16" s="181"/>
      <c r="D16" s="99"/>
      <c r="E16" s="99"/>
      <c r="F16" s="99"/>
      <c r="G16" s="99"/>
      <c r="H16" s="100"/>
      <c r="I16" s="103"/>
      <c r="J16" s="83" t="s">
        <v>77</v>
      </c>
      <c r="K16" s="84" t="s">
        <v>78</v>
      </c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</row>
    <row r="17" ht="13.5" customHeight="1">
      <c r="A17" s="99"/>
      <c r="B17" s="181"/>
      <c r="C17" s="181"/>
      <c r="D17" s="99"/>
      <c r="E17" s="99"/>
      <c r="F17" s="99"/>
      <c r="G17" s="99"/>
      <c r="H17" s="100"/>
      <c r="I17" s="135"/>
      <c r="J17" s="83" t="s">
        <v>554</v>
      </c>
      <c r="K17" s="84" t="s">
        <v>555</v>
      </c>
      <c r="L17" s="99"/>
      <c r="M17" s="99"/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</row>
    <row r="18" ht="13.5" customHeight="1">
      <c r="A18" s="103"/>
      <c r="B18" s="136" t="s">
        <v>43</v>
      </c>
      <c r="C18" s="136"/>
      <c r="D18" s="136"/>
      <c r="E18" s="137"/>
      <c r="F18" s="137"/>
      <c r="G18" s="136"/>
      <c r="H18" s="136"/>
      <c r="I18" s="138"/>
      <c r="J18" s="83" t="s">
        <v>556</v>
      </c>
      <c r="K18" s="84" t="s">
        <v>557</v>
      </c>
      <c r="L18" s="103"/>
      <c r="M18" s="103"/>
      <c r="N18" s="103"/>
      <c r="O18" s="103"/>
      <c r="P18" s="103"/>
      <c r="Q18" s="103"/>
      <c r="R18" s="103"/>
      <c r="S18" s="103"/>
      <c r="T18" s="103"/>
      <c r="U18" s="103"/>
      <c r="V18" s="103"/>
      <c r="W18" s="103"/>
      <c r="X18" s="103"/>
    </row>
    <row r="19" ht="13.5" customHeight="1">
      <c r="A19" s="115"/>
      <c r="B19" s="182" t="s">
        <v>6</v>
      </c>
      <c r="C19" s="182" t="s">
        <v>44</v>
      </c>
      <c r="D19" s="182" t="s">
        <v>45</v>
      </c>
      <c r="E19" s="182" t="s">
        <v>46</v>
      </c>
      <c r="F19" s="182" t="s">
        <v>47</v>
      </c>
      <c r="G19" s="183" t="s">
        <v>48</v>
      </c>
      <c r="H19" s="182" t="s">
        <v>1</v>
      </c>
      <c r="I19" s="141"/>
      <c r="J19" s="99"/>
      <c r="K19" s="99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</row>
    <row r="20" ht="15.0" customHeight="1">
      <c r="A20" s="105"/>
      <c r="B20" s="184" t="s">
        <v>551</v>
      </c>
      <c r="C20" s="185" t="s">
        <v>678</v>
      </c>
      <c r="D20" s="186" t="s">
        <v>679</v>
      </c>
      <c r="E20" s="187">
        <v>0.0</v>
      </c>
      <c r="F20" s="188">
        <v>100000.0</v>
      </c>
      <c r="G20" s="186" t="s">
        <v>639</v>
      </c>
      <c r="H20" s="186" t="s">
        <v>556</v>
      </c>
      <c r="I20" s="107"/>
      <c r="J20" s="99"/>
      <c r="K20" s="99"/>
      <c r="L20" s="99"/>
      <c r="M20" s="99"/>
      <c r="N20" s="99"/>
      <c r="O20" s="99"/>
      <c r="P20" s="99"/>
      <c r="Q20" s="99"/>
      <c r="R20" s="99"/>
      <c r="S20" s="99"/>
      <c r="T20" s="99"/>
      <c r="U20" s="99"/>
      <c r="V20" s="99"/>
      <c r="W20" s="99"/>
      <c r="X20" s="99"/>
    </row>
    <row r="21" ht="15.0" customHeight="1">
      <c r="A21" s="105"/>
      <c r="B21" s="189" t="s">
        <v>14</v>
      </c>
      <c r="C21" s="190" t="s">
        <v>680</v>
      </c>
      <c r="D21" s="190" t="s">
        <v>681</v>
      </c>
      <c r="E21" s="191">
        <v>0.0</v>
      </c>
      <c r="F21" s="191">
        <v>825000.0</v>
      </c>
      <c r="G21" s="190" t="s">
        <v>682</v>
      </c>
      <c r="H21" s="192" t="s">
        <v>33</v>
      </c>
      <c r="I21" s="107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</row>
    <row r="22" ht="15.0" customHeight="1">
      <c r="A22" s="105"/>
      <c r="B22" s="189" t="s">
        <v>14</v>
      </c>
      <c r="C22" s="190" t="s">
        <v>680</v>
      </c>
      <c r="D22" s="190" t="s">
        <v>683</v>
      </c>
      <c r="E22" s="191">
        <v>0.0</v>
      </c>
      <c r="F22" s="191">
        <v>3598860.0</v>
      </c>
      <c r="G22" s="190" t="s">
        <v>683</v>
      </c>
      <c r="H22" s="192" t="s">
        <v>31</v>
      </c>
      <c r="I22" s="107"/>
      <c r="J22" s="99"/>
      <c r="K22" s="138">
        <v>1.35606534E8</v>
      </c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</row>
    <row r="23" ht="15.0" customHeight="1">
      <c r="A23" s="105"/>
      <c r="B23" s="189" t="s">
        <v>14</v>
      </c>
      <c r="C23" s="190" t="s">
        <v>680</v>
      </c>
      <c r="D23" s="190" t="s">
        <v>684</v>
      </c>
      <c r="E23" s="190">
        <v>0.0</v>
      </c>
      <c r="F23" s="191">
        <v>75000.0</v>
      </c>
      <c r="G23" s="190" t="s">
        <v>684</v>
      </c>
      <c r="H23" s="192" t="s">
        <v>31</v>
      </c>
      <c r="I23" s="107"/>
      <c r="J23" s="99"/>
      <c r="K23" s="138">
        <v>47278.47</v>
      </c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</row>
    <row r="24" ht="15.0" customHeight="1">
      <c r="A24" s="105"/>
      <c r="B24" s="189" t="s">
        <v>14</v>
      </c>
      <c r="C24" s="190" t="s">
        <v>680</v>
      </c>
      <c r="D24" s="190" t="s">
        <v>685</v>
      </c>
      <c r="E24" s="191">
        <v>0.0</v>
      </c>
      <c r="F24" s="191">
        <v>367320.0</v>
      </c>
      <c r="G24" s="190" t="s">
        <v>685</v>
      </c>
      <c r="H24" s="192" t="s">
        <v>31</v>
      </c>
      <c r="I24" s="107"/>
      <c r="J24" s="99"/>
      <c r="K24" s="138">
        <v>4676.75</v>
      </c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</row>
    <row r="25" ht="15.0" customHeight="1">
      <c r="A25" s="105"/>
      <c r="B25" s="189" t="s">
        <v>14</v>
      </c>
      <c r="C25" s="190" t="s">
        <v>686</v>
      </c>
      <c r="D25" s="190" t="s">
        <v>687</v>
      </c>
      <c r="E25" s="191">
        <v>0.0</v>
      </c>
      <c r="F25" s="191">
        <v>4406280.0</v>
      </c>
      <c r="G25" s="190" t="s">
        <v>688</v>
      </c>
      <c r="H25" s="192" t="s">
        <v>31</v>
      </c>
      <c r="I25" s="107"/>
      <c r="J25" s="99"/>
      <c r="K25" s="138">
        <v>0.0</v>
      </c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</row>
    <row r="26" ht="15.0" customHeight="1">
      <c r="A26" s="105"/>
      <c r="B26" s="189" t="s">
        <v>14</v>
      </c>
      <c r="C26" s="190" t="s">
        <v>686</v>
      </c>
      <c r="D26" s="190" t="s">
        <v>689</v>
      </c>
      <c r="E26" s="191">
        <v>0.0</v>
      </c>
      <c r="F26" s="191">
        <v>4511360.0</v>
      </c>
      <c r="G26" s="190" t="s">
        <v>689</v>
      </c>
      <c r="H26" s="192" t="s">
        <v>31</v>
      </c>
      <c r="I26" s="107"/>
      <c r="J26" s="99"/>
      <c r="K26" s="138">
        <v>99975.6</v>
      </c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</row>
    <row r="27" ht="15.0" customHeight="1">
      <c r="A27" s="105"/>
      <c r="B27" s="189" t="s">
        <v>14</v>
      </c>
      <c r="C27" s="190" t="s">
        <v>686</v>
      </c>
      <c r="D27" s="190" t="s">
        <v>690</v>
      </c>
      <c r="E27" s="191">
        <v>0.0</v>
      </c>
      <c r="F27" s="191">
        <v>1069990.0</v>
      </c>
      <c r="G27" s="190" t="s">
        <v>690</v>
      </c>
      <c r="H27" s="192" t="s">
        <v>31</v>
      </c>
      <c r="I27" s="107"/>
      <c r="J27" s="99"/>
      <c r="K27" s="138">
        <v>2.9746919E7</v>
      </c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</row>
    <row r="28" ht="15.0" customHeight="1">
      <c r="A28" s="105"/>
      <c r="B28" s="189" t="s">
        <v>14</v>
      </c>
      <c r="C28" s="190" t="s">
        <v>686</v>
      </c>
      <c r="D28" s="190" t="s">
        <v>691</v>
      </c>
      <c r="E28" s="191">
        <v>0.0</v>
      </c>
      <c r="F28" s="191">
        <v>396500.0</v>
      </c>
      <c r="G28" s="190" t="s">
        <v>691</v>
      </c>
      <c r="H28" s="192" t="s">
        <v>31</v>
      </c>
      <c r="I28" s="107"/>
      <c r="J28" s="99"/>
      <c r="K28" s="138">
        <v>0.0</v>
      </c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</row>
    <row r="29" ht="15.0" customHeight="1">
      <c r="A29" s="105"/>
      <c r="B29" s="189" t="s">
        <v>14</v>
      </c>
      <c r="C29" s="190" t="s">
        <v>692</v>
      </c>
      <c r="D29" s="190" t="s">
        <v>693</v>
      </c>
      <c r="E29" s="191">
        <v>0.0</v>
      </c>
      <c r="F29" s="191">
        <v>34000.0</v>
      </c>
      <c r="G29" s="190" t="s">
        <v>693</v>
      </c>
      <c r="H29" s="193" t="s">
        <v>33</v>
      </c>
      <c r="I29" s="107"/>
      <c r="J29" s="99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</row>
    <row r="30" ht="15.0" customHeight="1">
      <c r="A30" s="105"/>
      <c r="B30" s="184" t="s">
        <v>14</v>
      </c>
      <c r="C30" s="190" t="s">
        <v>694</v>
      </c>
      <c r="D30" s="190" t="s">
        <v>342</v>
      </c>
      <c r="E30" s="191">
        <v>0.0</v>
      </c>
      <c r="F30" s="191">
        <v>440.0</v>
      </c>
      <c r="G30" s="186" t="s">
        <v>695</v>
      </c>
      <c r="H30" s="194" t="s">
        <v>24</v>
      </c>
      <c r="I30" s="107"/>
      <c r="J30" s="99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</row>
    <row r="31" ht="15.0" customHeight="1">
      <c r="A31" s="105"/>
      <c r="B31" s="195" t="s">
        <v>14</v>
      </c>
      <c r="C31" s="190" t="s">
        <v>694</v>
      </c>
      <c r="D31" s="190" t="s">
        <v>696</v>
      </c>
      <c r="E31" s="191">
        <v>0.0</v>
      </c>
      <c r="F31" s="191">
        <v>5000.0</v>
      </c>
      <c r="G31" s="186" t="s">
        <v>697</v>
      </c>
      <c r="H31" s="194" t="s">
        <v>33</v>
      </c>
      <c r="I31" s="107"/>
      <c r="J31" s="99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</row>
    <row r="32" ht="15.0" customHeight="1">
      <c r="A32" s="105"/>
      <c r="B32" s="195" t="s">
        <v>14</v>
      </c>
      <c r="C32" s="190" t="s">
        <v>694</v>
      </c>
      <c r="D32" s="190" t="s">
        <v>342</v>
      </c>
      <c r="E32" s="191">
        <v>0.0</v>
      </c>
      <c r="F32" s="191">
        <v>550.0</v>
      </c>
      <c r="G32" s="186" t="s">
        <v>695</v>
      </c>
      <c r="H32" s="194" t="s">
        <v>24</v>
      </c>
      <c r="I32" s="107"/>
      <c r="J32" s="99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</row>
    <row r="33" ht="15.0" customHeight="1">
      <c r="A33" s="105"/>
      <c r="B33" s="195" t="s">
        <v>14</v>
      </c>
      <c r="C33" s="190" t="s">
        <v>678</v>
      </c>
      <c r="D33" s="190" t="s">
        <v>58</v>
      </c>
      <c r="E33" s="191">
        <v>0.0</v>
      </c>
      <c r="F33" s="191">
        <v>4400.0</v>
      </c>
      <c r="G33" s="186" t="s">
        <v>698</v>
      </c>
      <c r="H33" s="194" t="s">
        <v>33</v>
      </c>
      <c r="I33" s="107"/>
      <c r="J33" s="99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</row>
    <row r="34" ht="15.0" customHeight="1">
      <c r="A34" s="105"/>
      <c r="B34" s="195" t="s">
        <v>14</v>
      </c>
      <c r="C34" s="185" t="s">
        <v>678</v>
      </c>
      <c r="D34" s="185" t="s">
        <v>699</v>
      </c>
      <c r="E34" s="187">
        <v>0.0</v>
      </c>
      <c r="F34" s="188">
        <v>1100500.0</v>
      </c>
      <c r="G34" s="186" t="s">
        <v>700</v>
      </c>
      <c r="H34" s="194" t="s">
        <v>12</v>
      </c>
      <c r="I34" s="107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</row>
    <row r="35" ht="15.0" customHeight="1">
      <c r="A35" s="105"/>
      <c r="B35" s="184" t="s">
        <v>14</v>
      </c>
      <c r="C35" s="185" t="s">
        <v>678</v>
      </c>
      <c r="D35" s="185" t="s">
        <v>679</v>
      </c>
      <c r="E35" s="187">
        <v>1.4369E8</v>
      </c>
      <c r="F35" s="187">
        <v>0.0</v>
      </c>
      <c r="G35" s="186" t="s">
        <v>639</v>
      </c>
      <c r="H35" s="194" t="s">
        <v>556</v>
      </c>
      <c r="I35" s="107"/>
      <c r="J35" s="99"/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</row>
    <row r="36" ht="15.0" customHeight="1">
      <c r="A36" s="105"/>
      <c r="B36" s="184" t="s">
        <v>14</v>
      </c>
      <c r="C36" s="186" t="s">
        <v>701</v>
      </c>
      <c r="D36" s="190" t="s">
        <v>604</v>
      </c>
      <c r="E36" s="187">
        <v>0.0</v>
      </c>
      <c r="F36" s="191">
        <v>110000.0</v>
      </c>
      <c r="G36" s="186" t="s">
        <v>702</v>
      </c>
      <c r="H36" s="194" t="s">
        <v>33</v>
      </c>
      <c r="I36" s="107"/>
      <c r="J36" s="99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</row>
    <row r="37" ht="17.25" customHeight="1">
      <c r="A37" s="105"/>
      <c r="B37" s="192" t="s">
        <v>14</v>
      </c>
      <c r="C37" s="186" t="s">
        <v>701</v>
      </c>
      <c r="D37" s="190" t="s">
        <v>497</v>
      </c>
      <c r="E37" s="187">
        <v>0.0</v>
      </c>
      <c r="F37" s="191">
        <v>330000.0</v>
      </c>
      <c r="G37" s="196" t="s">
        <v>703</v>
      </c>
      <c r="H37" s="197" t="s">
        <v>33</v>
      </c>
      <c r="I37" s="107"/>
      <c r="J37" s="99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</row>
    <row r="38" ht="13.5" customHeight="1">
      <c r="A38" s="105"/>
      <c r="B38" s="192" t="s">
        <v>14</v>
      </c>
      <c r="C38" s="186" t="s">
        <v>701</v>
      </c>
      <c r="D38" s="190" t="s">
        <v>623</v>
      </c>
      <c r="E38" s="198">
        <v>0.0</v>
      </c>
      <c r="F38" s="191">
        <v>7098922.0</v>
      </c>
      <c r="G38" s="199" t="s">
        <v>704</v>
      </c>
      <c r="H38" s="200" t="s">
        <v>33</v>
      </c>
      <c r="I38" s="107"/>
      <c r="J38" s="99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</row>
    <row r="39" ht="13.5" customHeight="1">
      <c r="A39" s="105"/>
      <c r="B39" s="184" t="s">
        <v>14</v>
      </c>
      <c r="C39" s="185" t="s">
        <v>705</v>
      </c>
      <c r="D39" s="196" t="s">
        <v>706</v>
      </c>
      <c r="E39" s="198">
        <v>0.0</v>
      </c>
      <c r="F39" s="198">
        <v>800000.0</v>
      </c>
      <c r="G39" s="199" t="s">
        <v>707</v>
      </c>
      <c r="H39" s="200" t="s">
        <v>33</v>
      </c>
      <c r="I39" s="107"/>
      <c r="J39" s="99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</row>
    <row r="40" ht="13.5" customHeight="1">
      <c r="A40" s="105"/>
      <c r="B40" s="184" t="s">
        <v>14</v>
      </c>
      <c r="C40" s="196" t="s">
        <v>708</v>
      </c>
      <c r="D40" s="190" t="s">
        <v>709</v>
      </c>
      <c r="E40" s="198">
        <v>0.0</v>
      </c>
      <c r="F40" s="191">
        <v>369600.0</v>
      </c>
      <c r="G40" s="201" t="s">
        <v>710</v>
      </c>
      <c r="H40" s="200" t="s">
        <v>12</v>
      </c>
      <c r="I40" s="107"/>
      <c r="J40" s="99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</row>
    <row r="41" ht="13.5" customHeight="1">
      <c r="A41" s="105"/>
      <c r="B41" s="184" t="s">
        <v>14</v>
      </c>
      <c r="C41" s="196" t="s">
        <v>708</v>
      </c>
      <c r="D41" s="190" t="s">
        <v>711</v>
      </c>
      <c r="E41" s="198">
        <v>0.0</v>
      </c>
      <c r="F41" s="191">
        <v>54200.0</v>
      </c>
      <c r="G41" s="196" t="s">
        <v>712</v>
      </c>
      <c r="H41" s="200" t="s">
        <v>12</v>
      </c>
      <c r="I41" s="107"/>
      <c r="J41" s="99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</row>
    <row r="42" ht="13.5" customHeight="1">
      <c r="A42" s="105"/>
      <c r="B42" s="184" t="s">
        <v>14</v>
      </c>
      <c r="C42" s="196" t="s">
        <v>708</v>
      </c>
      <c r="D42" s="190" t="s">
        <v>713</v>
      </c>
      <c r="E42" s="198">
        <v>0.0</v>
      </c>
      <c r="F42" s="191">
        <v>210802.0</v>
      </c>
      <c r="G42" s="196" t="s">
        <v>714</v>
      </c>
      <c r="H42" s="200" t="s">
        <v>12</v>
      </c>
      <c r="I42" s="107"/>
      <c r="J42" s="99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</row>
    <row r="43" ht="13.5" customHeight="1">
      <c r="A43" s="105"/>
      <c r="B43" s="192" t="s">
        <v>14</v>
      </c>
      <c r="C43" s="196" t="s">
        <v>708</v>
      </c>
      <c r="D43" s="190" t="s">
        <v>715</v>
      </c>
      <c r="E43" s="198">
        <v>0.0</v>
      </c>
      <c r="F43" s="191">
        <v>5500000.0</v>
      </c>
      <c r="G43" s="196" t="s">
        <v>716</v>
      </c>
      <c r="H43" s="200" t="s">
        <v>4</v>
      </c>
      <c r="I43" s="107"/>
      <c r="J43" s="99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</row>
    <row r="44" ht="13.5" customHeight="1">
      <c r="A44" s="105"/>
      <c r="B44" s="192" t="s">
        <v>14</v>
      </c>
      <c r="C44" s="196" t="s">
        <v>708</v>
      </c>
      <c r="D44" s="190" t="s">
        <v>717</v>
      </c>
      <c r="E44" s="198">
        <v>0.0</v>
      </c>
      <c r="F44" s="191">
        <v>1573500.0</v>
      </c>
      <c r="G44" s="196" t="s">
        <v>718</v>
      </c>
      <c r="H44" s="200" t="s">
        <v>16</v>
      </c>
      <c r="I44" s="107"/>
      <c r="J44" s="99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</row>
    <row r="45" ht="13.5" customHeight="1">
      <c r="A45" s="105"/>
      <c r="B45" s="184" t="s">
        <v>552</v>
      </c>
      <c r="C45" s="186" t="s">
        <v>701</v>
      </c>
      <c r="D45" s="186" t="s">
        <v>719</v>
      </c>
      <c r="E45" s="187">
        <v>0.0</v>
      </c>
      <c r="F45" s="187">
        <v>5.7282871E7</v>
      </c>
      <c r="G45" s="186" t="s">
        <v>720</v>
      </c>
      <c r="H45" s="202" t="s">
        <v>41</v>
      </c>
      <c r="I45" s="107"/>
      <c r="J45" s="99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</row>
    <row r="46" ht="13.5" customHeight="1">
      <c r="A46" s="105"/>
      <c r="B46" s="184" t="s">
        <v>552</v>
      </c>
      <c r="C46" s="202" t="s">
        <v>701</v>
      </c>
      <c r="D46" s="202" t="s">
        <v>721</v>
      </c>
      <c r="E46" s="203">
        <v>0.0</v>
      </c>
      <c r="F46" s="203">
        <v>211722.0</v>
      </c>
      <c r="G46" s="202" t="s">
        <v>722</v>
      </c>
      <c r="H46" s="202" t="s">
        <v>33</v>
      </c>
      <c r="I46" s="107"/>
      <c r="J46" s="99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</row>
    <row r="47" ht="15.0" customHeight="1">
      <c r="A47" s="105"/>
      <c r="B47" s="184" t="s">
        <v>22</v>
      </c>
      <c r="C47" s="202" t="s">
        <v>723</v>
      </c>
      <c r="D47" s="204" t="s">
        <v>523</v>
      </c>
      <c r="E47" s="205">
        <v>0.0</v>
      </c>
      <c r="F47" s="205">
        <v>0.61</v>
      </c>
      <c r="G47" s="204" t="s">
        <v>660</v>
      </c>
      <c r="H47" s="206" t="s">
        <v>12</v>
      </c>
      <c r="I47" s="107"/>
      <c r="J47" s="99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</row>
    <row r="48" ht="15.0" customHeight="1">
      <c r="A48" s="105"/>
      <c r="B48" s="184" t="s">
        <v>22</v>
      </c>
      <c r="C48" s="186" t="s">
        <v>723</v>
      </c>
      <c r="D48" s="186" t="s">
        <v>724</v>
      </c>
      <c r="E48" s="187">
        <v>0.0</v>
      </c>
      <c r="F48" s="187">
        <v>781.89</v>
      </c>
      <c r="G48" s="186" t="s">
        <v>516</v>
      </c>
      <c r="H48" s="192" t="s">
        <v>33</v>
      </c>
      <c r="I48" s="107"/>
      <c r="J48" s="99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</row>
    <row r="49" ht="15.0" customHeight="1">
      <c r="A49" s="105"/>
      <c r="B49" s="192" t="s">
        <v>22</v>
      </c>
      <c r="C49" s="202" t="s">
        <v>680</v>
      </c>
      <c r="D49" s="186" t="s">
        <v>519</v>
      </c>
      <c r="E49" s="187">
        <v>0.0</v>
      </c>
      <c r="F49" s="187">
        <v>50.61</v>
      </c>
      <c r="G49" s="186" t="s">
        <v>725</v>
      </c>
      <c r="H49" s="192" t="s">
        <v>33</v>
      </c>
      <c r="I49" s="107"/>
      <c r="J49" s="99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</row>
    <row r="50" ht="13.5" customHeight="1">
      <c r="A50" s="105"/>
      <c r="B50" s="207" t="s">
        <v>22</v>
      </c>
      <c r="C50" s="202" t="s">
        <v>726</v>
      </c>
      <c r="D50" s="186" t="s">
        <v>727</v>
      </c>
      <c r="E50" s="187">
        <v>0.0</v>
      </c>
      <c r="F50" s="187">
        <v>1000.0</v>
      </c>
      <c r="G50" s="186" t="s">
        <v>516</v>
      </c>
      <c r="H50" s="192" t="s">
        <v>33</v>
      </c>
      <c r="I50" s="107"/>
      <c r="J50" s="99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</row>
    <row r="51" ht="13.5" customHeight="1">
      <c r="A51" s="105"/>
      <c r="B51" s="207" t="s">
        <v>22</v>
      </c>
      <c r="C51" s="202" t="s">
        <v>686</v>
      </c>
      <c r="D51" s="186" t="s">
        <v>519</v>
      </c>
      <c r="E51" s="187">
        <v>0.0</v>
      </c>
      <c r="F51" s="187">
        <v>990.61</v>
      </c>
      <c r="G51" s="186" t="s">
        <v>728</v>
      </c>
      <c r="H51" s="192" t="s">
        <v>33</v>
      </c>
      <c r="I51" s="107"/>
      <c r="J51" s="99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</row>
    <row r="52" ht="13.5" customHeight="1">
      <c r="A52" s="105"/>
      <c r="B52" s="195" t="s">
        <v>22</v>
      </c>
      <c r="C52" s="186" t="s">
        <v>686</v>
      </c>
      <c r="D52" s="186" t="s">
        <v>729</v>
      </c>
      <c r="E52" s="187">
        <v>0.0</v>
      </c>
      <c r="F52" s="187">
        <v>1000.0</v>
      </c>
      <c r="G52" s="208" t="s">
        <v>516</v>
      </c>
      <c r="H52" s="193" t="s">
        <v>33</v>
      </c>
      <c r="I52" s="107"/>
      <c r="J52" s="99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</row>
    <row r="53" ht="13.5" customHeight="1">
      <c r="A53" s="105"/>
      <c r="B53" s="195" t="s">
        <v>22</v>
      </c>
      <c r="C53" s="194" t="s">
        <v>730</v>
      </c>
      <c r="D53" s="194" t="s">
        <v>731</v>
      </c>
      <c r="E53" s="209">
        <v>0.0</v>
      </c>
      <c r="F53" s="209">
        <v>1000.0</v>
      </c>
      <c r="G53" s="186" t="s">
        <v>516</v>
      </c>
      <c r="H53" s="197" t="s">
        <v>33</v>
      </c>
      <c r="I53" s="107"/>
      <c r="J53" s="99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</row>
    <row r="54" ht="13.5" customHeight="1">
      <c r="A54" s="105"/>
      <c r="B54" s="184" t="s">
        <v>22</v>
      </c>
      <c r="C54" s="186" t="s">
        <v>732</v>
      </c>
      <c r="D54" s="194" t="s">
        <v>733</v>
      </c>
      <c r="E54" s="209">
        <v>0.0</v>
      </c>
      <c r="F54" s="209">
        <v>1000.0</v>
      </c>
      <c r="G54" s="194" t="s">
        <v>516</v>
      </c>
      <c r="H54" s="194" t="s">
        <v>33</v>
      </c>
      <c r="I54" s="107"/>
      <c r="J54" s="99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</row>
    <row r="55" ht="13.5" customHeight="1">
      <c r="A55" s="105"/>
      <c r="B55" s="184" t="s">
        <v>22</v>
      </c>
      <c r="C55" s="194" t="s">
        <v>701</v>
      </c>
      <c r="D55" s="194" t="s">
        <v>526</v>
      </c>
      <c r="E55" s="209">
        <v>0.0</v>
      </c>
      <c r="F55" s="209">
        <v>1734.98</v>
      </c>
      <c r="G55" s="194" t="s">
        <v>734</v>
      </c>
      <c r="H55" s="194" t="s">
        <v>41</v>
      </c>
      <c r="I55" s="107"/>
      <c r="J55" s="99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</row>
    <row r="56" ht="13.5" customHeight="1">
      <c r="A56" s="105"/>
      <c r="B56" s="197" t="s">
        <v>22</v>
      </c>
      <c r="C56" s="210" t="s">
        <v>735</v>
      </c>
      <c r="D56" s="210" t="s">
        <v>519</v>
      </c>
      <c r="E56" s="211">
        <v>0.0</v>
      </c>
      <c r="F56" s="211">
        <v>580.61</v>
      </c>
      <c r="G56" s="210" t="s">
        <v>736</v>
      </c>
      <c r="H56" s="212" t="s">
        <v>33</v>
      </c>
      <c r="I56" s="107"/>
      <c r="J56" s="99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</row>
    <row r="57" ht="13.5" customHeight="1">
      <c r="A57" s="105"/>
      <c r="B57" s="184" t="s">
        <v>22</v>
      </c>
      <c r="C57" s="213" t="s">
        <v>708</v>
      </c>
      <c r="D57" s="196" t="s">
        <v>737</v>
      </c>
      <c r="E57" s="198">
        <v>0.0</v>
      </c>
      <c r="F57" s="198">
        <v>1000.0</v>
      </c>
      <c r="G57" s="196" t="s">
        <v>516</v>
      </c>
      <c r="H57" s="192" t="s">
        <v>33</v>
      </c>
      <c r="I57" s="107"/>
      <c r="J57" s="99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</row>
    <row r="58" ht="13.5" customHeight="1">
      <c r="A58" s="105"/>
      <c r="B58" s="192" t="s">
        <v>22</v>
      </c>
      <c r="C58" s="213" t="s">
        <v>738</v>
      </c>
      <c r="D58" s="196" t="s">
        <v>526</v>
      </c>
      <c r="E58" s="198">
        <v>0.0</v>
      </c>
      <c r="F58" s="198">
        <v>64.62</v>
      </c>
      <c r="G58" s="196" t="s">
        <v>739</v>
      </c>
      <c r="H58" s="192" t="s">
        <v>12</v>
      </c>
      <c r="I58" s="107"/>
      <c r="J58" s="99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</row>
    <row r="59" ht="13.5" customHeight="1">
      <c r="A59" s="105"/>
      <c r="B59" s="192" t="s">
        <v>18</v>
      </c>
      <c r="C59" s="194" t="s">
        <v>680</v>
      </c>
      <c r="D59" s="186" t="s">
        <v>740</v>
      </c>
      <c r="E59" s="187">
        <v>0.0</v>
      </c>
      <c r="F59" s="187">
        <v>9936.39</v>
      </c>
      <c r="G59" s="186" t="s">
        <v>741</v>
      </c>
      <c r="H59" s="192" t="s">
        <v>41</v>
      </c>
      <c r="I59" s="107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</row>
    <row r="60" ht="13.5" customHeight="1">
      <c r="A60" s="105"/>
      <c r="B60" s="184" t="s">
        <v>18</v>
      </c>
      <c r="C60" s="194" t="s">
        <v>742</v>
      </c>
      <c r="D60" s="214" t="s">
        <v>542</v>
      </c>
      <c r="E60" s="187">
        <v>0.0</v>
      </c>
      <c r="F60" s="187">
        <v>10.0</v>
      </c>
      <c r="G60" s="215" t="s">
        <v>743</v>
      </c>
      <c r="H60" s="192" t="s">
        <v>33</v>
      </c>
      <c r="I60" s="107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</row>
    <row r="61" ht="13.5" customHeight="1">
      <c r="A61" s="105"/>
      <c r="B61" s="207" t="s">
        <v>18</v>
      </c>
      <c r="C61" s="213" t="s">
        <v>735</v>
      </c>
      <c r="D61" s="196" t="s">
        <v>667</v>
      </c>
      <c r="E61" s="198">
        <v>0.0</v>
      </c>
      <c r="F61" s="198">
        <v>148.0</v>
      </c>
      <c r="G61" s="216" t="s">
        <v>744</v>
      </c>
      <c r="H61" s="192" t="s">
        <v>33</v>
      </c>
      <c r="I61" s="107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</row>
  </sheetData>
  <autoFilter ref="$B$19:$H$61">
    <sortState ref="B19:H61">
      <sortCondition ref="B19:B61"/>
    </sortState>
  </autoFilter>
  <customSheetViews>
    <customSheetView guid="{CD2BF927-9D79-47FC-BBA8-927062D6B3F5}" filter="1" showAutoFilter="1">
      <autoFilter ref="$B$19:$H$61"/>
    </customSheetView>
  </customSheetViews>
  <mergeCells count="4">
    <mergeCell ref="B2:G2"/>
    <mergeCell ref="B13:C13"/>
    <mergeCell ref="B14:C14"/>
    <mergeCell ref="B15:C15"/>
  </mergeCells>
  <dataValidations>
    <dataValidation type="list" allowBlank="1" sqref="H20:H61">
      <formula1>$J$4:$J$30</formula1>
    </dataValidation>
  </dataValidations>
  <hyperlinks>
    <hyperlink r:id="rId1" ref="D60"/>
  </hyperlinks>
  <printOptions/>
  <pageMargins bottom="0.75" footer="0.0" header="0.0" left="0.25" right="0.25" top="0.75"/>
  <pageSetup fitToHeight="0" paperSize="9" orientation="portrait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0.0" topLeftCell="A21" activePane="bottomLeft" state="frozen"/>
      <selection activeCell="B22" sqref="B22" pane="bottomLeft"/>
    </sheetView>
  </sheetViews>
  <sheetFormatPr customHeight="1" defaultColWidth="14.43" defaultRowHeight="15.0" outlineLevelRow="2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6.14"/>
    <col customWidth="1" min="8" max="8" width="20.0"/>
    <col customWidth="1" min="9" max="9" width="7.14"/>
    <col customWidth="1" min="10" max="11" width="14.43"/>
    <col customWidth="1" min="12" max="12" width="50.0"/>
    <col customWidth="1" min="13" max="25" width="9.0"/>
  </cols>
  <sheetData>
    <row r="1" ht="24.0" customHeight="1" outlineLevel="1">
      <c r="A1" s="101"/>
      <c r="B1" s="102" t="s">
        <v>0</v>
      </c>
      <c r="C1" s="5"/>
      <c r="D1" s="5"/>
      <c r="E1" s="5"/>
      <c r="F1" s="5"/>
      <c r="G1" s="5"/>
      <c r="H1" s="103"/>
      <c r="I1" s="101"/>
      <c r="J1" s="104"/>
      <c r="K1" s="104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100"/>
      <c r="I2" s="105"/>
      <c r="J2" s="99"/>
      <c r="K2" s="217" t="s">
        <v>1</v>
      </c>
      <c r="L2" s="217" t="s">
        <v>2</v>
      </c>
      <c r="M2" s="107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745</v>
      </c>
      <c r="H3" s="103"/>
      <c r="I3" s="109"/>
      <c r="J3" s="99"/>
      <c r="K3" s="83" t="s">
        <v>4</v>
      </c>
      <c r="L3" s="83" t="s">
        <v>5</v>
      </c>
      <c r="M3" s="110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116"/>
      <c r="I4" s="115"/>
      <c r="J4" s="99"/>
      <c r="K4" s="83" t="s">
        <v>12</v>
      </c>
      <c r="L4" s="83" t="s">
        <v>13</v>
      </c>
      <c r="M4" s="116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v>1.35606534E8</v>
      </c>
      <c r="E5" s="227">
        <f>sumif(B21:B128,B5,E21:E128)</f>
        <v>136965758</v>
      </c>
      <c r="F5" s="228">
        <f>sumif(B21:B171,B5,F21:F171)</f>
        <v>171929206</v>
      </c>
      <c r="G5" s="229">
        <f t="shared" ref="G5:G13" si="1">D5+E5-F5</f>
        <v>100643086</v>
      </c>
      <c r="H5" s="125"/>
      <c r="I5" s="105"/>
      <c r="J5" s="99"/>
      <c r="K5" s="83" t="s">
        <v>16</v>
      </c>
      <c r="L5" s="83" t="s">
        <v>17</v>
      </c>
      <c r="M5" s="107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v>99975.6</v>
      </c>
      <c r="E6" s="233">
        <f>sumif(B21:B130,B6,E21:E130)</f>
        <v>0</v>
      </c>
      <c r="F6" s="234">
        <f>sumif(B21:B171,B6,F21:F171)</f>
        <v>99975.6</v>
      </c>
      <c r="G6" s="235">
        <f t="shared" si="1"/>
        <v>0</v>
      </c>
      <c r="H6" s="125"/>
      <c r="I6" s="105"/>
      <c r="J6" s="99"/>
      <c r="K6" s="83" t="s">
        <v>20</v>
      </c>
      <c r="L6" s="83" t="s">
        <v>21</v>
      </c>
      <c r="M6" s="107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v>2.9746919E7</v>
      </c>
      <c r="E7" s="237">
        <f>sumif(B21:B130,B7,E21:E130)</f>
        <v>0</v>
      </c>
      <c r="F7" s="238">
        <f>sumif(B21:B171,B7,F21:F171)</f>
        <v>2315185</v>
      </c>
      <c r="G7" s="239">
        <f t="shared" si="1"/>
        <v>27431734</v>
      </c>
      <c r="H7" s="125"/>
      <c r="I7" s="105"/>
      <c r="J7" s="99"/>
      <c r="K7" s="83" t="s">
        <v>24</v>
      </c>
      <c r="L7" s="83" t="s">
        <v>25</v>
      </c>
      <c r="M7" s="107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v>0.0</v>
      </c>
      <c r="E8" s="240">
        <f>sumif(B21:B130,B8,E21:E130)</f>
        <v>0</v>
      </c>
      <c r="F8" s="234">
        <f>sumif(B21:B171,B8,F21:F171)</f>
        <v>0</v>
      </c>
      <c r="G8" s="235">
        <f t="shared" si="1"/>
        <v>0</v>
      </c>
      <c r="H8" s="125"/>
      <c r="I8" s="105"/>
      <c r="J8" s="99"/>
      <c r="K8" s="83" t="s">
        <v>27</v>
      </c>
      <c r="L8" s="83" t="s">
        <v>28</v>
      </c>
      <c r="M8" s="107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v>47278.47</v>
      </c>
      <c r="E9" s="240">
        <f>sumif(B21:B171,B9,E21:E128)</f>
        <v>0</v>
      </c>
      <c r="F9" s="234">
        <f>sumif(B21:B171,B9,F21:F171)</f>
        <v>14456.91</v>
      </c>
      <c r="G9" s="235">
        <f t="shared" si="1"/>
        <v>32821.56</v>
      </c>
      <c r="H9" s="125"/>
      <c r="I9" s="105"/>
      <c r="J9" s="99"/>
      <c r="K9" s="83" t="s">
        <v>29</v>
      </c>
      <c r="L9" s="83" t="s">
        <v>30</v>
      </c>
      <c r="M9" s="107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v>4676.75</v>
      </c>
      <c r="E10" s="242">
        <f>sumif(B21:B128,B10,E21:E171)</f>
        <v>0</v>
      </c>
      <c r="F10" s="243">
        <f>sumif(B21:B171,B10,F21:F171)</f>
        <v>4676.75</v>
      </c>
      <c r="G10" s="244">
        <f t="shared" si="1"/>
        <v>0</v>
      </c>
      <c r="H10" s="125"/>
      <c r="I10" s="105"/>
      <c r="J10" s="99"/>
      <c r="K10" s="83" t="s">
        <v>31</v>
      </c>
      <c r="L10" s="83" t="s">
        <v>32</v>
      </c>
      <c r="M10" s="107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v>0.0</v>
      </c>
      <c r="E11" s="245">
        <f>sumif(B21:B130,B11,E21:E130)</f>
        <v>0</v>
      </c>
      <c r="F11" s="238">
        <f>sumif(B21:B171,B11,F21:F171)</f>
        <v>0</v>
      </c>
      <c r="G11" s="239">
        <f t="shared" si="1"/>
        <v>0</v>
      </c>
      <c r="H11" s="125"/>
      <c r="I11" s="105"/>
      <c r="J11" s="99"/>
      <c r="K11" s="83" t="s">
        <v>33</v>
      </c>
      <c r="L11" s="84" t="s">
        <v>34</v>
      </c>
      <c r="M11" s="107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v>7121.24</v>
      </c>
      <c r="E12" s="233">
        <f>sumif(B21:B130,B12,E21:E130)</f>
        <v>0</v>
      </c>
      <c r="F12" s="234">
        <f>sumif(B21:B170,B12,F21:F170)</f>
        <v>0</v>
      </c>
      <c r="G12" s="235">
        <f t="shared" si="1"/>
        <v>7121.24</v>
      </c>
      <c r="H12" s="125"/>
      <c r="I12" s="105"/>
      <c r="J12" s="99"/>
      <c r="K12" s="83" t="s">
        <v>36</v>
      </c>
      <c r="L12" s="84" t="s">
        <v>37</v>
      </c>
      <c r="M12" s="107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46" t="s">
        <v>747</v>
      </c>
      <c r="C13" s="247" t="s">
        <v>23</v>
      </c>
      <c r="D13" s="248">
        <v>930.0</v>
      </c>
      <c r="E13" s="249">
        <f>sumif(B21:B130,B13,E21:E130)</f>
        <v>0</v>
      </c>
      <c r="F13" s="250">
        <f>sumif(B21:B170,B13,F21:F170)</f>
        <v>20</v>
      </c>
      <c r="G13" s="251">
        <f t="shared" si="1"/>
        <v>910</v>
      </c>
      <c r="H13" s="125"/>
      <c r="I13" s="105"/>
      <c r="J13" s="99"/>
      <c r="K13" s="83" t="s">
        <v>39</v>
      </c>
      <c r="L13" s="84" t="s">
        <v>40</v>
      </c>
      <c r="M13" s="107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hidden="1" customHeight="1" outlineLevel="2">
      <c r="A14" s="105"/>
      <c r="B14" s="252"/>
      <c r="C14" s="253"/>
      <c r="D14" s="254"/>
      <c r="E14" s="255"/>
      <c r="F14" s="256"/>
      <c r="G14" s="257"/>
      <c r="H14" s="125"/>
      <c r="I14" s="105"/>
      <c r="J14" s="99"/>
      <c r="K14" s="258"/>
      <c r="L14" s="258"/>
      <c r="M14" s="107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8.75" customHeight="1" outlineLevel="1" collapsed="1">
      <c r="A15" s="109"/>
      <c r="B15" s="259" t="s">
        <v>35</v>
      </c>
      <c r="C15" s="260"/>
      <c r="D15" s="261">
        <f t="shared" ref="D15:F15" si="2">D5+D7+D11</f>
        <v>165353453</v>
      </c>
      <c r="E15" s="262">
        <f t="shared" si="2"/>
        <v>136965758</v>
      </c>
      <c r="F15" s="263">
        <f t="shared" si="2"/>
        <v>174244391</v>
      </c>
      <c r="G15" s="264">
        <f>G5+G11+G7</f>
        <v>128074820</v>
      </c>
      <c r="H15" s="265">
        <f>G15</f>
        <v>128074820</v>
      </c>
      <c r="I15" s="133"/>
      <c r="J15" s="99"/>
      <c r="K15" s="83" t="s">
        <v>41</v>
      </c>
      <c r="L15" s="84" t="s">
        <v>42</v>
      </c>
      <c r="M15" s="110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ht="18.75" customHeight="1" outlineLevel="1">
      <c r="A16" s="109"/>
      <c r="B16" s="266" t="s">
        <v>38</v>
      </c>
      <c r="C16" s="267"/>
      <c r="D16" s="268">
        <f t="shared" ref="D16:F16" si="3">D6+D8+D9+D12</f>
        <v>154375.31</v>
      </c>
      <c r="E16" s="269">
        <f t="shared" si="3"/>
        <v>0</v>
      </c>
      <c r="F16" s="270">
        <f t="shared" si="3"/>
        <v>114432.51</v>
      </c>
      <c r="G16" s="271">
        <f>G9+G6+G8+G12</f>
        <v>39942.8</v>
      </c>
      <c r="H16" s="265">
        <f>rounddown(G16*1335.9,0)</f>
        <v>53359586</v>
      </c>
      <c r="I16" s="134"/>
      <c r="J16" s="99"/>
      <c r="K16" s="83" t="s">
        <v>77</v>
      </c>
      <c r="L16" s="84" t="s">
        <v>78</v>
      </c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ht="18.75" customHeight="1" outlineLevel="1">
      <c r="A17" s="109"/>
      <c r="B17" s="272" t="s">
        <v>677</v>
      </c>
      <c r="C17" s="273"/>
      <c r="D17" s="274">
        <f t="shared" ref="D17:G17" si="4">D10+D13</f>
        <v>5606.75</v>
      </c>
      <c r="E17" s="274">
        <f t="shared" si="4"/>
        <v>0</v>
      </c>
      <c r="F17" s="275">
        <f t="shared" si="4"/>
        <v>4696.75</v>
      </c>
      <c r="G17" s="276">
        <f t="shared" si="4"/>
        <v>910</v>
      </c>
      <c r="H17" s="277">
        <f>rounddown(G17*970.9,0)</f>
        <v>883519</v>
      </c>
      <c r="I17" s="103"/>
      <c r="J17" s="99"/>
      <c r="K17" s="83" t="s">
        <v>554</v>
      </c>
      <c r="L17" s="84" t="s">
        <v>555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ht="18.75" customHeight="1" outlineLevel="1">
      <c r="A18" s="109"/>
      <c r="B18" s="181"/>
      <c r="C18" s="181"/>
      <c r="D18" s="278"/>
      <c r="E18" s="278"/>
      <c r="F18" s="278"/>
      <c r="G18" s="278"/>
      <c r="H18" s="279">
        <f>SUM(H15:H17)</f>
        <v>182317925</v>
      </c>
      <c r="I18" s="103"/>
      <c r="J18" s="99"/>
      <c r="K18" s="83" t="s">
        <v>556</v>
      </c>
      <c r="L18" s="84" t="s">
        <v>557</v>
      </c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03"/>
      <c r="B19" s="136" t="s">
        <v>43</v>
      </c>
      <c r="C19" s="136"/>
      <c r="D19" s="136"/>
      <c r="E19" s="137"/>
      <c r="F19" s="137"/>
      <c r="G19" s="136"/>
      <c r="H19" s="280"/>
      <c r="I19" s="138"/>
      <c r="J19" s="99"/>
      <c r="K19" s="99"/>
      <c r="L19" s="99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15"/>
      <c r="B20" s="182" t="s">
        <v>6</v>
      </c>
      <c r="C20" s="182" t="s">
        <v>44</v>
      </c>
      <c r="D20" s="182" t="s">
        <v>45</v>
      </c>
      <c r="E20" s="182" t="s">
        <v>46</v>
      </c>
      <c r="F20" s="182" t="s">
        <v>47</v>
      </c>
      <c r="G20" s="183" t="s">
        <v>48</v>
      </c>
      <c r="H20" s="182" t="s">
        <v>1</v>
      </c>
      <c r="I20" s="141"/>
      <c r="J20" s="99"/>
      <c r="K20" s="99"/>
      <c r="L20" s="99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5.0" customHeight="1">
      <c r="A21" s="105"/>
      <c r="B21" s="281" t="s">
        <v>551</v>
      </c>
      <c r="C21" s="282" t="s">
        <v>748</v>
      </c>
      <c r="D21" s="282" t="s">
        <v>749</v>
      </c>
      <c r="E21" s="283">
        <v>0.0</v>
      </c>
      <c r="F21" s="284">
        <v>99975.6</v>
      </c>
      <c r="G21" s="285" t="s">
        <v>679</v>
      </c>
      <c r="H21" s="286" t="s">
        <v>556</v>
      </c>
      <c r="I21" s="107"/>
      <c r="J21" s="99"/>
      <c r="K21" s="99"/>
      <c r="L21" s="99"/>
      <c r="M21" s="99"/>
      <c r="N21" s="99"/>
      <c r="O21" s="99"/>
      <c r="P21" s="99"/>
      <c r="Q21" s="99"/>
      <c r="R21" s="99"/>
      <c r="S21" s="99"/>
      <c r="T21" s="99"/>
      <c r="U21" s="99"/>
      <c r="V21" s="99"/>
      <c r="W21" s="99"/>
      <c r="X21" s="99"/>
      <c r="Y21" s="99"/>
    </row>
    <row r="22" ht="15.0" customHeight="1">
      <c r="A22" s="105"/>
      <c r="B22" s="281" t="s">
        <v>14</v>
      </c>
      <c r="C22" s="282" t="s">
        <v>750</v>
      </c>
      <c r="D22" s="282" t="s">
        <v>751</v>
      </c>
      <c r="E22" s="283">
        <v>0.0</v>
      </c>
      <c r="F22" s="284">
        <v>825000.0</v>
      </c>
      <c r="G22" s="285" t="s">
        <v>752</v>
      </c>
      <c r="H22" s="286" t="s">
        <v>33</v>
      </c>
      <c r="I22" s="107"/>
      <c r="J22" s="107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">
        <v>14</v>
      </c>
      <c r="C23" s="282" t="s">
        <v>753</v>
      </c>
      <c r="D23" s="282" t="s">
        <v>754</v>
      </c>
      <c r="E23" s="283">
        <v>0.0</v>
      </c>
      <c r="F23" s="284">
        <v>1013092.0</v>
      </c>
      <c r="G23" s="285" t="s">
        <v>755</v>
      </c>
      <c r="H23" s="286" t="s">
        <v>33</v>
      </c>
      <c r="I23" s="107"/>
      <c r="J23" s="107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">
        <v>14</v>
      </c>
      <c r="C24" s="282" t="s">
        <v>750</v>
      </c>
      <c r="D24" s="282" t="s">
        <v>756</v>
      </c>
      <c r="E24" s="283">
        <v>0.0</v>
      </c>
      <c r="F24" s="284">
        <v>110.0</v>
      </c>
      <c r="G24" s="285" t="s">
        <v>757</v>
      </c>
      <c r="H24" s="286" t="s">
        <v>33</v>
      </c>
      <c r="I24" s="107"/>
      <c r="J24" s="107"/>
      <c r="K24" s="99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">
        <v>14</v>
      </c>
      <c r="C25" s="282" t="s">
        <v>758</v>
      </c>
      <c r="D25" s="282" t="s">
        <v>759</v>
      </c>
      <c r="E25" s="283">
        <v>0.0</v>
      </c>
      <c r="F25" s="284">
        <v>200.0</v>
      </c>
      <c r="G25" s="285" t="s">
        <v>760</v>
      </c>
      <c r="H25" s="286" t="s">
        <v>33</v>
      </c>
      <c r="I25" s="107"/>
      <c r="J25" s="107"/>
      <c r="K25" s="99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">
        <v>14</v>
      </c>
      <c r="C26" s="282" t="s">
        <v>761</v>
      </c>
      <c r="D26" s="282" t="s">
        <v>762</v>
      </c>
      <c r="E26" s="283">
        <v>0.0</v>
      </c>
      <c r="F26" s="284">
        <v>4043620.0</v>
      </c>
      <c r="G26" s="285" t="s">
        <v>763</v>
      </c>
      <c r="H26" s="286" t="s">
        <v>31</v>
      </c>
      <c r="I26" s="107"/>
      <c r="J26" s="107"/>
      <c r="K26" s="99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">
        <v>14</v>
      </c>
      <c r="C27" s="282" t="s">
        <v>761</v>
      </c>
      <c r="D27" s="282" t="s">
        <v>764</v>
      </c>
      <c r="E27" s="283">
        <v>0.0</v>
      </c>
      <c r="F27" s="284">
        <v>404290.0</v>
      </c>
      <c r="G27" s="285" t="s">
        <v>765</v>
      </c>
      <c r="H27" s="286" t="s">
        <v>31</v>
      </c>
      <c r="I27" s="107"/>
      <c r="J27" s="107"/>
      <c r="K27" s="99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">
        <v>14</v>
      </c>
      <c r="C28" s="282" t="s">
        <v>766</v>
      </c>
      <c r="D28" s="282" t="s">
        <v>767</v>
      </c>
      <c r="E28" s="283">
        <v>4163130.0</v>
      </c>
      <c r="F28" s="284">
        <v>0.0</v>
      </c>
      <c r="G28" s="285" t="s">
        <v>416</v>
      </c>
      <c r="H28" s="286" t="s">
        <v>36</v>
      </c>
      <c r="I28" s="107"/>
      <c r="J28" s="107"/>
      <c r="K28" s="99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">
        <v>14</v>
      </c>
      <c r="C29" s="282" t="s">
        <v>768</v>
      </c>
      <c r="D29" s="282" t="s">
        <v>231</v>
      </c>
      <c r="E29" s="283">
        <v>0.0</v>
      </c>
      <c r="F29" s="284">
        <v>4406280.0</v>
      </c>
      <c r="G29" s="285" t="s">
        <v>769</v>
      </c>
      <c r="H29" s="286" t="s">
        <v>31</v>
      </c>
      <c r="I29" s="107"/>
      <c r="J29" s="107"/>
      <c r="K29" s="99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">
        <v>14</v>
      </c>
      <c r="C30" s="282" t="s">
        <v>768</v>
      </c>
      <c r="D30" s="282" t="s">
        <v>237</v>
      </c>
      <c r="E30" s="283">
        <v>0.0</v>
      </c>
      <c r="F30" s="284">
        <v>4605900.0</v>
      </c>
      <c r="G30" s="285" t="s">
        <v>770</v>
      </c>
      <c r="H30" s="286" t="s">
        <v>31</v>
      </c>
      <c r="I30" s="107"/>
      <c r="J30" s="107"/>
      <c r="K30" s="99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">
        <v>14</v>
      </c>
      <c r="C31" s="282" t="s">
        <v>768</v>
      </c>
      <c r="D31" s="282" t="s">
        <v>234</v>
      </c>
      <c r="E31" s="283">
        <v>0.0</v>
      </c>
      <c r="F31" s="284">
        <v>1157270.0</v>
      </c>
      <c r="G31" s="285" t="s">
        <v>771</v>
      </c>
      <c r="H31" s="286" t="s">
        <v>31</v>
      </c>
      <c r="I31" s="107"/>
      <c r="J31" s="107"/>
      <c r="K31" s="99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">
        <v>14</v>
      </c>
      <c r="C32" s="282" t="s">
        <v>768</v>
      </c>
      <c r="D32" s="282" t="s">
        <v>234</v>
      </c>
      <c r="E32" s="283">
        <v>0.0</v>
      </c>
      <c r="F32" s="284">
        <v>428860.0</v>
      </c>
      <c r="G32" s="285" t="s">
        <v>772</v>
      </c>
      <c r="H32" s="286" t="s">
        <v>31</v>
      </c>
      <c r="I32" s="107"/>
      <c r="J32" s="107"/>
      <c r="K32" s="99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">
        <v>14</v>
      </c>
      <c r="C33" s="282" t="s">
        <v>768</v>
      </c>
      <c r="D33" s="282" t="s">
        <v>57</v>
      </c>
      <c r="E33" s="283">
        <v>0.0</v>
      </c>
      <c r="F33" s="287">
        <v>1.00005E7</v>
      </c>
      <c r="G33" s="285" t="s">
        <v>773</v>
      </c>
      <c r="H33" s="286" t="s">
        <v>33</v>
      </c>
      <c r="I33" s="107"/>
      <c r="J33" s="107"/>
      <c r="K33" s="99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">
        <v>14</v>
      </c>
      <c r="C34" s="282" t="s">
        <v>748</v>
      </c>
      <c r="D34" s="282" t="s">
        <v>679</v>
      </c>
      <c r="E34" s="283">
        <v>1.32637628E8</v>
      </c>
      <c r="F34" s="284"/>
      <c r="G34" s="285" t="s">
        <v>774</v>
      </c>
      <c r="H34" s="286" t="s">
        <v>556</v>
      </c>
      <c r="I34" s="107"/>
      <c r="J34" s="107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">
        <v>14</v>
      </c>
      <c r="C35" s="282" t="s">
        <v>748</v>
      </c>
      <c r="D35" s="282" t="s">
        <v>775</v>
      </c>
      <c r="E35" s="283">
        <v>0.0</v>
      </c>
      <c r="F35" s="287">
        <v>330500.0</v>
      </c>
      <c r="G35" s="285" t="s">
        <v>775</v>
      </c>
      <c r="H35" s="286" t="s">
        <v>33</v>
      </c>
      <c r="I35" s="107"/>
      <c r="J35" s="107"/>
      <c r="K35" s="288">
        <f>F15-SUM(F33,F35,F43,F46,F63,F64,F65)</f>
        <v>84736891</v>
      </c>
      <c r="L35" s="138" t="s">
        <v>776</v>
      </c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">
        <v>14</v>
      </c>
      <c r="C36" s="282" t="s">
        <v>748</v>
      </c>
      <c r="D36" s="282" t="s">
        <v>777</v>
      </c>
      <c r="E36" s="283">
        <v>0.0</v>
      </c>
      <c r="F36" s="284">
        <v>110.0</v>
      </c>
      <c r="G36" s="285" t="s">
        <v>778</v>
      </c>
      <c r="H36" s="286" t="s">
        <v>33</v>
      </c>
      <c r="I36" s="107"/>
      <c r="J36" s="107"/>
      <c r="K36" s="289">
        <f>K35-SUM(F62,F66)</f>
        <v>78760310</v>
      </c>
      <c r="L36" s="138" t="s">
        <v>779</v>
      </c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">
        <v>14</v>
      </c>
      <c r="C37" s="282" t="s">
        <v>748</v>
      </c>
      <c r="D37" s="282" t="s">
        <v>777</v>
      </c>
      <c r="E37" s="283">
        <v>0.0</v>
      </c>
      <c r="F37" s="284">
        <v>110.0</v>
      </c>
      <c r="G37" s="285" t="s">
        <v>778</v>
      </c>
      <c r="H37" s="286" t="s">
        <v>33</v>
      </c>
      <c r="I37" s="107"/>
      <c r="J37" s="107"/>
      <c r="K37" s="290">
        <f>SUM(F69:F82)*1300</f>
        <v>24873758</v>
      </c>
      <c r="L37" s="138" t="s">
        <v>780</v>
      </c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">
        <v>14</v>
      </c>
      <c r="C38" s="282" t="s">
        <v>748</v>
      </c>
      <c r="D38" s="282" t="s">
        <v>777</v>
      </c>
      <c r="E38" s="283">
        <v>0.0</v>
      </c>
      <c r="F38" s="284">
        <v>110.0</v>
      </c>
      <c r="G38" s="285" t="s">
        <v>778</v>
      </c>
      <c r="H38" s="286" t="s">
        <v>33</v>
      </c>
      <c r="I38" s="107"/>
      <c r="J38" s="107"/>
      <c r="K38" s="101">
        <f>SUM(K36:K37)</f>
        <v>103634068</v>
      </c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">
        <v>14</v>
      </c>
      <c r="C39" s="282" t="s">
        <v>748</v>
      </c>
      <c r="D39" s="282" t="s">
        <v>777</v>
      </c>
      <c r="E39" s="283">
        <v>0.0</v>
      </c>
      <c r="F39" s="284">
        <v>550.0</v>
      </c>
      <c r="G39" s="285" t="s">
        <v>778</v>
      </c>
      <c r="H39" s="286" t="s">
        <v>33</v>
      </c>
      <c r="I39" s="107"/>
      <c r="J39" s="107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">
        <v>14</v>
      </c>
      <c r="C40" s="282" t="s">
        <v>781</v>
      </c>
      <c r="D40" s="282" t="s">
        <v>782</v>
      </c>
      <c r="E40" s="283">
        <v>0.0</v>
      </c>
      <c r="F40" s="284">
        <v>17000.0</v>
      </c>
      <c r="G40" s="285" t="s">
        <v>783</v>
      </c>
      <c r="H40" s="286" t="s">
        <v>33</v>
      </c>
      <c r="I40" s="107"/>
      <c r="J40" s="107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">
        <v>14</v>
      </c>
      <c r="C41" s="282" t="s">
        <v>784</v>
      </c>
      <c r="D41" s="282" t="s">
        <v>785</v>
      </c>
      <c r="E41" s="283">
        <v>0.0</v>
      </c>
      <c r="F41" s="284">
        <v>9000.0</v>
      </c>
      <c r="G41" s="285" t="s">
        <v>785</v>
      </c>
      <c r="H41" s="286" t="s">
        <v>33</v>
      </c>
      <c r="I41" s="107"/>
      <c r="J41" s="107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">
        <v>14</v>
      </c>
      <c r="C42" s="282" t="s">
        <v>784</v>
      </c>
      <c r="D42" s="282" t="s">
        <v>786</v>
      </c>
      <c r="E42" s="283">
        <v>165000.0</v>
      </c>
      <c r="F42" s="284">
        <v>0.0</v>
      </c>
      <c r="G42" s="285" t="s">
        <v>787</v>
      </c>
      <c r="H42" s="286" t="s">
        <v>36</v>
      </c>
      <c r="I42" s="107"/>
      <c r="J42" s="107"/>
      <c r="K42" s="99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">
        <v>14</v>
      </c>
      <c r="C43" s="282" t="s">
        <v>788</v>
      </c>
      <c r="D43" s="282" t="s">
        <v>789</v>
      </c>
      <c r="E43" s="283">
        <v>0.0</v>
      </c>
      <c r="F43" s="287">
        <v>7.00005E7</v>
      </c>
      <c r="G43" s="285" t="s">
        <v>790</v>
      </c>
      <c r="H43" s="286" t="s">
        <v>33</v>
      </c>
      <c r="I43" s="107"/>
      <c r="J43" s="107"/>
      <c r="K43" s="99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">
        <v>14</v>
      </c>
      <c r="C44" s="282" t="s">
        <v>791</v>
      </c>
      <c r="D44" s="282" t="s">
        <v>792</v>
      </c>
      <c r="E44" s="283">
        <v>0.0</v>
      </c>
      <c r="F44" s="284">
        <v>325500.0</v>
      </c>
      <c r="G44" s="285" t="s">
        <v>793</v>
      </c>
      <c r="H44" s="286" t="s">
        <v>33</v>
      </c>
      <c r="I44" s="107"/>
      <c r="J44" s="107"/>
      <c r="K44" s="99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">
        <v>14</v>
      </c>
      <c r="C45" s="282" t="s">
        <v>791</v>
      </c>
      <c r="D45" s="282" t="s">
        <v>794</v>
      </c>
      <c r="E45" s="283">
        <v>0.0</v>
      </c>
      <c r="F45" s="284">
        <v>300500.0</v>
      </c>
      <c r="G45" s="285" t="s">
        <v>795</v>
      </c>
      <c r="H45" s="286" t="s">
        <v>33</v>
      </c>
      <c r="I45" s="107"/>
      <c r="J45" s="107"/>
      <c r="K45" s="99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">
        <v>14</v>
      </c>
      <c r="C46" s="282" t="s">
        <v>791</v>
      </c>
      <c r="D46" s="282" t="s">
        <v>796</v>
      </c>
      <c r="E46" s="283">
        <v>0.0</v>
      </c>
      <c r="F46" s="287">
        <v>4752500.0</v>
      </c>
      <c r="G46" s="285" t="s">
        <v>797</v>
      </c>
      <c r="H46" s="286" t="s">
        <v>33</v>
      </c>
      <c r="I46" s="107"/>
      <c r="J46" s="107"/>
      <c r="K46" s="99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">
        <v>14</v>
      </c>
      <c r="C47" s="282" t="s">
        <v>791</v>
      </c>
      <c r="D47" s="282" t="s">
        <v>798</v>
      </c>
      <c r="E47" s="283">
        <v>0.0</v>
      </c>
      <c r="F47" s="284">
        <v>100000.0</v>
      </c>
      <c r="G47" s="285" t="s">
        <v>799</v>
      </c>
      <c r="H47" s="286" t="s">
        <v>33</v>
      </c>
      <c r="I47" s="107"/>
      <c r="J47" s="107"/>
      <c r="K47" s="99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">
        <v>14</v>
      </c>
      <c r="C48" s="282" t="s">
        <v>800</v>
      </c>
      <c r="D48" s="282" t="s">
        <v>801</v>
      </c>
      <c r="E48" s="283">
        <v>0.0</v>
      </c>
      <c r="F48" s="284">
        <v>5726328.0</v>
      </c>
      <c r="G48" s="285" t="s">
        <v>802</v>
      </c>
      <c r="H48" s="286" t="s">
        <v>41</v>
      </c>
      <c r="I48" s="107"/>
      <c r="J48" s="107"/>
      <c r="K48" s="99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">
        <v>14</v>
      </c>
      <c r="C49" s="282" t="s">
        <v>800</v>
      </c>
      <c r="D49" s="282" t="s">
        <v>801</v>
      </c>
      <c r="E49" s="283">
        <v>0.0</v>
      </c>
      <c r="F49" s="284">
        <v>5415408.0</v>
      </c>
      <c r="G49" s="285" t="s">
        <v>803</v>
      </c>
      <c r="H49" s="286" t="s">
        <v>41</v>
      </c>
      <c r="I49" s="107"/>
      <c r="J49" s="107"/>
      <c r="K49" s="99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">
        <v>14</v>
      </c>
      <c r="C50" s="282" t="s">
        <v>800</v>
      </c>
      <c r="D50" s="282" t="s">
        <v>801</v>
      </c>
      <c r="E50" s="283">
        <v>0.0</v>
      </c>
      <c r="F50" s="284">
        <v>5412708.0</v>
      </c>
      <c r="G50" s="285" t="s">
        <v>804</v>
      </c>
      <c r="H50" s="286" t="s">
        <v>41</v>
      </c>
      <c r="I50" s="107"/>
      <c r="J50" s="107"/>
      <c r="K50" s="99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">
        <v>14</v>
      </c>
      <c r="C51" s="282" t="s">
        <v>800</v>
      </c>
      <c r="D51" s="282" t="s">
        <v>801</v>
      </c>
      <c r="E51" s="283">
        <v>0.0</v>
      </c>
      <c r="F51" s="284">
        <v>5727278.0</v>
      </c>
      <c r="G51" s="285" t="s">
        <v>805</v>
      </c>
      <c r="H51" s="286" t="s">
        <v>41</v>
      </c>
      <c r="I51" s="107"/>
      <c r="J51" s="107"/>
      <c r="K51" s="99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">
        <v>14</v>
      </c>
      <c r="C52" s="282" t="s">
        <v>800</v>
      </c>
      <c r="D52" s="282" t="s">
        <v>801</v>
      </c>
      <c r="E52" s="283">
        <v>0.0</v>
      </c>
      <c r="F52" s="284">
        <v>3019615.0</v>
      </c>
      <c r="G52" s="285" t="s">
        <v>806</v>
      </c>
      <c r="H52" s="286" t="s">
        <v>41</v>
      </c>
      <c r="I52" s="107"/>
      <c r="J52" s="107"/>
      <c r="K52" s="99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">
        <v>14</v>
      </c>
      <c r="C53" s="282" t="s">
        <v>800</v>
      </c>
      <c r="D53" s="282" t="s">
        <v>801</v>
      </c>
      <c r="E53" s="283">
        <v>0.0</v>
      </c>
      <c r="F53" s="284">
        <v>4886010.0</v>
      </c>
      <c r="G53" s="285" t="s">
        <v>807</v>
      </c>
      <c r="H53" s="286" t="s">
        <v>41</v>
      </c>
      <c r="I53" s="107"/>
      <c r="J53" s="107"/>
      <c r="K53" s="99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">
        <v>14</v>
      </c>
      <c r="C54" s="282" t="s">
        <v>800</v>
      </c>
      <c r="D54" s="282" t="s">
        <v>801</v>
      </c>
      <c r="E54" s="283">
        <v>0.0</v>
      </c>
      <c r="F54" s="284">
        <v>6427734.0</v>
      </c>
      <c r="G54" s="285" t="s">
        <v>808</v>
      </c>
      <c r="H54" s="286" t="s">
        <v>41</v>
      </c>
      <c r="I54" s="107"/>
      <c r="J54" s="107"/>
      <c r="K54" s="99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">
        <v>14</v>
      </c>
      <c r="C55" s="282" t="s">
        <v>800</v>
      </c>
      <c r="D55" s="282" t="s">
        <v>801</v>
      </c>
      <c r="E55" s="283">
        <v>0.0</v>
      </c>
      <c r="F55" s="284">
        <v>4539177.0</v>
      </c>
      <c r="G55" s="285" t="s">
        <v>809</v>
      </c>
      <c r="H55" s="286" t="s">
        <v>41</v>
      </c>
      <c r="I55" s="107"/>
      <c r="J55" s="107"/>
      <c r="K55" s="99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">
        <v>14</v>
      </c>
      <c r="C56" s="282" t="s">
        <v>800</v>
      </c>
      <c r="D56" s="282" t="s">
        <v>801</v>
      </c>
      <c r="E56" s="283">
        <v>0.0</v>
      </c>
      <c r="F56" s="284">
        <v>4560660.0</v>
      </c>
      <c r="G56" s="285" t="s">
        <v>810</v>
      </c>
      <c r="H56" s="286" t="s">
        <v>41</v>
      </c>
      <c r="I56" s="107"/>
      <c r="J56" s="107"/>
      <c r="K56" s="99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">
        <v>14</v>
      </c>
      <c r="C57" s="282" t="s">
        <v>800</v>
      </c>
      <c r="D57" s="282" t="s">
        <v>801</v>
      </c>
      <c r="E57" s="283">
        <v>0.0</v>
      </c>
      <c r="F57" s="284">
        <v>4223070.0</v>
      </c>
      <c r="G57" s="285" t="s">
        <v>811</v>
      </c>
      <c r="H57" s="286" t="s">
        <v>41</v>
      </c>
      <c r="I57" s="107"/>
      <c r="J57" s="107"/>
      <c r="K57" s="99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">
        <v>14</v>
      </c>
      <c r="C58" s="282" t="s">
        <v>800</v>
      </c>
      <c r="D58" s="282" t="s">
        <v>801</v>
      </c>
      <c r="E58" s="283">
        <v>0.0</v>
      </c>
      <c r="F58" s="284">
        <v>6238180.0</v>
      </c>
      <c r="G58" s="285" t="s">
        <v>812</v>
      </c>
      <c r="H58" s="286" t="s">
        <v>41</v>
      </c>
      <c r="I58" s="107"/>
      <c r="J58" s="107"/>
      <c r="K58" s="99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">
        <v>14</v>
      </c>
      <c r="C59" s="282" t="s">
        <v>800</v>
      </c>
      <c r="D59" s="282" t="s">
        <v>801</v>
      </c>
      <c r="E59" s="283">
        <v>0.0</v>
      </c>
      <c r="F59" s="284">
        <v>4506640.0</v>
      </c>
      <c r="G59" s="285" t="s">
        <v>813</v>
      </c>
      <c r="H59" s="286" t="s">
        <v>41</v>
      </c>
      <c r="I59" s="107"/>
      <c r="J59" s="107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">
        <v>14</v>
      </c>
      <c r="C60" s="282" t="s">
        <v>800</v>
      </c>
      <c r="D60" s="282" t="s">
        <v>497</v>
      </c>
      <c r="E60" s="291">
        <v>0.0</v>
      </c>
      <c r="F60" s="292">
        <v>330000.0</v>
      </c>
      <c r="G60" s="285" t="s">
        <v>814</v>
      </c>
      <c r="H60" s="286" t="s">
        <v>33</v>
      </c>
      <c r="I60" s="107"/>
      <c r="J60" s="107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">
        <v>14</v>
      </c>
      <c r="C61" s="282" t="s">
        <v>800</v>
      </c>
      <c r="D61" s="282" t="s">
        <v>604</v>
      </c>
      <c r="E61" s="291">
        <v>0.0</v>
      </c>
      <c r="F61" s="292">
        <v>110000.0</v>
      </c>
      <c r="G61" s="285" t="s">
        <v>815</v>
      </c>
      <c r="H61" s="286" t="s">
        <v>33</v>
      </c>
      <c r="I61" s="107"/>
      <c r="J61" s="107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">
        <v>14</v>
      </c>
      <c r="C62" s="282" t="s">
        <v>800</v>
      </c>
      <c r="D62" s="282" t="s">
        <v>623</v>
      </c>
      <c r="E62" s="291">
        <v>0.0</v>
      </c>
      <c r="F62" s="293">
        <v>3661396.0</v>
      </c>
      <c r="G62" s="294" t="s">
        <v>816</v>
      </c>
      <c r="H62" s="286" t="s">
        <v>33</v>
      </c>
      <c r="I62" s="107"/>
      <c r="J62" s="107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">
        <v>14</v>
      </c>
      <c r="C63" s="282" t="s">
        <v>817</v>
      </c>
      <c r="D63" s="282" t="s">
        <v>818</v>
      </c>
      <c r="E63" s="291">
        <v>0.0</v>
      </c>
      <c r="F63" s="295">
        <v>2286500.0</v>
      </c>
      <c r="G63" s="285" t="s">
        <v>819</v>
      </c>
      <c r="H63" s="286" t="s">
        <v>24</v>
      </c>
      <c r="I63" s="107"/>
      <c r="J63" s="107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">
        <v>14</v>
      </c>
      <c r="C64" s="282" t="s">
        <v>820</v>
      </c>
      <c r="D64" s="282" t="s">
        <v>821</v>
      </c>
      <c r="E64" s="291">
        <v>0.0</v>
      </c>
      <c r="F64" s="295">
        <v>60500.0</v>
      </c>
      <c r="G64" s="285" t="s">
        <v>822</v>
      </c>
      <c r="H64" s="286" t="s">
        <v>33</v>
      </c>
      <c r="I64" s="107"/>
      <c r="J64" s="107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">
        <v>14</v>
      </c>
      <c r="C65" s="282" t="s">
        <v>823</v>
      </c>
      <c r="D65" s="282" t="s">
        <v>824</v>
      </c>
      <c r="E65" s="291">
        <v>0.0</v>
      </c>
      <c r="F65" s="295">
        <v>2076500.0</v>
      </c>
      <c r="G65" s="285" t="s">
        <v>825</v>
      </c>
      <c r="H65" s="286" t="s">
        <v>39</v>
      </c>
      <c r="I65" s="107"/>
      <c r="J65" s="107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">
        <v>552</v>
      </c>
      <c r="C66" s="282" t="s">
        <v>800</v>
      </c>
      <c r="D66" s="282" t="s">
        <v>721</v>
      </c>
      <c r="E66" s="291">
        <v>0.0</v>
      </c>
      <c r="F66" s="293">
        <v>2315185.0</v>
      </c>
      <c r="G66" s="294" t="s">
        <v>826</v>
      </c>
      <c r="H66" s="286" t="s">
        <v>33</v>
      </c>
      <c r="I66" s="107"/>
      <c r="J66" s="107"/>
      <c r="K66" s="99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">
        <v>747</v>
      </c>
      <c r="C67" s="282" t="s">
        <v>827</v>
      </c>
      <c r="D67" s="282" t="s">
        <v>828</v>
      </c>
      <c r="E67" s="291">
        <v>0.0</v>
      </c>
      <c r="F67" s="292">
        <v>10.0</v>
      </c>
      <c r="G67" s="285" t="s">
        <v>829</v>
      </c>
      <c r="H67" s="286" t="s">
        <v>33</v>
      </c>
      <c r="I67" s="107"/>
      <c r="J67" s="107"/>
      <c r="K67" s="99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">
        <v>747</v>
      </c>
      <c r="C68" s="282" t="s">
        <v>823</v>
      </c>
      <c r="D68" s="282" t="s">
        <v>828</v>
      </c>
      <c r="E68" s="291">
        <v>0.0</v>
      </c>
      <c r="F68" s="292">
        <v>10.0</v>
      </c>
      <c r="G68" s="285" t="s">
        <v>829</v>
      </c>
      <c r="H68" s="286" t="s">
        <v>33</v>
      </c>
      <c r="I68" s="107"/>
      <c r="J68" s="107"/>
      <c r="K68" s="99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">
        <v>22</v>
      </c>
      <c r="C69" s="282" t="s">
        <v>753</v>
      </c>
      <c r="D69" s="282" t="s">
        <v>830</v>
      </c>
      <c r="E69" s="291">
        <v>0.0</v>
      </c>
      <c r="F69" s="292">
        <v>650.1</v>
      </c>
      <c r="G69" s="285" t="s">
        <v>516</v>
      </c>
      <c r="H69" s="286" t="s">
        <v>33</v>
      </c>
      <c r="I69" s="107"/>
      <c r="J69" s="107"/>
      <c r="K69" s="99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">
        <v>22</v>
      </c>
      <c r="C70" s="282" t="s">
        <v>831</v>
      </c>
      <c r="D70" s="282" t="s">
        <v>832</v>
      </c>
      <c r="E70" s="291">
        <v>0.0</v>
      </c>
      <c r="F70" s="292">
        <v>1000.0</v>
      </c>
      <c r="G70" s="285" t="s">
        <v>516</v>
      </c>
      <c r="H70" s="286" t="s">
        <v>33</v>
      </c>
      <c r="I70" s="107"/>
      <c r="J70" s="107"/>
      <c r="K70" s="99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">
        <v>22</v>
      </c>
      <c r="C71" s="282" t="s">
        <v>768</v>
      </c>
      <c r="D71" s="282" t="s">
        <v>833</v>
      </c>
      <c r="E71" s="291">
        <v>0.0</v>
      </c>
      <c r="F71" s="292">
        <v>1000.0</v>
      </c>
      <c r="G71" s="285" t="s">
        <v>516</v>
      </c>
      <c r="H71" s="286" t="s">
        <v>33</v>
      </c>
      <c r="I71" s="107"/>
      <c r="J71" s="107"/>
      <c r="K71" s="99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">
        <v>22</v>
      </c>
      <c r="C72" s="282" t="s">
        <v>748</v>
      </c>
      <c r="D72" s="282" t="s">
        <v>834</v>
      </c>
      <c r="E72" s="291">
        <v>0.0</v>
      </c>
      <c r="F72" s="292">
        <v>1000.0</v>
      </c>
      <c r="G72" s="285" t="s">
        <v>516</v>
      </c>
      <c r="H72" s="286" t="s">
        <v>33</v>
      </c>
      <c r="I72" s="107"/>
      <c r="J72" s="107"/>
      <c r="K72" s="99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">
        <v>22</v>
      </c>
      <c r="C73" s="282" t="s">
        <v>835</v>
      </c>
      <c r="D73" s="282" t="s">
        <v>836</v>
      </c>
      <c r="E73" s="291">
        <v>0.0</v>
      </c>
      <c r="F73" s="292">
        <v>1000.0</v>
      </c>
      <c r="G73" s="285" t="s">
        <v>516</v>
      </c>
      <c r="H73" s="286" t="s">
        <v>33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">
        <v>22</v>
      </c>
      <c r="C74" s="282" t="s">
        <v>788</v>
      </c>
      <c r="D74" s="282" t="s">
        <v>837</v>
      </c>
      <c r="E74" s="291">
        <v>0.0</v>
      </c>
      <c r="F74" s="292">
        <v>26.65</v>
      </c>
      <c r="G74" s="285" t="s">
        <v>516</v>
      </c>
      <c r="H74" s="286" t="s">
        <v>33</v>
      </c>
      <c r="I74" s="107"/>
      <c r="J74" s="107"/>
      <c r="K74" s="99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">
        <v>18</v>
      </c>
      <c r="C75" s="282" t="s">
        <v>750</v>
      </c>
      <c r="D75" s="282" t="s">
        <v>838</v>
      </c>
      <c r="E75" s="291">
        <v>0.0</v>
      </c>
      <c r="F75" s="292">
        <v>9936.39</v>
      </c>
      <c r="G75" s="285" t="s">
        <v>839</v>
      </c>
      <c r="H75" s="286" t="s">
        <v>41</v>
      </c>
      <c r="I75" s="107"/>
      <c r="J75" s="107"/>
      <c r="K75" s="99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">
        <v>18</v>
      </c>
      <c r="C76" s="282" t="s">
        <v>827</v>
      </c>
      <c r="D76" s="296" t="s">
        <v>840</v>
      </c>
      <c r="E76" s="291">
        <v>0.0</v>
      </c>
      <c r="F76" s="292">
        <v>118.0</v>
      </c>
      <c r="G76" s="285" t="s">
        <v>841</v>
      </c>
      <c r="H76" s="286" t="s">
        <v>33</v>
      </c>
      <c r="I76" s="107"/>
      <c r="J76" s="107"/>
      <c r="K76" s="99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">
        <v>18</v>
      </c>
      <c r="C77" s="282" t="s">
        <v>748</v>
      </c>
      <c r="D77" s="296" t="s">
        <v>542</v>
      </c>
      <c r="E77" s="291">
        <v>0.0</v>
      </c>
      <c r="F77" s="292">
        <v>10.0</v>
      </c>
      <c r="G77" s="285" t="s">
        <v>842</v>
      </c>
      <c r="H77" s="286" t="s">
        <v>33</v>
      </c>
      <c r="I77" s="107"/>
      <c r="J77" s="107"/>
      <c r="K77" s="99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">
        <v>18</v>
      </c>
      <c r="C78" s="282" t="s">
        <v>843</v>
      </c>
      <c r="D78" s="282" t="s">
        <v>837</v>
      </c>
      <c r="E78" s="291">
        <v>0.0</v>
      </c>
      <c r="F78" s="292">
        <v>707.66</v>
      </c>
      <c r="G78" s="285" t="s">
        <v>516</v>
      </c>
      <c r="H78" s="286" t="s">
        <v>33</v>
      </c>
      <c r="I78" s="107"/>
      <c r="J78" s="141"/>
      <c r="K78" s="138">
        <v>1.02719586E8</v>
      </c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">
        <v>18</v>
      </c>
      <c r="C79" s="282" t="s">
        <v>781</v>
      </c>
      <c r="D79" s="282" t="s">
        <v>673</v>
      </c>
      <c r="E79" s="291">
        <v>0.0</v>
      </c>
      <c r="F79" s="292">
        <v>1003.29</v>
      </c>
      <c r="G79" s="285" t="s">
        <v>844</v>
      </c>
      <c r="H79" s="286" t="s">
        <v>33</v>
      </c>
      <c r="I79" s="107"/>
      <c r="J79" s="141"/>
      <c r="K79" s="138">
        <v>0.0</v>
      </c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">
        <v>18</v>
      </c>
      <c r="C80" s="282" t="s">
        <v>800</v>
      </c>
      <c r="D80" s="282" t="s">
        <v>526</v>
      </c>
      <c r="E80" s="291">
        <v>0.0</v>
      </c>
      <c r="F80" s="292">
        <v>1219.53</v>
      </c>
      <c r="G80" s="285" t="s">
        <v>845</v>
      </c>
      <c r="H80" s="286" t="s">
        <v>41</v>
      </c>
      <c r="I80" s="107"/>
      <c r="J80" s="141"/>
      <c r="K80" s="138">
        <v>2.7431734E7</v>
      </c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">
        <v>18</v>
      </c>
      <c r="C81" s="282" t="s">
        <v>800</v>
      </c>
      <c r="D81" s="282" t="s">
        <v>846</v>
      </c>
      <c r="E81" s="291">
        <v>0.0</v>
      </c>
      <c r="F81" s="292">
        <v>730.31</v>
      </c>
      <c r="G81" s="285" t="s">
        <v>516</v>
      </c>
      <c r="H81" s="286" t="s">
        <v>33</v>
      </c>
      <c r="I81" s="107"/>
      <c r="J81" s="141"/>
      <c r="K81" s="138">
        <v>0.0</v>
      </c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">
        <v>18</v>
      </c>
      <c r="C82" s="282" t="s">
        <v>820</v>
      </c>
      <c r="D82" s="282" t="s">
        <v>847</v>
      </c>
      <c r="E82" s="291">
        <v>0.0</v>
      </c>
      <c r="F82" s="292">
        <v>731.73</v>
      </c>
      <c r="G82" s="285" t="s">
        <v>516</v>
      </c>
      <c r="H82" s="286" t="s">
        <v>33</v>
      </c>
      <c r="I82" s="107"/>
      <c r="J82" s="141"/>
      <c r="K82" s="138">
        <v>32821.56</v>
      </c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92"/>
      <c r="G83" s="285"/>
      <c r="H83" s="286"/>
      <c r="I83" s="107"/>
      <c r="J83" s="141"/>
      <c r="K83" s="138">
        <v>0.0</v>
      </c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92"/>
      <c r="G84" s="285"/>
      <c r="H84" s="286"/>
      <c r="I84" s="107"/>
      <c r="J84" s="141"/>
      <c r="K84" s="138">
        <v>0.0</v>
      </c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83"/>
      <c r="F85" s="284"/>
      <c r="G85" s="285"/>
      <c r="H85" s="286"/>
      <c r="I85" s="107"/>
      <c r="J85" s="141"/>
      <c r="K85" s="138">
        <v>7121.24</v>
      </c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83"/>
      <c r="F86" s="284"/>
      <c r="G86" s="285"/>
      <c r="H86" s="286"/>
      <c r="I86" s="107"/>
      <c r="J86" s="141"/>
      <c r="K86" s="138">
        <v>920.0</v>
      </c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83"/>
      <c r="F87" s="284"/>
      <c r="G87" s="285"/>
      <c r="H87" s="286"/>
      <c r="I87" s="107"/>
      <c r="J87" s="107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83"/>
      <c r="F88" s="284"/>
      <c r="G88" s="285"/>
      <c r="H88" s="286"/>
      <c r="I88" s="107"/>
      <c r="J88" s="107"/>
      <c r="K88" s="99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83"/>
      <c r="F89" s="284"/>
      <c r="G89" s="285"/>
      <c r="H89" s="286"/>
      <c r="I89" s="107"/>
      <c r="J89" s="107"/>
      <c r="K89" s="99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83"/>
      <c r="F90" s="284"/>
      <c r="G90" s="285"/>
      <c r="H90" s="286"/>
      <c r="I90" s="107"/>
      <c r="J90" s="107"/>
      <c r="K90" s="99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83"/>
      <c r="F91" s="284"/>
      <c r="G91" s="285"/>
      <c r="H91" s="286"/>
      <c r="I91" s="107"/>
      <c r="J91" s="107"/>
      <c r="K91" s="99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83"/>
      <c r="F92" s="284"/>
      <c r="G92" s="285"/>
      <c r="H92" s="286"/>
      <c r="I92" s="107"/>
      <c r="J92" s="107"/>
      <c r="K92" s="99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83"/>
      <c r="F93" s="284"/>
      <c r="G93" s="285"/>
      <c r="H93" s="286"/>
      <c r="I93" s="107"/>
      <c r="J93" s="107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83"/>
      <c r="F94" s="284"/>
      <c r="G94" s="285"/>
      <c r="H94" s="286"/>
      <c r="I94" s="107"/>
      <c r="J94" s="107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83"/>
      <c r="F95" s="284"/>
      <c r="G95" s="285"/>
      <c r="H95" s="286"/>
      <c r="I95" s="107"/>
      <c r="J95" s="107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83"/>
      <c r="F96" s="284"/>
      <c r="G96" s="285"/>
      <c r="H96" s="286"/>
      <c r="I96" s="107"/>
      <c r="J96" s="107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83"/>
      <c r="F97" s="284"/>
      <c r="G97" s="285"/>
      <c r="H97" s="286"/>
      <c r="I97" s="107"/>
      <c r="J97" s="107"/>
      <c r="K97" s="99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83"/>
      <c r="F98" s="284"/>
      <c r="G98" s="285"/>
      <c r="H98" s="286"/>
      <c r="I98" s="107"/>
      <c r="J98" s="107"/>
      <c r="K98" s="99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83"/>
      <c r="F99" s="284"/>
      <c r="G99" s="285"/>
      <c r="H99" s="286"/>
      <c r="I99" s="107"/>
      <c r="J99" s="107"/>
      <c r="K99" s="99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83"/>
      <c r="F100" s="284"/>
      <c r="G100" s="285"/>
      <c r="H100" s="286"/>
      <c r="I100" s="107"/>
      <c r="J100" s="107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83"/>
      <c r="F101" s="284"/>
      <c r="G101" s="285"/>
      <c r="H101" s="286"/>
      <c r="I101" s="107"/>
      <c r="J101" s="107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83"/>
      <c r="F102" s="284"/>
      <c r="G102" s="285"/>
      <c r="H102" s="286"/>
      <c r="I102" s="107"/>
      <c r="J102" s="107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83"/>
      <c r="F103" s="284"/>
      <c r="G103" s="285"/>
      <c r="H103" s="286"/>
      <c r="I103" s="107"/>
      <c r="J103" s="107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83"/>
      <c r="F104" s="284"/>
      <c r="G104" s="285"/>
      <c r="H104" s="286"/>
      <c r="I104" s="107"/>
      <c r="J104" s="107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83"/>
      <c r="F105" s="284"/>
      <c r="G105" s="285"/>
      <c r="H105" s="286"/>
      <c r="I105" s="107"/>
      <c r="J105" s="107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83"/>
      <c r="F106" s="284"/>
      <c r="G106" s="285"/>
      <c r="H106" s="286"/>
      <c r="I106" s="107"/>
      <c r="J106" s="107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83"/>
      <c r="F107" s="284"/>
      <c r="G107" s="285"/>
      <c r="H107" s="286"/>
      <c r="I107" s="107"/>
      <c r="J107" s="107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83"/>
      <c r="F108" s="284"/>
      <c r="G108" s="285"/>
      <c r="H108" s="286"/>
      <c r="I108" s="107"/>
      <c r="J108" s="107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83"/>
      <c r="F109" s="284"/>
      <c r="G109" s="285"/>
      <c r="H109" s="286"/>
      <c r="I109" s="107"/>
      <c r="J109" s="107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83"/>
      <c r="F110" s="284"/>
      <c r="G110" s="285"/>
      <c r="H110" s="286"/>
      <c r="I110" s="107"/>
      <c r="J110" s="107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83"/>
      <c r="F111" s="284"/>
      <c r="G111" s="285"/>
      <c r="H111" s="286"/>
      <c r="I111" s="107"/>
      <c r="J111" s="107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83"/>
      <c r="F112" s="284"/>
      <c r="G112" s="285"/>
      <c r="H112" s="286"/>
      <c r="I112" s="107"/>
      <c r="J112" s="107"/>
      <c r="K112" s="99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83"/>
      <c r="F113" s="284"/>
      <c r="G113" s="285"/>
      <c r="H113" s="286"/>
      <c r="I113" s="107"/>
      <c r="J113" s="107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83"/>
      <c r="F114" s="284"/>
      <c r="G114" s="285"/>
      <c r="H114" s="286"/>
      <c r="I114" s="107"/>
      <c r="J114" s="107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83"/>
      <c r="F115" s="284"/>
      <c r="G115" s="285"/>
      <c r="H115" s="286"/>
      <c r="I115" s="107"/>
      <c r="J115" s="107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83"/>
      <c r="F116" s="284"/>
      <c r="G116" s="285"/>
      <c r="H116" s="286"/>
      <c r="I116" s="107"/>
      <c r="J116" s="107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83"/>
      <c r="F117" s="284"/>
      <c r="G117" s="285"/>
      <c r="H117" s="286"/>
      <c r="I117" s="107"/>
      <c r="J117" s="107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83"/>
      <c r="F118" s="284"/>
      <c r="G118" s="285"/>
      <c r="H118" s="286"/>
      <c r="I118" s="107"/>
      <c r="J118" s="107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83"/>
      <c r="F119" s="284"/>
      <c r="G119" s="285"/>
      <c r="H119" s="286"/>
      <c r="I119" s="107"/>
      <c r="J119" s="107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83"/>
      <c r="F120" s="284"/>
      <c r="G120" s="285"/>
      <c r="H120" s="286"/>
      <c r="I120" s="107"/>
      <c r="J120" s="107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83"/>
      <c r="F121" s="284"/>
      <c r="G121" s="285"/>
      <c r="H121" s="286"/>
      <c r="I121" s="107"/>
      <c r="J121" s="107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83"/>
      <c r="F122" s="284"/>
      <c r="G122" s="285"/>
      <c r="H122" s="286"/>
      <c r="I122" s="107"/>
      <c r="J122" s="107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83"/>
      <c r="F123" s="284"/>
      <c r="G123" s="285"/>
      <c r="H123" s="286"/>
      <c r="I123" s="107"/>
      <c r="J123" s="107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83"/>
      <c r="F124" s="284"/>
      <c r="G124" s="285"/>
      <c r="H124" s="286"/>
      <c r="I124" s="107"/>
      <c r="J124" s="107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83"/>
      <c r="F125" s="284"/>
      <c r="G125" s="285"/>
      <c r="H125" s="286"/>
      <c r="I125" s="107"/>
      <c r="J125" s="107"/>
      <c r="K125" s="99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83"/>
      <c r="F126" s="284"/>
      <c r="G126" s="285"/>
      <c r="H126" s="286"/>
      <c r="I126" s="107"/>
      <c r="J126" s="107"/>
      <c r="K126" s="99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83"/>
      <c r="F127" s="284"/>
      <c r="G127" s="285"/>
      <c r="H127" s="286"/>
      <c r="I127" s="107"/>
      <c r="J127" s="107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83"/>
      <c r="F128" s="284"/>
      <c r="G128" s="285"/>
      <c r="H128" s="286"/>
      <c r="I128" s="107"/>
      <c r="J128" s="107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83"/>
      <c r="F129" s="284"/>
      <c r="G129" s="285"/>
      <c r="H129" s="286"/>
      <c r="I129" s="107"/>
      <c r="J129" s="107"/>
      <c r="K129" s="99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83"/>
      <c r="F130" s="284"/>
      <c r="G130" s="285"/>
      <c r="H130" s="286"/>
      <c r="I130" s="107"/>
      <c r="J130" s="107"/>
      <c r="K130" s="99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83"/>
      <c r="F131" s="284"/>
      <c r="G131" s="285"/>
      <c r="H131" s="286"/>
      <c r="I131" s="107"/>
      <c r="J131" s="107"/>
      <c r="K131" s="99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83"/>
      <c r="F132" s="284"/>
      <c r="G132" s="285"/>
      <c r="H132" s="286"/>
      <c r="I132" s="107"/>
      <c r="J132" s="107"/>
      <c r="K132" s="99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83"/>
      <c r="F133" s="284"/>
      <c r="G133" s="285"/>
      <c r="H133" s="286"/>
      <c r="I133" s="107"/>
      <c r="J133" s="107"/>
      <c r="K133" s="99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83"/>
      <c r="F134" s="284"/>
      <c r="G134" s="285"/>
      <c r="H134" s="286"/>
      <c r="I134" s="107"/>
      <c r="J134" s="107"/>
      <c r="K134" s="99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83"/>
      <c r="F135" s="284"/>
      <c r="G135" s="285"/>
      <c r="H135" s="286"/>
      <c r="I135" s="107"/>
      <c r="J135" s="107"/>
      <c r="K135" s="99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83"/>
      <c r="F136" s="284"/>
      <c r="G136" s="285"/>
      <c r="H136" s="286"/>
      <c r="I136" s="107"/>
      <c r="J136" s="107"/>
      <c r="K136" s="99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83"/>
      <c r="F137" s="284"/>
      <c r="G137" s="285"/>
      <c r="H137" s="286"/>
      <c r="I137" s="107"/>
      <c r="J137" s="107"/>
      <c r="K137" s="99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83"/>
      <c r="F138" s="284"/>
      <c r="G138" s="285"/>
      <c r="H138" s="286"/>
      <c r="I138" s="107"/>
      <c r="J138" s="107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83"/>
      <c r="F139" s="284"/>
      <c r="G139" s="285"/>
      <c r="H139" s="286"/>
      <c r="I139" s="107"/>
      <c r="J139" s="107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83"/>
      <c r="F140" s="284"/>
      <c r="G140" s="285"/>
      <c r="H140" s="286"/>
      <c r="I140" s="107"/>
      <c r="J140" s="107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83"/>
      <c r="F141" s="284"/>
      <c r="G141" s="285"/>
      <c r="H141" s="286"/>
      <c r="I141" s="107"/>
      <c r="J141" s="107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83"/>
      <c r="F142" s="284"/>
      <c r="G142" s="285"/>
      <c r="H142" s="286"/>
      <c r="I142" s="107"/>
      <c r="J142" s="107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83"/>
      <c r="F143" s="284"/>
      <c r="G143" s="285"/>
      <c r="H143" s="286"/>
      <c r="I143" s="107"/>
      <c r="J143" s="107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83"/>
      <c r="F144" s="284"/>
      <c r="G144" s="285"/>
      <c r="H144" s="286"/>
      <c r="I144" s="107"/>
      <c r="J144" s="107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83"/>
      <c r="F145" s="284"/>
      <c r="G145" s="285"/>
      <c r="H145" s="286"/>
      <c r="I145" s="107"/>
      <c r="J145" s="107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83"/>
      <c r="F146" s="284"/>
      <c r="G146" s="285"/>
      <c r="H146" s="286"/>
      <c r="I146" s="107"/>
      <c r="J146" s="107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83"/>
      <c r="F147" s="284"/>
      <c r="G147" s="285"/>
      <c r="H147" s="286"/>
      <c r="I147" s="107"/>
      <c r="J147" s="107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83"/>
      <c r="F148" s="284"/>
      <c r="G148" s="285"/>
      <c r="H148" s="286"/>
      <c r="I148" s="107"/>
      <c r="J148" s="107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83"/>
      <c r="F149" s="284"/>
      <c r="G149" s="285"/>
      <c r="H149" s="286"/>
      <c r="I149" s="107"/>
      <c r="J149" s="107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83"/>
      <c r="F150" s="284"/>
      <c r="G150" s="285"/>
      <c r="H150" s="286"/>
      <c r="I150" s="107"/>
      <c r="J150" s="107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83"/>
      <c r="F151" s="284"/>
      <c r="G151" s="285"/>
      <c r="H151" s="286"/>
      <c r="I151" s="107"/>
      <c r="J151" s="107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83"/>
      <c r="F152" s="284"/>
      <c r="G152" s="285"/>
      <c r="H152" s="286"/>
      <c r="I152" s="107"/>
      <c r="J152" s="107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83"/>
      <c r="F153" s="284"/>
      <c r="G153" s="285"/>
      <c r="H153" s="286"/>
      <c r="I153" s="107"/>
      <c r="J153" s="107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83"/>
      <c r="F154" s="284"/>
      <c r="G154" s="285"/>
      <c r="H154" s="286"/>
      <c r="I154" s="107"/>
      <c r="J154" s="107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83"/>
      <c r="F155" s="284"/>
      <c r="G155" s="285"/>
      <c r="H155" s="286"/>
      <c r="I155" s="107"/>
      <c r="J155" s="107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83"/>
      <c r="F156" s="284"/>
      <c r="G156" s="285"/>
      <c r="H156" s="286"/>
      <c r="I156" s="107"/>
      <c r="J156" s="107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83"/>
      <c r="F157" s="284"/>
      <c r="G157" s="285"/>
      <c r="H157" s="286"/>
      <c r="I157" s="107"/>
      <c r="J157" s="107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83"/>
      <c r="F158" s="284"/>
      <c r="G158" s="285"/>
      <c r="H158" s="286"/>
      <c r="I158" s="107"/>
      <c r="J158" s="107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83"/>
      <c r="F159" s="284"/>
      <c r="G159" s="285"/>
      <c r="H159" s="286"/>
      <c r="I159" s="107"/>
      <c r="J159" s="107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83"/>
      <c r="F160" s="284"/>
      <c r="G160" s="285"/>
      <c r="H160" s="286"/>
      <c r="I160" s="107"/>
      <c r="J160" s="107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83"/>
      <c r="F161" s="284"/>
      <c r="G161" s="285"/>
      <c r="H161" s="286"/>
      <c r="I161" s="107"/>
      <c r="J161" s="107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83"/>
      <c r="F162" s="284"/>
      <c r="G162" s="285"/>
      <c r="H162" s="286"/>
      <c r="I162" s="107"/>
      <c r="J162" s="107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83"/>
      <c r="F163" s="284"/>
      <c r="G163" s="285"/>
      <c r="H163" s="286"/>
      <c r="I163" s="107"/>
      <c r="J163" s="107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83"/>
      <c r="F164" s="284"/>
      <c r="G164" s="285"/>
      <c r="H164" s="286"/>
      <c r="I164" s="107"/>
      <c r="J164" s="107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83"/>
      <c r="F165" s="284"/>
      <c r="G165" s="285"/>
      <c r="H165" s="286"/>
      <c r="I165" s="107"/>
      <c r="J165" s="107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83"/>
      <c r="F166" s="284"/>
      <c r="G166" s="285"/>
      <c r="H166" s="286"/>
      <c r="I166" s="107"/>
      <c r="J166" s="107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83"/>
      <c r="F167" s="284"/>
      <c r="G167" s="285"/>
      <c r="H167" s="286"/>
      <c r="I167" s="107"/>
      <c r="J167" s="107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83"/>
      <c r="F168" s="284"/>
      <c r="G168" s="285"/>
      <c r="H168" s="286"/>
      <c r="I168" s="107"/>
      <c r="J168" s="107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83"/>
      <c r="F169" s="284"/>
      <c r="G169" s="285"/>
      <c r="H169" s="286"/>
      <c r="I169" s="107"/>
      <c r="J169" s="107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83"/>
      <c r="F170" s="284"/>
      <c r="G170" s="285"/>
      <c r="H170" s="286"/>
      <c r="I170" s="107"/>
      <c r="J170" s="107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83"/>
      <c r="F171" s="284"/>
      <c r="G171" s="285"/>
      <c r="H171" s="286"/>
      <c r="I171" s="107"/>
      <c r="J171" s="107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83"/>
      <c r="F172" s="284"/>
      <c r="G172" s="285"/>
      <c r="H172" s="286"/>
      <c r="I172" s="107"/>
      <c r="J172" s="107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83"/>
      <c r="F173" s="284"/>
      <c r="G173" s="285"/>
      <c r="H173" s="286"/>
      <c r="I173" s="107"/>
      <c r="J173" s="107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83"/>
      <c r="F174" s="284"/>
      <c r="G174" s="285"/>
      <c r="H174" s="286"/>
      <c r="I174" s="107"/>
      <c r="J174" s="107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83"/>
      <c r="F175" s="284"/>
      <c r="G175" s="285"/>
      <c r="H175" s="286"/>
      <c r="I175" s="107"/>
      <c r="J175" s="107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83"/>
      <c r="F176" s="284"/>
      <c r="G176" s="285"/>
      <c r="H176" s="286"/>
      <c r="I176" s="107"/>
      <c r="J176" s="107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83"/>
      <c r="F177" s="284"/>
      <c r="G177" s="285"/>
      <c r="H177" s="286"/>
      <c r="I177" s="107"/>
      <c r="J177" s="107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83"/>
      <c r="F178" s="284"/>
      <c r="G178" s="285"/>
      <c r="H178" s="286"/>
      <c r="I178" s="107"/>
      <c r="J178" s="107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83"/>
      <c r="F179" s="284"/>
      <c r="G179" s="285"/>
      <c r="H179" s="286"/>
      <c r="I179" s="107"/>
      <c r="J179" s="107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83"/>
      <c r="F180" s="284"/>
      <c r="G180" s="285"/>
      <c r="H180" s="286"/>
      <c r="I180" s="107"/>
      <c r="J180" s="107"/>
      <c r="K180" s="99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83"/>
      <c r="F181" s="284"/>
      <c r="G181" s="285"/>
      <c r="H181" s="286"/>
      <c r="I181" s="107"/>
      <c r="J181" s="107"/>
      <c r="K181" s="99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83"/>
      <c r="F182" s="284"/>
      <c r="G182" s="285"/>
      <c r="H182" s="286"/>
      <c r="I182" s="107"/>
      <c r="J182" s="107"/>
      <c r="K182" s="99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83"/>
      <c r="F183" s="284"/>
      <c r="G183" s="285"/>
      <c r="H183" s="286"/>
      <c r="I183" s="107"/>
      <c r="J183" s="107"/>
      <c r="K183" s="99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83"/>
      <c r="F184" s="284"/>
      <c r="G184" s="285"/>
      <c r="H184" s="286"/>
      <c r="I184" s="107"/>
      <c r="J184" s="107"/>
      <c r="K184" s="99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83"/>
      <c r="F185" s="284"/>
      <c r="G185" s="285"/>
      <c r="H185" s="286"/>
      <c r="I185" s="107"/>
      <c r="J185" s="107"/>
      <c r="K185" s="99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83"/>
      <c r="F186" s="284"/>
      <c r="G186" s="285"/>
      <c r="H186" s="286"/>
      <c r="I186" s="107"/>
      <c r="J186" s="107"/>
      <c r="K186" s="99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83"/>
      <c r="F187" s="284"/>
      <c r="G187" s="285"/>
      <c r="H187" s="286"/>
      <c r="I187" s="107"/>
      <c r="J187" s="107"/>
      <c r="K187" s="99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83"/>
      <c r="F188" s="284"/>
      <c r="G188" s="285"/>
      <c r="H188" s="286"/>
      <c r="I188" s="107"/>
      <c r="J188" s="107"/>
      <c r="K188" s="99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83"/>
      <c r="F189" s="284"/>
      <c r="G189" s="285"/>
      <c r="H189" s="286"/>
      <c r="I189" s="107"/>
      <c r="J189" s="107"/>
      <c r="K189" s="99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83"/>
      <c r="F190" s="284"/>
      <c r="G190" s="285"/>
      <c r="H190" s="286"/>
      <c r="I190" s="107"/>
      <c r="J190" s="107"/>
      <c r="K190" s="99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83"/>
      <c r="F191" s="284"/>
      <c r="G191" s="285"/>
      <c r="H191" s="286"/>
      <c r="I191" s="107"/>
      <c r="J191" s="107"/>
      <c r="K191" s="99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83"/>
      <c r="F192" s="284"/>
      <c r="G192" s="285"/>
      <c r="H192" s="286"/>
      <c r="I192" s="107"/>
      <c r="J192" s="107"/>
      <c r="K192" s="99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83"/>
      <c r="F193" s="284"/>
      <c r="G193" s="285"/>
      <c r="H193" s="286"/>
      <c r="I193" s="107"/>
      <c r="J193" s="107"/>
      <c r="K193" s="99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83"/>
      <c r="F194" s="284"/>
      <c r="G194" s="285"/>
      <c r="H194" s="286"/>
      <c r="I194" s="107"/>
      <c r="J194" s="107"/>
      <c r="K194" s="99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83"/>
      <c r="F195" s="284"/>
      <c r="G195" s="285"/>
      <c r="H195" s="286"/>
      <c r="I195" s="107"/>
      <c r="J195" s="107"/>
      <c r="K195" s="99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83"/>
      <c r="F196" s="284"/>
      <c r="G196" s="285"/>
      <c r="H196" s="286"/>
      <c r="I196" s="107"/>
      <c r="J196" s="107"/>
      <c r="K196" s="99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83"/>
      <c r="F197" s="284"/>
      <c r="G197" s="285"/>
      <c r="H197" s="286"/>
      <c r="I197" s="107"/>
      <c r="J197" s="107"/>
      <c r="K197" s="99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83"/>
      <c r="F198" s="284"/>
      <c r="G198" s="285"/>
      <c r="H198" s="286"/>
      <c r="I198" s="107"/>
      <c r="J198" s="107"/>
      <c r="K198" s="99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83"/>
      <c r="F199" s="284"/>
      <c r="G199" s="285"/>
      <c r="H199" s="286"/>
      <c r="I199" s="107"/>
      <c r="J199" s="107"/>
      <c r="K199" s="99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83"/>
      <c r="F200" s="284"/>
      <c r="G200" s="285"/>
      <c r="H200" s="286"/>
      <c r="I200" s="107"/>
      <c r="J200" s="107"/>
      <c r="K200" s="99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83"/>
      <c r="F201" s="284"/>
      <c r="G201" s="285"/>
      <c r="H201" s="286"/>
      <c r="I201" s="107"/>
      <c r="J201" s="107"/>
      <c r="K201" s="99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83"/>
      <c r="F202" s="284"/>
      <c r="G202" s="285"/>
      <c r="H202" s="286"/>
      <c r="I202" s="107"/>
      <c r="J202" s="107"/>
      <c r="K202" s="99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83"/>
      <c r="F203" s="284"/>
      <c r="G203" s="285"/>
      <c r="H203" s="286"/>
      <c r="I203" s="107"/>
      <c r="J203" s="107"/>
      <c r="K203" s="99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83"/>
      <c r="F204" s="284"/>
      <c r="G204" s="285"/>
      <c r="H204" s="286"/>
      <c r="I204" s="107"/>
      <c r="J204" s="107"/>
      <c r="K204" s="99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83"/>
      <c r="F205" s="284"/>
      <c r="G205" s="285"/>
      <c r="H205" s="286"/>
      <c r="I205" s="107"/>
      <c r="J205" s="107"/>
      <c r="K205" s="99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83"/>
      <c r="F206" s="284"/>
      <c r="G206" s="285"/>
      <c r="H206" s="286"/>
      <c r="I206" s="107"/>
      <c r="J206" s="107"/>
      <c r="K206" s="99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B207" s="281"/>
      <c r="C207" s="282"/>
      <c r="D207" s="282"/>
      <c r="E207" s="283"/>
      <c r="F207" s="284"/>
      <c r="G207" s="285"/>
      <c r="H207" s="286"/>
      <c r="I207" s="107"/>
      <c r="J207" s="107"/>
      <c r="K207" s="99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B208" s="281"/>
      <c r="C208" s="282"/>
      <c r="D208" s="282"/>
      <c r="E208" s="283"/>
      <c r="F208" s="284"/>
      <c r="G208" s="285"/>
      <c r="H208" s="286"/>
      <c r="I208" s="107"/>
      <c r="J208" s="107"/>
      <c r="K208" s="99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B209" s="281"/>
      <c r="C209" s="282"/>
      <c r="D209" s="282"/>
      <c r="E209" s="283"/>
      <c r="F209" s="284"/>
      <c r="G209" s="285"/>
      <c r="H209" s="286"/>
      <c r="I209" s="107"/>
      <c r="J209" s="107"/>
      <c r="K209" s="99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B210" s="281"/>
      <c r="C210" s="282"/>
      <c r="D210" s="282"/>
      <c r="E210" s="283"/>
      <c r="F210" s="284"/>
      <c r="G210" s="285"/>
      <c r="H210" s="286"/>
      <c r="I210" s="107"/>
      <c r="J210" s="107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B211" s="281"/>
      <c r="C211" s="282"/>
      <c r="D211" s="282"/>
      <c r="E211" s="283"/>
      <c r="F211" s="284"/>
      <c r="G211" s="285"/>
      <c r="H211" s="286"/>
      <c r="I211" s="107"/>
      <c r="J211" s="107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B212" s="281"/>
      <c r="C212" s="282"/>
      <c r="D212" s="282"/>
      <c r="E212" s="283"/>
      <c r="F212" s="284"/>
      <c r="G212" s="285"/>
      <c r="H212" s="286"/>
      <c r="I212" s="107"/>
      <c r="J212" s="107"/>
      <c r="K212" s="99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B213" s="281"/>
      <c r="C213" s="282"/>
      <c r="D213" s="282"/>
      <c r="E213" s="283"/>
      <c r="F213" s="284"/>
      <c r="G213" s="285"/>
      <c r="H213" s="286"/>
      <c r="I213" s="107"/>
      <c r="J213" s="107"/>
      <c r="K213" s="99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B214" s="281"/>
      <c r="C214" s="282"/>
      <c r="D214" s="282"/>
      <c r="E214" s="283"/>
      <c r="F214" s="284"/>
      <c r="G214" s="285"/>
      <c r="H214" s="286"/>
      <c r="I214" s="107"/>
      <c r="J214" s="107"/>
      <c r="K214" s="99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B215" s="281"/>
      <c r="C215" s="282"/>
      <c r="D215" s="282"/>
      <c r="E215" s="283"/>
      <c r="F215" s="284"/>
      <c r="G215" s="285"/>
      <c r="H215" s="286"/>
      <c r="I215" s="107"/>
      <c r="J215" s="107"/>
      <c r="K215" s="99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B216" s="281"/>
      <c r="C216" s="282"/>
      <c r="D216" s="282"/>
      <c r="E216" s="283"/>
      <c r="F216" s="284"/>
      <c r="G216" s="285"/>
      <c r="H216" s="286"/>
      <c r="I216" s="107"/>
      <c r="J216" s="107"/>
      <c r="K216" s="99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B217" s="281"/>
      <c r="C217" s="282"/>
      <c r="D217" s="282"/>
      <c r="E217" s="283"/>
      <c r="F217" s="284"/>
      <c r="G217" s="285"/>
      <c r="H217" s="286"/>
      <c r="I217" s="107"/>
      <c r="J217" s="107"/>
      <c r="K217" s="99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B218" s="281"/>
      <c r="C218" s="282"/>
      <c r="D218" s="282"/>
      <c r="E218" s="283"/>
      <c r="F218" s="284"/>
      <c r="G218" s="285"/>
      <c r="H218" s="286"/>
      <c r="I218" s="107"/>
      <c r="J218" s="107"/>
      <c r="K218" s="99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B219" s="281"/>
      <c r="C219" s="282"/>
      <c r="D219" s="282"/>
      <c r="E219" s="283"/>
      <c r="F219" s="284"/>
      <c r="G219" s="285"/>
      <c r="H219" s="286"/>
      <c r="I219" s="107"/>
      <c r="J219" s="107"/>
      <c r="K219" s="99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B220" s="281"/>
      <c r="C220" s="282"/>
      <c r="D220" s="282"/>
      <c r="E220" s="283"/>
      <c r="F220" s="284"/>
      <c r="G220" s="285"/>
      <c r="H220" s="286"/>
      <c r="I220" s="107"/>
      <c r="J220" s="107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B221" s="281"/>
      <c r="C221" s="282"/>
      <c r="D221" s="282"/>
      <c r="E221" s="283"/>
      <c r="F221" s="284"/>
      <c r="G221" s="285"/>
      <c r="H221" s="286"/>
      <c r="I221" s="107"/>
      <c r="J221" s="107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B222" s="281"/>
      <c r="C222" s="282"/>
      <c r="D222" s="282"/>
      <c r="E222" s="283"/>
      <c r="F222" s="284"/>
      <c r="G222" s="285"/>
      <c r="H222" s="286"/>
      <c r="I222" s="107"/>
      <c r="J222" s="107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B223" s="281"/>
      <c r="C223" s="282"/>
      <c r="D223" s="282"/>
      <c r="E223" s="283"/>
      <c r="F223" s="284"/>
      <c r="G223" s="285"/>
      <c r="H223" s="286"/>
      <c r="I223" s="107"/>
      <c r="J223" s="107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B224" s="281"/>
      <c r="C224" s="282"/>
      <c r="D224" s="282"/>
      <c r="E224" s="283"/>
      <c r="F224" s="284"/>
      <c r="G224" s="285"/>
      <c r="H224" s="286"/>
      <c r="I224" s="107"/>
      <c r="J224" s="107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B225" s="281"/>
      <c r="C225" s="282"/>
      <c r="D225" s="282"/>
      <c r="E225" s="283"/>
      <c r="F225" s="284"/>
      <c r="G225" s="285"/>
      <c r="H225" s="286"/>
      <c r="I225" s="107"/>
      <c r="J225" s="107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B226" s="281"/>
      <c r="C226" s="282"/>
      <c r="D226" s="282"/>
      <c r="E226" s="283"/>
      <c r="F226" s="284"/>
      <c r="G226" s="285"/>
      <c r="H226" s="286"/>
      <c r="I226" s="107"/>
      <c r="J226" s="107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B227" s="281"/>
      <c r="C227" s="282"/>
      <c r="D227" s="282"/>
      <c r="E227" s="283"/>
      <c r="F227" s="284"/>
      <c r="G227" s="285"/>
      <c r="H227" s="286"/>
      <c r="I227" s="107"/>
      <c r="J227" s="107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B228" s="281"/>
      <c r="C228" s="282"/>
      <c r="D228" s="282"/>
      <c r="E228" s="283"/>
      <c r="F228" s="284"/>
      <c r="G228" s="285"/>
      <c r="H228" s="286"/>
      <c r="I228" s="107"/>
      <c r="J228" s="107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B229" s="281"/>
      <c r="C229" s="282"/>
      <c r="D229" s="282"/>
      <c r="E229" s="283"/>
      <c r="F229" s="284"/>
      <c r="G229" s="285"/>
      <c r="H229" s="286"/>
      <c r="I229" s="107"/>
      <c r="J229" s="107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B230" s="281"/>
      <c r="C230" s="282"/>
      <c r="D230" s="282"/>
      <c r="E230" s="283"/>
      <c r="F230" s="284"/>
      <c r="G230" s="285"/>
      <c r="H230" s="286"/>
      <c r="I230" s="107"/>
      <c r="J230" s="107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B231" s="281"/>
      <c r="C231" s="282"/>
      <c r="D231" s="282"/>
      <c r="E231" s="283"/>
      <c r="F231" s="284"/>
      <c r="G231" s="285"/>
      <c r="H231" s="286"/>
      <c r="I231" s="107"/>
      <c r="J231" s="107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105"/>
      <c r="B232" s="281"/>
      <c r="C232" s="282"/>
      <c r="D232" s="282"/>
      <c r="E232" s="283"/>
      <c r="F232" s="284"/>
      <c r="G232" s="285"/>
      <c r="H232" s="286"/>
      <c r="I232" s="107"/>
      <c r="J232" s="107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B233" s="281"/>
      <c r="C233" s="282"/>
      <c r="D233" s="282"/>
      <c r="E233" s="283"/>
      <c r="F233" s="284"/>
      <c r="G233" s="285"/>
      <c r="H233" s="286"/>
      <c r="I233" s="107"/>
      <c r="J233" s="107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B234" s="281"/>
      <c r="C234" s="282"/>
      <c r="D234" s="282"/>
      <c r="E234" s="283"/>
      <c r="F234" s="284"/>
      <c r="G234" s="285"/>
      <c r="H234" s="286"/>
      <c r="I234" s="107"/>
      <c r="J234" s="107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B235" s="281"/>
      <c r="C235" s="282"/>
      <c r="D235" s="282"/>
      <c r="E235" s="283"/>
      <c r="F235" s="284"/>
      <c r="G235" s="285"/>
      <c r="H235" s="286"/>
      <c r="I235" s="107"/>
      <c r="J235" s="107"/>
      <c r="K235" s="99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B236" s="281"/>
      <c r="C236" s="282"/>
      <c r="D236" s="282"/>
      <c r="E236" s="283"/>
      <c r="F236" s="284"/>
      <c r="G236" s="285"/>
      <c r="H236" s="286"/>
      <c r="I236" s="107"/>
      <c r="J236" s="107"/>
      <c r="K236" s="99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B237" s="281"/>
      <c r="C237" s="282"/>
      <c r="D237" s="282"/>
      <c r="E237" s="283"/>
      <c r="F237" s="284"/>
      <c r="G237" s="285"/>
      <c r="H237" s="286"/>
      <c r="I237" s="107"/>
      <c r="J237" s="107"/>
      <c r="K237" s="99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B238" s="281"/>
      <c r="C238" s="282"/>
      <c r="D238" s="282"/>
      <c r="E238" s="283"/>
      <c r="F238" s="284"/>
      <c r="G238" s="285"/>
      <c r="H238" s="286"/>
      <c r="I238" s="107"/>
      <c r="J238" s="107"/>
      <c r="K238" s="99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B239" s="281"/>
      <c r="C239" s="282"/>
      <c r="D239" s="282"/>
      <c r="E239" s="283"/>
      <c r="F239" s="284"/>
      <c r="G239" s="285"/>
      <c r="H239" s="286"/>
      <c r="I239" s="107"/>
      <c r="J239" s="107"/>
      <c r="K239" s="99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B240" s="281"/>
      <c r="C240" s="282"/>
      <c r="D240" s="282"/>
      <c r="E240" s="283"/>
      <c r="F240" s="284"/>
      <c r="G240" s="285"/>
      <c r="H240" s="286"/>
      <c r="I240" s="107"/>
      <c r="J240" s="107"/>
      <c r="K240" s="99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B241" s="281"/>
      <c r="C241" s="282"/>
      <c r="D241" s="282"/>
      <c r="E241" s="283"/>
      <c r="F241" s="284"/>
      <c r="G241" s="285"/>
      <c r="H241" s="286"/>
      <c r="I241" s="107"/>
      <c r="J241" s="107"/>
      <c r="K241" s="99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B242" s="281"/>
      <c r="C242" s="282"/>
      <c r="D242" s="282"/>
      <c r="E242" s="283"/>
      <c r="F242" s="284"/>
      <c r="G242" s="285"/>
      <c r="H242" s="286"/>
      <c r="I242" s="107"/>
      <c r="J242" s="107"/>
      <c r="K242" s="99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B243" s="281"/>
      <c r="C243" s="282"/>
      <c r="D243" s="282"/>
      <c r="E243" s="283"/>
      <c r="F243" s="284"/>
      <c r="G243" s="285"/>
      <c r="H243" s="286"/>
      <c r="I243" s="107"/>
      <c r="J243" s="107"/>
      <c r="K243" s="99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B244" s="281"/>
      <c r="C244" s="282"/>
      <c r="D244" s="282"/>
      <c r="E244" s="283"/>
      <c r="F244" s="284"/>
      <c r="G244" s="285"/>
      <c r="H244" s="286"/>
      <c r="I244" s="107"/>
      <c r="J244" s="107"/>
      <c r="K244" s="99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B245" s="281"/>
      <c r="C245" s="282"/>
      <c r="D245" s="282"/>
      <c r="E245" s="283"/>
      <c r="F245" s="284"/>
      <c r="G245" s="285"/>
      <c r="H245" s="286"/>
      <c r="I245" s="107"/>
      <c r="J245" s="107"/>
      <c r="K245" s="99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B246" s="281"/>
      <c r="C246" s="282"/>
      <c r="D246" s="282"/>
      <c r="E246" s="283"/>
      <c r="F246" s="284"/>
      <c r="G246" s="285"/>
      <c r="H246" s="286"/>
      <c r="I246" s="107"/>
      <c r="J246" s="107"/>
      <c r="K246" s="99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0" customHeight="1">
      <c r="A247" s="105"/>
      <c r="B247" s="281"/>
      <c r="C247" s="282"/>
      <c r="D247" s="282"/>
      <c r="E247" s="283"/>
      <c r="F247" s="284"/>
      <c r="G247" s="285"/>
      <c r="H247" s="286"/>
      <c r="I247" s="107"/>
      <c r="J247" s="107"/>
      <c r="K247" s="99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0" customHeight="1">
      <c r="A248" s="105"/>
      <c r="B248" s="281"/>
      <c r="C248" s="282"/>
      <c r="D248" s="282"/>
      <c r="E248" s="283"/>
      <c r="F248" s="284"/>
      <c r="G248" s="285"/>
      <c r="H248" s="286"/>
      <c r="I248" s="107"/>
      <c r="J248" s="107"/>
      <c r="K248" s="99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0" customHeight="1">
      <c r="A249" s="105"/>
      <c r="B249" s="281"/>
      <c r="C249" s="282"/>
      <c r="D249" s="282"/>
      <c r="E249" s="283"/>
      <c r="F249" s="284"/>
      <c r="G249" s="285"/>
      <c r="H249" s="286"/>
      <c r="I249" s="107"/>
      <c r="J249" s="107"/>
      <c r="K249" s="99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0" customHeight="1">
      <c r="A250" s="105"/>
      <c r="B250" s="281"/>
      <c r="C250" s="282"/>
      <c r="D250" s="282"/>
      <c r="E250" s="283"/>
      <c r="F250" s="284"/>
      <c r="G250" s="285"/>
      <c r="H250" s="286"/>
      <c r="I250" s="107"/>
      <c r="J250" s="107"/>
      <c r="K250" s="99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0" customHeight="1">
      <c r="A251" s="105"/>
      <c r="B251" s="281"/>
      <c r="C251" s="282"/>
      <c r="D251" s="282"/>
      <c r="E251" s="283"/>
      <c r="F251" s="284"/>
      <c r="G251" s="285"/>
      <c r="H251" s="286"/>
      <c r="I251" s="107"/>
      <c r="J251" s="107"/>
      <c r="K251" s="99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</sheetData>
  <autoFilter ref="$B$20:$H$251">
    <sortState ref="B20:H251">
      <sortCondition ref="B20:B251"/>
    </sortState>
  </autoFilter>
  <customSheetViews>
    <customSheetView guid="{CD2BF927-9D79-47FC-BBA8-927062D6B3F5}" filter="1" showAutoFilter="1">
      <autoFilter ref="$B$20:$H$251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1:H251">
      <formula1>$K$3:$K$31</formula1>
    </dataValidation>
  </dataValidations>
  <hyperlinks>
    <hyperlink r:id="rId1" ref="D76"/>
    <hyperlink r:id="rId2" ref="D77"/>
  </hyperlinks>
  <printOptions/>
  <pageMargins bottom="0.75" footer="0.0" header="0.0" left="0.25" right="0.25" top="0.75"/>
  <pageSetup fitToHeight="0" paperSize="9" orientation="portrait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2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4.86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01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849</v>
      </c>
      <c r="H3" s="115"/>
      <c r="I3" s="299" t="s">
        <v>19</v>
      </c>
      <c r="J3" s="300">
        <v>1267.3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3">
        <v>943.11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v>1.00640086E8</v>
      </c>
      <c r="E5" s="227">
        <f>sumif(B22:B129,B5,E22:E129)</f>
        <v>12619203</v>
      </c>
      <c r="F5" s="228">
        <f>sumif(B22:B172,B5,F22:F172)</f>
        <v>56596015</v>
      </c>
      <c r="G5" s="229">
        <f t="shared" ref="G5:G13" si="1">D5+E5-F5</f>
        <v>56663274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v>0.0</v>
      </c>
      <c r="E6" s="233">
        <f>sumif(B22:B131,B6,E22:E131)</f>
        <v>2.31</v>
      </c>
      <c r="F6" s="234">
        <f>sumif(B22:B172,B6,F22:F172)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v>2.7431734E7</v>
      </c>
      <c r="E7" s="237">
        <f>sumif(B22:B131,B7,E22:E131)</f>
        <v>130078647</v>
      </c>
      <c r="F7" s="238">
        <f>sumif(B22:B172,B7,F22:F172)</f>
        <v>72241082</v>
      </c>
      <c r="G7" s="239">
        <f t="shared" si="1"/>
        <v>85269299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v>0.0</v>
      </c>
      <c r="E8" s="240">
        <f>sumif(B22:B131,B8,E22:E131)</f>
        <v>100000.02</v>
      </c>
      <c r="F8" s="234">
        <f>sumif(B22:B172,B8,F22:F172)</f>
        <v>100000</v>
      </c>
      <c r="G8" s="235">
        <f t="shared" si="1"/>
        <v>0.02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v>32821.56</v>
      </c>
      <c r="E9" s="240">
        <f>sumif(B22:B172,B9,E22:E129)</f>
        <v>115721.12</v>
      </c>
      <c r="F9" s="234">
        <f>sumif(B22:B172,B9,F22:F172)</f>
        <v>118357.96</v>
      </c>
      <c r="G9" s="235">
        <f t="shared" si="1"/>
        <v>30184.72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v>0.0</v>
      </c>
      <c r="E10" s="242">
        <f>sumif(B22:B129,B10,E22:E172)</f>
        <v>0</v>
      </c>
      <c r="F10" s="243">
        <f>sumif(B22:B172,B10,F22:F172)</f>
        <v>0</v>
      </c>
      <c r="G10" s="244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v>0.0</v>
      </c>
      <c r="E11" s="245">
        <f>sumif(B22:B131,B11,E22:E131)</f>
        <v>0</v>
      </c>
      <c r="F11" s="238">
        <f>sumif(B22:B172,B11,F22:F172)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78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v>7121.24</v>
      </c>
      <c r="E12" s="233">
        <f>sumif(B22:B131,B12,E22:E131)</f>
        <v>0</v>
      </c>
      <c r="F12" s="234">
        <f>sumif(B22:B171,B12,F22:F171)</f>
        <v>0</v>
      </c>
      <c r="G12" s="235">
        <f t="shared" si="1"/>
        <v>7121.24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v>905.0</v>
      </c>
      <c r="E13" s="308">
        <f>sumif(B22:B131,B13,E22:E131)</f>
        <v>0</v>
      </c>
      <c r="F13" s="309">
        <f>sumif(B22:B171,B13,F22:F171)</f>
        <v>25</v>
      </c>
      <c r="G13" s="310">
        <f t="shared" si="1"/>
        <v>880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hidden="1" customHeight="1" outlineLevel="2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258"/>
      <c r="M14" s="258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 collapsed="1">
      <c r="A15" s="109"/>
      <c r="B15" s="259" t="s">
        <v>35</v>
      </c>
      <c r="C15" s="260"/>
      <c r="D15" s="261">
        <f t="shared" ref="D15:F15" si="2">D5+D7+D11</f>
        <v>128071820</v>
      </c>
      <c r="E15" s="262">
        <f t="shared" si="2"/>
        <v>142697850</v>
      </c>
      <c r="F15" s="263">
        <f t="shared" si="2"/>
        <v>128837097</v>
      </c>
      <c r="G15" s="264">
        <f>G5+G11+G7</f>
        <v>141932573</v>
      </c>
      <c r="H15" s="265">
        <f>G15</f>
        <v>141932573</v>
      </c>
      <c r="I15" s="133"/>
      <c r="J15" s="133"/>
      <c r="K15" s="133"/>
      <c r="L15" s="83" t="s">
        <v>12</v>
      </c>
      <c r="M15" s="83" t="s">
        <v>13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39942.8</v>
      </c>
      <c r="E16" s="269">
        <f t="shared" si="3"/>
        <v>215723.45</v>
      </c>
      <c r="F16" s="270">
        <f t="shared" si="3"/>
        <v>218357.96</v>
      </c>
      <c r="G16" s="271">
        <f>G9+G6+G8+G12</f>
        <v>37308.29</v>
      </c>
      <c r="H16" s="265">
        <f>rounddown(G16*$J$3,0)</f>
        <v>47280795</v>
      </c>
      <c r="I16" s="134"/>
      <c r="J16" s="134"/>
      <c r="K16" s="134"/>
      <c r="L16" s="83" t="s">
        <v>39</v>
      </c>
      <c r="M16" s="84" t="s">
        <v>40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905</v>
      </c>
      <c r="E17" s="274">
        <f t="shared" si="4"/>
        <v>0</v>
      </c>
      <c r="F17" s="275">
        <f t="shared" si="4"/>
        <v>25</v>
      </c>
      <c r="G17" s="276">
        <f t="shared" si="4"/>
        <v>880</v>
      </c>
      <c r="H17" s="277">
        <f>rounddown(G17*$J$4,0)</f>
        <v>829936</v>
      </c>
      <c r="I17" s="103"/>
      <c r="J17" s="103"/>
      <c r="K17" s="103"/>
      <c r="L17" s="83" t="s">
        <v>29</v>
      </c>
      <c r="M17" s="83" t="s">
        <v>30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>SUM(H15:H17)</f>
        <v>190043304</v>
      </c>
      <c r="I18" s="103"/>
      <c r="J18" s="103"/>
      <c r="K18" s="103"/>
      <c r="L18" s="83" t="s">
        <v>33</v>
      </c>
      <c r="M18" s="84" t="s">
        <v>34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12"/>
      <c r="I19" s="138"/>
      <c r="J19" s="99"/>
      <c r="K19" s="99"/>
      <c r="L19" s="83" t="s">
        <v>75</v>
      </c>
      <c r="M19" s="83" t="s">
        <v>76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27</v>
      </c>
      <c r="M20" s="83" t="s">
        <v>28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99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">
        <v>14</v>
      </c>
      <c r="C22" s="282" t="s">
        <v>851</v>
      </c>
      <c r="D22" s="282" t="s">
        <v>852</v>
      </c>
      <c r="E22" s="283">
        <v>0.0</v>
      </c>
      <c r="F22" s="284">
        <v>225500.0</v>
      </c>
      <c r="G22" s="313" t="s">
        <v>853</v>
      </c>
      <c r="H22" s="286" t="s">
        <v>33</v>
      </c>
      <c r="I22" s="107"/>
      <c r="J22" s="107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">
        <v>14</v>
      </c>
      <c r="C23" s="282" t="s">
        <v>854</v>
      </c>
      <c r="D23" s="282" t="s">
        <v>855</v>
      </c>
      <c r="E23" s="291">
        <v>0.0</v>
      </c>
      <c r="F23" s="292">
        <v>300500.0</v>
      </c>
      <c r="G23" s="313" t="s">
        <v>856</v>
      </c>
      <c r="H23" s="286" t="s">
        <v>4</v>
      </c>
      <c r="I23" s="107"/>
      <c r="J23" s="107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">
        <v>14</v>
      </c>
      <c r="C24" s="282" t="s">
        <v>857</v>
      </c>
      <c r="D24" s="282" t="s">
        <v>858</v>
      </c>
      <c r="E24" s="291">
        <v>0.0</v>
      </c>
      <c r="F24" s="292">
        <v>2901500.0</v>
      </c>
      <c r="G24" s="313" t="s">
        <v>859</v>
      </c>
      <c r="H24" s="286" t="s">
        <v>39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">
        <v>14</v>
      </c>
      <c r="C25" s="282" t="s">
        <v>857</v>
      </c>
      <c r="D25" s="282" t="s">
        <v>860</v>
      </c>
      <c r="E25" s="291">
        <v>0.0</v>
      </c>
      <c r="F25" s="292">
        <v>23000.0</v>
      </c>
      <c r="G25" s="313" t="s">
        <v>861</v>
      </c>
      <c r="H25" s="286" t="s">
        <v>33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">
        <v>14</v>
      </c>
      <c r="C26" s="282" t="s">
        <v>857</v>
      </c>
      <c r="D26" s="282" t="s">
        <v>862</v>
      </c>
      <c r="E26" s="291">
        <v>0.0</v>
      </c>
      <c r="F26" s="292">
        <v>152474.0</v>
      </c>
      <c r="G26" s="313" t="s">
        <v>863</v>
      </c>
      <c r="H26" s="286" t="s">
        <v>33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">
        <v>14</v>
      </c>
      <c r="C27" s="282" t="s">
        <v>864</v>
      </c>
      <c r="D27" s="282" t="s">
        <v>865</v>
      </c>
      <c r="E27" s="291">
        <v>0.0</v>
      </c>
      <c r="F27" s="292">
        <v>4229330.0</v>
      </c>
      <c r="G27" s="313" t="s">
        <v>866</v>
      </c>
      <c r="H27" s="286" t="s">
        <v>31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">
        <v>14</v>
      </c>
      <c r="C28" s="282" t="s">
        <v>864</v>
      </c>
      <c r="D28" s="282" t="s">
        <v>867</v>
      </c>
      <c r="E28" s="291">
        <v>0.0</v>
      </c>
      <c r="F28" s="292">
        <v>90000.0</v>
      </c>
      <c r="G28" s="313" t="s">
        <v>868</v>
      </c>
      <c r="H28" s="286" t="s">
        <v>31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">
        <v>14</v>
      </c>
      <c r="C29" s="282" t="s">
        <v>864</v>
      </c>
      <c r="D29" s="282" t="s">
        <v>869</v>
      </c>
      <c r="E29" s="291">
        <v>0.0</v>
      </c>
      <c r="F29" s="292">
        <v>431860.0</v>
      </c>
      <c r="G29" s="313" t="s">
        <v>870</v>
      </c>
      <c r="H29" s="286" t="s">
        <v>31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">
        <v>14</v>
      </c>
      <c r="C30" s="282" t="s">
        <v>864</v>
      </c>
      <c r="D30" s="282" t="s">
        <v>871</v>
      </c>
      <c r="E30" s="291">
        <v>0.0</v>
      </c>
      <c r="F30" s="292">
        <v>3025000.0</v>
      </c>
      <c r="G30" s="313" t="s">
        <v>872</v>
      </c>
      <c r="H30" s="286" t="s">
        <v>33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">
        <v>14</v>
      </c>
      <c r="C31" s="282" t="s">
        <v>864</v>
      </c>
      <c r="D31" s="282" t="s">
        <v>715</v>
      </c>
      <c r="E31" s="291">
        <v>1.26E7</v>
      </c>
      <c r="F31" s="292">
        <v>0.0</v>
      </c>
      <c r="G31" s="313" t="s">
        <v>873</v>
      </c>
      <c r="H31" s="286" t="s">
        <v>170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">
        <v>14</v>
      </c>
      <c r="C32" s="282" t="s">
        <v>874</v>
      </c>
      <c r="D32" s="282" t="s">
        <v>231</v>
      </c>
      <c r="E32" s="291">
        <v>0.0</v>
      </c>
      <c r="F32" s="292">
        <v>5371520.0</v>
      </c>
      <c r="G32" s="313" t="s">
        <v>875</v>
      </c>
      <c r="H32" s="286" t="s">
        <v>31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">
        <v>14</v>
      </c>
      <c r="C33" s="282" t="s">
        <v>874</v>
      </c>
      <c r="D33" s="282" t="s">
        <v>234</v>
      </c>
      <c r="E33" s="291">
        <v>0.0</v>
      </c>
      <c r="F33" s="292">
        <v>1298340.0</v>
      </c>
      <c r="G33" s="313" t="s">
        <v>876</v>
      </c>
      <c r="H33" s="286" t="s">
        <v>31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">
        <v>14</v>
      </c>
      <c r="C34" s="282" t="s">
        <v>874</v>
      </c>
      <c r="D34" s="282" t="s">
        <v>237</v>
      </c>
      <c r="E34" s="291">
        <v>0.0</v>
      </c>
      <c r="F34" s="292">
        <v>5544600.0</v>
      </c>
      <c r="G34" s="313" t="s">
        <v>877</v>
      </c>
      <c r="H34" s="286" t="s">
        <v>31</v>
      </c>
      <c r="I34" s="107"/>
      <c r="J34" s="141">
        <v>5.6663274E7</v>
      </c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">
        <v>14</v>
      </c>
      <c r="C35" s="282" t="s">
        <v>874</v>
      </c>
      <c r="D35" s="282" t="s">
        <v>234</v>
      </c>
      <c r="E35" s="291">
        <v>0.0</v>
      </c>
      <c r="F35" s="292">
        <v>481160.0</v>
      </c>
      <c r="G35" s="313" t="s">
        <v>878</v>
      </c>
      <c r="H35" s="286" t="s">
        <v>31</v>
      </c>
      <c r="I35" s="107"/>
      <c r="J35" s="141">
        <v>0.0</v>
      </c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">
        <v>14</v>
      </c>
      <c r="C36" s="282" t="s">
        <v>874</v>
      </c>
      <c r="D36" s="282" t="s">
        <v>879</v>
      </c>
      <c r="E36" s="291">
        <v>0.0</v>
      </c>
      <c r="F36" s="292">
        <v>440000.0</v>
      </c>
      <c r="G36" s="313" t="s">
        <v>880</v>
      </c>
      <c r="H36" s="286" t="s">
        <v>33</v>
      </c>
      <c r="I36" s="107"/>
      <c r="J36" s="141">
        <v>8.5269299E7</v>
      </c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">
        <v>747</v>
      </c>
      <c r="C37" s="282" t="s">
        <v>854</v>
      </c>
      <c r="D37" s="282" t="s">
        <v>881</v>
      </c>
      <c r="E37" s="291">
        <v>0.0</v>
      </c>
      <c r="F37" s="292">
        <v>10.0</v>
      </c>
      <c r="G37" s="314" t="s">
        <v>881</v>
      </c>
      <c r="H37" s="286" t="s">
        <v>33</v>
      </c>
      <c r="I37" s="107"/>
      <c r="J37" s="141">
        <v>100000.0</v>
      </c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">
        <v>18</v>
      </c>
      <c r="C38" s="282" t="s">
        <v>851</v>
      </c>
      <c r="D38" s="282" t="s">
        <v>740</v>
      </c>
      <c r="E38" s="283">
        <v>0.0</v>
      </c>
      <c r="F38" s="284">
        <v>9936.39</v>
      </c>
      <c r="G38" s="313" t="s">
        <v>882</v>
      </c>
      <c r="H38" s="286" t="s">
        <v>41</v>
      </c>
      <c r="I38" s="107"/>
      <c r="J38" s="141">
        <v>30184.72</v>
      </c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">
        <v>18</v>
      </c>
      <c r="C39" s="282" t="s">
        <v>883</v>
      </c>
      <c r="D39" s="282" t="s">
        <v>884</v>
      </c>
      <c r="E39" s="291">
        <v>0.0</v>
      </c>
      <c r="F39" s="292">
        <v>492.46</v>
      </c>
      <c r="G39" s="313" t="s">
        <v>516</v>
      </c>
      <c r="H39" s="286" t="s">
        <v>33</v>
      </c>
      <c r="I39" s="107"/>
      <c r="J39" s="141">
        <v>0.0</v>
      </c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">
        <v>18</v>
      </c>
      <c r="C40" s="282" t="s">
        <v>885</v>
      </c>
      <c r="D40" s="296" t="s">
        <v>886</v>
      </c>
      <c r="E40" s="291">
        <v>0.0</v>
      </c>
      <c r="F40" s="292">
        <v>64.98</v>
      </c>
      <c r="G40" s="313" t="s">
        <v>545</v>
      </c>
      <c r="H40" s="286" t="s">
        <v>33</v>
      </c>
      <c r="I40" s="107"/>
      <c r="J40" s="141">
        <v>0.0</v>
      </c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">
        <v>18</v>
      </c>
      <c r="C41" s="282" t="s">
        <v>854</v>
      </c>
      <c r="D41" s="282" t="s">
        <v>887</v>
      </c>
      <c r="E41" s="291">
        <v>0.0</v>
      </c>
      <c r="F41" s="292">
        <v>744.71</v>
      </c>
      <c r="G41" s="313" t="s">
        <v>516</v>
      </c>
      <c r="H41" s="286" t="s">
        <v>33</v>
      </c>
      <c r="I41" s="107"/>
      <c r="J41" s="141">
        <v>7121.24</v>
      </c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">
        <v>18</v>
      </c>
      <c r="C42" s="282" t="s">
        <v>864</v>
      </c>
      <c r="D42" s="282" t="s">
        <v>888</v>
      </c>
      <c r="E42" s="291">
        <v>995.86</v>
      </c>
      <c r="F42" s="292">
        <v>0.0</v>
      </c>
      <c r="G42" s="313" t="s">
        <v>889</v>
      </c>
      <c r="H42" s="286" t="s">
        <v>77</v>
      </c>
      <c r="I42" s="107"/>
      <c r="J42" s="141">
        <v>880.0</v>
      </c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">
        <v>18</v>
      </c>
      <c r="C43" s="282" t="s">
        <v>890</v>
      </c>
      <c r="D43" s="282" t="s">
        <v>888</v>
      </c>
      <c r="E43" s="291">
        <v>114725.26</v>
      </c>
      <c r="F43" s="292">
        <v>0.0</v>
      </c>
      <c r="G43" s="313" t="s">
        <v>889</v>
      </c>
      <c r="H43" s="286" t="s">
        <v>77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">
        <v>18</v>
      </c>
      <c r="C44" s="282" t="s">
        <v>891</v>
      </c>
      <c r="D44" s="282" t="s">
        <v>892</v>
      </c>
      <c r="E44" s="291">
        <v>0.0</v>
      </c>
      <c r="F44" s="292">
        <v>743.93</v>
      </c>
      <c r="G44" s="313" t="s">
        <v>516</v>
      </c>
      <c r="H44" s="286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">
        <v>18</v>
      </c>
      <c r="C45" s="282" t="s">
        <v>893</v>
      </c>
      <c r="D45" s="282" t="s">
        <v>894</v>
      </c>
      <c r="E45" s="291">
        <v>0.0</v>
      </c>
      <c r="F45" s="292">
        <v>74.62</v>
      </c>
      <c r="G45" s="313" t="s">
        <v>895</v>
      </c>
      <c r="H45" s="286" t="s">
        <v>33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WISE USD</v>
      </c>
      <c r="C46" s="282" t="s">
        <v>893</v>
      </c>
      <c r="D46" s="282" t="s">
        <v>671</v>
      </c>
      <c r="E46" s="291">
        <v>0.0</v>
      </c>
      <c r="F46" s="315">
        <v>100014.39</v>
      </c>
      <c r="G46" s="313" t="s">
        <v>896</v>
      </c>
      <c r="H46" s="286" t="s">
        <v>77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16" t="str">
        <f>B9</f>
        <v>WISE USD</v>
      </c>
      <c r="C47" s="282" t="s">
        <v>893</v>
      </c>
      <c r="D47" s="317" t="s">
        <v>542</v>
      </c>
      <c r="E47" s="291">
        <v>0.0</v>
      </c>
      <c r="F47" s="292">
        <v>10.0</v>
      </c>
      <c r="G47" s="313" t="s">
        <v>897</v>
      </c>
      <c r="H47" s="286" t="s">
        <v>33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16" t="str">
        <f>B8</f>
        <v>하나 #138</v>
      </c>
      <c r="C48" s="282" t="s">
        <v>898</v>
      </c>
      <c r="D48" s="318" t="s">
        <v>899</v>
      </c>
      <c r="E48" s="291">
        <v>100000.0</v>
      </c>
      <c r="F48" s="292">
        <v>0.0</v>
      </c>
      <c r="G48" s="313" t="s">
        <v>896</v>
      </c>
      <c r="H48" s="286" t="s">
        <v>556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16" t="str">
        <f>B5</f>
        <v>신한 #672</v>
      </c>
      <c r="C49" s="282" t="s">
        <v>898</v>
      </c>
      <c r="D49" s="318" t="s">
        <v>57</v>
      </c>
      <c r="E49" s="291">
        <v>0.0</v>
      </c>
      <c r="F49" s="292">
        <v>2921255.0</v>
      </c>
      <c r="G49" s="313" t="s">
        <v>900</v>
      </c>
      <c r="H49" s="286" t="s">
        <v>33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16" t="str">
        <f>B5</f>
        <v>신한 #672</v>
      </c>
      <c r="C50" s="282" t="s">
        <v>901</v>
      </c>
      <c r="D50" s="318" t="s">
        <v>84</v>
      </c>
      <c r="E50" s="291">
        <v>19203.0</v>
      </c>
      <c r="F50" s="292">
        <v>0.0</v>
      </c>
      <c r="G50" s="313" t="s">
        <v>902</v>
      </c>
      <c r="H50" s="286" t="s">
        <v>75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16" t="str">
        <f>B7</f>
        <v>하나 #304</v>
      </c>
      <c r="C51" s="282" t="s">
        <v>903</v>
      </c>
      <c r="D51" s="318" t="s">
        <v>904</v>
      </c>
      <c r="E51" s="291">
        <v>1.30068E8</v>
      </c>
      <c r="F51" s="292">
        <v>0.0</v>
      </c>
      <c r="G51" s="313" t="s">
        <v>905</v>
      </c>
      <c r="H51" s="286" t="s">
        <v>556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16" t="str">
        <f>B7</f>
        <v>하나 #304</v>
      </c>
      <c r="C52" s="282" t="s">
        <v>901</v>
      </c>
      <c r="D52" s="318" t="s">
        <v>906</v>
      </c>
      <c r="E52" s="291">
        <v>10647.0</v>
      </c>
      <c r="F52" s="292">
        <v>0.0</v>
      </c>
      <c r="G52" s="313" t="s">
        <v>906</v>
      </c>
      <c r="H52" s="286" t="s">
        <v>75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16" t="str">
        <f>B9</f>
        <v>WISE USD</v>
      </c>
      <c r="C53" s="282" t="s">
        <v>898</v>
      </c>
      <c r="D53" s="318" t="s">
        <v>894</v>
      </c>
      <c r="E53" s="291">
        <v>0.0</v>
      </c>
      <c r="F53" s="292">
        <v>3980.82</v>
      </c>
      <c r="G53" s="313" t="s">
        <v>907</v>
      </c>
      <c r="H53" s="286" t="s">
        <v>33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16" t="str">
        <f>B5</f>
        <v>신한 #672</v>
      </c>
      <c r="C54" s="282" t="s">
        <v>908</v>
      </c>
      <c r="D54" s="318" t="s">
        <v>909</v>
      </c>
      <c r="E54" s="291">
        <v>0.0</v>
      </c>
      <c r="F54" s="292">
        <v>2.39805E7</v>
      </c>
      <c r="G54" s="313" t="s">
        <v>910</v>
      </c>
      <c r="H54" s="286" t="s">
        <v>33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16" t="str">
        <f>B9</f>
        <v>WISE USD</v>
      </c>
      <c r="C55" s="282" t="s">
        <v>911</v>
      </c>
      <c r="D55" s="318" t="s">
        <v>894</v>
      </c>
      <c r="E55" s="291">
        <v>0.0</v>
      </c>
      <c r="F55" s="292">
        <v>2295.66</v>
      </c>
      <c r="G55" s="313" t="s">
        <v>912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16" t="str">
        <f>B5</f>
        <v>신한 #672</v>
      </c>
      <c r="C56" s="282" t="s">
        <v>913</v>
      </c>
      <c r="D56" s="318" t="s">
        <v>604</v>
      </c>
      <c r="E56" s="291">
        <v>0.0</v>
      </c>
      <c r="F56" s="292">
        <v>110000.0</v>
      </c>
      <c r="G56" s="313" t="s">
        <v>702</v>
      </c>
      <c r="H56" s="286" t="s">
        <v>33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16" t="str">
        <f>B5</f>
        <v>신한 #672</v>
      </c>
      <c r="C57" s="282" t="s">
        <v>913</v>
      </c>
      <c r="D57" s="318" t="s">
        <v>497</v>
      </c>
      <c r="E57" s="291">
        <v>0.0</v>
      </c>
      <c r="F57" s="292">
        <v>330000.0</v>
      </c>
      <c r="G57" s="313" t="s">
        <v>914</v>
      </c>
      <c r="H57" s="286" t="s">
        <v>33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316" t="str">
        <f>B5</f>
        <v>신한 #672</v>
      </c>
      <c r="C58" s="282" t="s">
        <v>913</v>
      </c>
      <c r="D58" s="318" t="s">
        <v>915</v>
      </c>
      <c r="E58" s="291">
        <v>0.0</v>
      </c>
      <c r="F58" s="292">
        <v>1240.0</v>
      </c>
      <c r="G58" s="313" t="s">
        <v>916</v>
      </c>
      <c r="H58" s="286" t="s">
        <v>33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16" t="str">
        <f>B5</f>
        <v>신한 #672</v>
      </c>
      <c r="C59" s="282" t="s">
        <v>913</v>
      </c>
      <c r="D59" s="318" t="s">
        <v>915</v>
      </c>
      <c r="E59" s="291">
        <v>0.0</v>
      </c>
      <c r="F59" s="292">
        <v>1240.0</v>
      </c>
      <c r="G59" s="313" t="s">
        <v>916</v>
      </c>
      <c r="H59" s="286" t="s">
        <v>33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16" t="str">
        <f>B5</f>
        <v>신한 #672</v>
      </c>
      <c r="C60" s="282" t="s">
        <v>913</v>
      </c>
      <c r="D60" s="318" t="s">
        <v>915</v>
      </c>
      <c r="E60" s="291">
        <v>0.0</v>
      </c>
      <c r="F60" s="292">
        <v>1540.0</v>
      </c>
      <c r="G60" s="313" t="s">
        <v>917</v>
      </c>
      <c r="H60" s="286" t="s">
        <v>33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16" t="str">
        <f>B5</f>
        <v>신한 #672</v>
      </c>
      <c r="C61" s="282" t="s">
        <v>913</v>
      </c>
      <c r="D61" s="318" t="s">
        <v>623</v>
      </c>
      <c r="E61" s="291">
        <v>0.0</v>
      </c>
      <c r="F61" s="292">
        <v>4658456.0</v>
      </c>
      <c r="G61" s="313" t="s">
        <v>918</v>
      </c>
      <c r="H61" s="286" t="s">
        <v>33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16" t="str">
        <f>B5</f>
        <v>신한 #672</v>
      </c>
      <c r="C62" s="282" t="s">
        <v>919</v>
      </c>
      <c r="D62" s="318" t="s">
        <v>920</v>
      </c>
      <c r="E62" s="291">
        <v>0.0</v>
      </c>
      <c r="F62" s="292">
        <v>77000.0</v>
      </c>
      <c r="G62" s="313" t="s">
        <v>921</v>
      </c>
      <c r="H62" s="286" t="s">
        <v>33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316" t="str">
        <f>B7</f>
        <v>하나 #304</v>
      </c>
      <c r="C63" s="282" t="s">
        <v>913</v>
      </c>
      <c r="D63" s="318" t="s">
        <v>721</v>
      </c>
      <c r="E63" s="291">
        <v>0.0</v>
      </c>
      <c r="F63" s="292">
        <v>1.1558274E7</v>
      </c>
      <c r="G63" s="313" t="s">
        <v>922</v>
      </c>
      <c r="H63" s="286" t="s">
        <v>33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16" t="str">
        <f>B7</f>
        <v>하나 #304</v>
      </c>
      <c r="C64" s="282" t="s">
        <v>923</v>
      </c>
      <c r="D64" s="318" t="s">
        <v>924</v>
      </c>
      <c r="E64" s="291">
        <v>0.0</v>
      </c>
      <c r="F64" s="292">
        <v>6.0682808E7</v>
      </c>
      <c r="G64" s="313" t="s">
        <v>925</v>
      </c>
      <c r="H64" s="286" t="s">
        <v>41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16" t="str">
        <f>B13</f>
        <v>OCBC SGD</v>
      </c>
      <c r="C65" s="282" t="s">
        <v>926</v>
      </c>
      <c r="D65" s="318" t="s">
        <v>927</v>
      </c>
      <c r="E65" s="291">
        <v>0.0</v>
      </c>
      <c r="F65" s="292">
        <v>15.0</v>
      </c>
      <c r="G65" s="313" t="s">
        <v>927</v>
      </c>
      <c r="H65" s="286" t="s">
        <v>33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B6</f>
        <v>신한 #543</v>
      </c>
      <c r="C66" s="282" t="s">
        <v>901</v>
      </c>
      <c r="D66" s="282" t="s">
        <v>928</v>
      </c>
      <c r="E66" s="291">
        <v>2.31</v>
      </c>
      <c r="F66" s="292">
        <v>0.0</v>
      </c>
      <c r="G66" s="313" t="s">
        <v>84</v>
      </c>
      <c r="H66" s="286" t="s">
        <v>75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B8</f>
        <v>하나 #138</v>
      </c>
      <c r="C67" s="282" t="s">
        <v>901</v>
      </c>
      <c r="D67" s="282" t="s">
        <v>928</v>
      </c>
      <c r="E67" s="291">
        <v>0.02</v>
      </c>
      <c r="F67" s="292">
        <v>0.0</v>
      </c>
      <c r="G67" s="313" t="s">
        <v>84</v>
      </c>
      <c r="H67" s="286" t="s">
        <v>75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B8</f>
        <v>하나 #138</v>
      </c>
      <c r="C68" s="282" t="s">
        <v>903</v>
      </c>
      <c r="D68" s="282" t="s">
        <v>679</v>
      </c>
      <c r="E68" s="291">
        <v>0.0</v>
      </c>
      <c r="F68" s="292">
        <v>100000.0</v>
      </c>
      <c r="G68" s="313" t="s">
        <v>679</v>
      </c>
      <c r="H68" s="286" t="s">
        <v>556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/>
      <c r="C69" s="282"/>
      <c r="D69" s="282"/>
      <c r="E69" s="291"/>
      <c r="F69" s="292"/>
      <c r="G69" s="313"/>
      <c r="H69" s="286"/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/>
      <c r="C70" s="282"/>
      <c r="D70" s="282"/>
      <c r="E70" s="291"/>
      <c r="F70" s="292"/>
      <c r="G70" s="313"/>
      <c r="H70" s="286"/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/>
      <c r="C71" s="282"/>
      <c r="D71" s="282"/>
      <c r="E71" s="291"/>
      <c r="F71" s="292"/>
      <c r="G71" s="313"/>
      <c r="H71" s="286"/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/>
      <c r="C72" s="282"/>
      <c r="D72" s="282"/>
      <c r="E72" s="291"/>
      <c r="F72" s="292"/>
      <c r="G72" s="313"/>
      <c r="H72" s="286"/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/>
      <c r="C73" s="282"/>
      <c r="D73" s="282"/>
      <c r="E73" s="291"/>
      <c r="F73" s="292"/>
      <c r="G73" s="313"/>
      <c r="H73" s="286"/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/>
      <c r="C74" s="282"/>
      <c r="D74" s="282"/>
      <c r="E74" s="291"/>
      <c r="F74" s="292"/>
      <c r="G74" s="313"/>
      <c r="H74" s="286"/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/>
      <c r="C75" s="282"/>
      <c r="D75" s="282"/>
      <c r="E75" s="291"/>
      <c r="F75" s="292"/>
      <c r="G75" s="313"/>
      <c r="H75" s="286"/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282"/>
      <c r="D76" s="282"/>
      <c r="E76" s="291"/>
      <c r="F76" s="292"/>
      <c r="G76" s="313"/>
      <c r="H76" s="286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282"/>
      <c r="D77" s="282"/>
      <c r="E77" s="291"/>
      <c r="F77" s="292"/>
      <c r="G77" s="313"/>
      <c r="H77" s="286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282"/>
      <c r="D78" s="282"/>
      <c r="E78" s="291"/>
      <c r="F78" s="292"/>
      <c r="G78" s="313"/>
      <c r="H78" s="286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282"/>
      <c r="D79" s="282"/>
      <c r="E79" s="291"/>
      <c r="F79" s="292"/>
      <c r="G79" s="313"/>
      <c r="H79" s="286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282"/>
      <c r="D80" s="282"/>
      <c r="E80" s="291"/>
      <c r="F80" s="292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282"/>
      <c r="D81" s="282"/>
      <c r="E81" s="291"/>
      <c r="F81" s="292"/>
      <c r="G81" s="313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282"/>
      <c r="D82" s="282"/>
      <c r="E82" s="291"/>
      <c r="F82" s="292"/>
      <c r="G82" s="313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92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92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91"/>
      <c r="F203" s="292"/>
      <c r="G203" s="313"/>
      <c r="H203" s="286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91"/>
      <c r="F204" s="292"/>
      <c r="G204" s="313"/>
      <c r="H204" s="286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91"/>
      <c r="F205" s="292"/>
      <c r="G205" s="313"/>
      <c r="H205" s="286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91"/>
      <c r="F206" s="292"/>
      <c r="G206" s="313"/>
      <c r="H206" s="286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B207" s="281"/>
      <c r="C207" s="282"/>
      <c r="D207" s="282"/>
      <c r="E207" s="291"/>
      <c r="F207" s="292"/>
      <c r="G207" s="313"/>
      <c r="H207" s="286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B208" s="281"/>
      <c r="C208" s="282"/>
      <c r="D208" s="282"/>
      <c r="E208" s="291"/>
      <c r="F208" s="292"/>
      <c r="G208" s="313"/>
      <c r="H208" s="286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B209" s="281"/>
      <c r="C209" s="282"/>
      <c r="D209" s="282"/>
      <c r="E209" s="291"/>
      <c r="F209" s="292"/>
      <c r="G209" s="313"/>
      <c r="H209" s="286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B210" s="281"/>
      <c r="C210" s="282"/>
      <c r="D210" s="282"/>
      <c r="E210" s="291"/>
      <c r="F210" s="292"/>
      <c r="G210" s="313"/>
      <c r="H210" s="286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B211" s="281"/>
      <c r="C211" s="282"/>
      <c r="D211" s="282"/>
      <c r="E211" s="291"/>
      <c r="F211" s="292"/>
      <c r="G211" s="313"/>
      <c r="H211" s="286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B212" s="281"/>
      <c r="C212" s="282"/>
      <c r="D212" s="282"/>
      <c r="E212" s="291"/>
      <c r="F212" s="292"/>
      <c r="G212" s="313"/>
      <c r="H212" s="286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B213" s="281"/>
      <c r="C213" s="282"/>
      <c r="D213" s="282"/>
      <c r="E213" s="291"/>
      <c r="F213" s="292"/>
      <c r="G213" s="313"/>
      <c r="H213" s="286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B214" s="281"/>
      <c r="C214" s="282"/>
      <c r="D214" s="282"/>
      <c r="E214" s="291"/>
      <c r="F214" s="292"/>
      <c r="G214" s="313"/>
      <c r="H214" s="286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B215" s="281"/>
      <c r="C215" s="282"/>
      <c r="D215" s="282"/>
      <c r="E215" s="291"/>
      <c r="F215" s="292"/>
      <c r="G215" s="313"/>
      <c r="H215" s="286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B216" s="281"/>
      <c r="C216" s="282"/>
      <c r="D216" s="282"/>
      <c r="E216" s="291"/>
      <c r="F216" s="292"/>
      <c r="G216" s="313"/>
      <c r="H216" s="286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B217" s="281"/>
      <c r="C217" s="282"/>
      <c r="D217" s="282"/>
      <c r="E217" s="291"/>
      <c r="F217" s="292"/>
      <c r="G217" s="313"/>
      <c r="H217" s="286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B218" s="281"/>
      <c r="C218" s="282"/>
      <c r="D218" s="282"/>
      <c r="E218" s="291"/>
      <c r="F218" s="292"/>
      <c r="G218" s="313"/>
      <c r="H218" s="286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B219" s="281"/>
      <c r="C219" s="282"/>
      <c r="D219" s="282"/>
      <c r="E219" s="291"/>
      <c r="F219" s="292"/>
      <c r="G219" s="313"/>
      <c r="H219" s="286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B220" s="281"/>
      <c r="C220" s="282"/>
      <c r="D220" s="282"/>
      <c r="E220" s="291"/>
      <c r="F220" s="292"/>
      <c r="G220" s="313"/>
      <c r="H220" s="286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B221" s="281"/>
      <c r="C221" s="282"/>
      <c r="D221" s="282"/>
      <c r="E221" s="291"/>
      <c r="F221" s="292"/>
      <c r="G221" s="313"/>
      <c r="H221" s="286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B222" s="281"/>
      <c r="C222" s="282"/>
      <c r="D222" s="282"/>
      <c r="E222" s="291"/>
      <c r="F222" s="292"/>
      <c r="G222" s="313"/>
      <c r="H222" s="286"/>
      <c r="I222" s="107"/>
      <c r="J222" s="141"/>
      <c r="K222" s="138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B223" s="281"/>
      <c r="C223" s="282"/>
      <c r="D223" s="282"/>
      <c r="E223" s="291"/>
      <c r="F223" s="292"/>
      <c r="G223" s="313"/>
      <c r="H223" s="286"/>
      <c r="I223" s="107"/>
      <c r="J223" s="141"/>
      <c r="K223" s="138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B224" s="281"/>
      <c r="C224" s="282"/>
      <c r="D224" s="282"/>
      <c r="E224" s="291"/>
      <c r="F224" s="292"/>
      <c r="G224" s="313"/>
      <c r="H224" s="286"/>
      <c r="I224" s="107"/>
      <c r="J224" s="141"/>
      <c r="K224" s="138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B225" s="281"/>
      <c r="C225" s="282"/>
      <c r="D225" s="282"/>
      <c r="E225" s="291"/>
      <c r="F225" s="292"/>
      <c r="G225" s="313"/>
      <c r="H225" s="286"/>
      <c r="I225" s="107"/>
      <c r="J225" s="141"/>
      <c r="K225" s="138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B226" s="281"/>
      <c r="C226" s="282"/>
      <c r="D226" s="282"/>
      <c r="E226" s="291"/>
      <c r="F226" s="292"/>
      <c r="G226" s="313"/>
      <c r="H226" s="286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B227" s="281"/>
      <c r="C227" s="282"/>
      <c r="D227" s="282"/>
      <c r="E227" s="291"/>
      <c r="F227" s="292"/>
      <c r="G227" s="313"/>
      <c r="H227" s="286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B228" s="281"/>
      <c r="C228" s="282"/>
      <c r="D228" s="282"/>
      <c r="E228" s="291"/>
      <c r="F228" s="292"/>
      <c r="G228" s="313"/>
      <c r="H228" s="286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B229" s="281"/>
      <c r="C229" s="282"/>
      <c r="D229" s="282"/>
      <c r="E229" s="291"/>
      <c r="F229" s="292"/>
      <c r="G229" s="313"/>
      <c r="H229" s="286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B230" s="281"/>
      <c r="C230" s="282"/>
      <c r="D230" s="282"/>
      <c r="E230" s="291"/>
      <c r="F230" s="292"/>
      <c r="G230" s="313"/>
      <c r="H230" s="286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B231" s="281"/>
      <c r="C231" s="282"/>
      <c r="D231" s="282"/>
      <c r="E231" s="291"/>
      <c r="F231" s="292"/>
      <c r="G231" s="313"/>
      <c r="H231" s="286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105"/>
      <c r="B232" s="281"/>
      <c r="C232" s="282"/>
      <c r="D232" s="282"/>
      <c r="E232" s="291"/>
      <c r="F232" s="292"/>
      <c r="G232" s="313"/>
      <c r="H232" s="286"/>
      <c r="I232" s="107"/>
      <c r="J232" s="141"/>
      <c r="K232" s="138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B233" s="281"/>
      <c r="C233" s="282"/>
      <c r="D233" s="282"/>
      <c r="E233" s="291"/>
      <c r="F233" s="292"/>
      <c r="G233" s="313"/>
      <c r="H233" s="286"/>
      <c r="I233" s="107"/>
      <c r="J233" s="141"/>
      <c r="K233" s="138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B234" s="281"/>
      <c r="C234" s="282"/>
      <c r="D234" s="282"/>
      <c r="E234" s="291"/>
      <c r="F234" s="292"/>
      <c r="G234" s="313"/>
      <c r="H234" s="286"/>
      <c r="I234" s="107"/>
      <c r="J234" s="141"/>
      <c r="K234" s="138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B235" s="281"/>
      <c r="C235" s="282"/>
      <c r="D235" s="282"/>
      <c r="E235" s="291"/>
      <c r="F235" s="292"/>
      <c r="G235" s="313"/>
      <c r="H235" s="286"/>
      <c r="I235" s="107"/>
      <c r="J235" s="141"/>
      <c r="K235" s="138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B236" s="281"/>
      <c r="C236" s="282"/>
      <c r="D236" s="282"/>
      <c r="E236" s="291"/>
      <c r="F236" s="292"/>
      <c r="G236" s="313"/>
      <c r="H236" s="286"/>
      <c r="I236" s="107"/>
      <c r="J236" s="141"/>
      <c r="K236" s="138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B237" s="281"/>
      <c r="C237" s="282"/>
      <c r="D237" s="282"/>
      <c r="E237" s="291"/>
      <c r="F237" s="292"/>
      <c r="G237" s="313"/>
      <c r="H237" s="286"/>
      <c r="I237" s="107"/>
      <c r="J237" s="141"/>
      <c r="K237" s="138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B238" s="281"/>
      <c r="C238" s="282"/>
      <c r="D238" s="282"/>
      <c r="E238" s="291"/>
      <c r="F238" s="292"/>
      <c r="G238" s="313"/>
      <c r="H238" s="286"/>
      <c r="I238" s="107"/>
      <c r="J238" s="141"/>
      <c r="K238" s="138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B239" s="281"/>
      <c r="C239" s="282"/>
      <c r="D239" s="282"/>
      <c r="E239" s="291"/>
      <c r="F239" s="292"/>
      <c r="G239" s="313"/>
      <c r="H239" s="286"/>
      <c r="I239" s="107"/>
      <c r="J239" s="141"/>
      <c r="K239" s="138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B240" s="281"/>
      <c r="C240" s="282"/>
      <c r="D240" s="282"/>
      <c r="E240" s="291"/>
      <c r="F240" s="292"/>
      <c r="G240" s="313"/>
      <c r="H240" s="286"/>
      <c r="I240" s="107"/>
      <c r="J240" s="141"/>
      <c r="K240" s="138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B241" s="281"/>
      <c r="C241" s="282"/>
      <c r="D241" s="282"/>
      <c r="E241" s="291"/>
      <c r="F241" s="292"/>
      <c r="G241" s="313"/>
      <c r="H241" s="286"/>
      <c r="I241" s="107"/>
      <c r="J241" s="141"/>
      <c r="K241" s="138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B242" s="281"/>
      <c r="C242" s="282"/>
      <c r="D242" s="282"/>
      <c r="E242" s="291"/>
      <c r="F242" s="292"/>
      <c r="G242" s="313"/>
      <c r="H242" s="286"/>
      <c r="I242" s="107"/>
      <c r="J242" s="141"/>
      <c r="K242" s="138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B243" s="281"/>
      <c r="C243" s="282"/>
      <c r="D243" s="282"/>
      <c r="E243" s="291"/>
      <c r="F243" s="292"/>
      <c r="G243" s="313"/>
      <c r="H243" s="286"/>
      <c r="I243" s="107"/>
      <c r="J243" s="141"/>
      <c r="K243" s="138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B244" s="281"/>
      <c r="C244" s="282"/>
      <c r="D244" s="282"/>
      <c r="E244" s="291"/>
      <c r="F244" s="292"/>
      <c r="G244" s="313"/>
      <c r="H244" s="286"/>
      <c r="I244" s="107"/>
      <c r="J244" s="141"/>
      <c r="K244" s="138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B245" s="281"/>
      <c r="C245" s="282"/>
      <c r="D245" s="282"/>
      <c r="E245" s="291"/>
      <c r="F245" s="292"/>
      <c r="G245" s="313"/>
      <c r="H245" s="286"/>
      <c r="I245" s="107"/>
      <c r="J245" s="141"/>
      <c r="K245" s="138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B246" s="281"/>
      <c r="C246" s="282"/>
      <c r="D246" s="282"/>
      <c r="E246" s="291"/>
      <c r="F246" s="292"/>
      <c r="G246" s="313"/>
      <c r="H246" s="286"/>
      <c r="I246" s="107"/>
      <c r="J246" s="141"/>
      <c r="K246" s="138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0" customHeight="1">
      <c r="A247" s="105"/>
      <c r="B247" s="281"/>
      <c r="C247" s="282"/>
      <c r="D247" s="282"/>
      <c r="E247" s="291"/>
      <c r="F247" s="292"/>
      <c r="G247" s="313"/>
      <c r="H247" s="286"/>
      <c r="I247" s="107"/>
      <c r="J247" s="141"/>
      <c r="K247" s="138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0" customHeight="1">
      <c r="A248" s="105"/>
      <c r="B248" s="281"/>
      <c r="C248" s="282"/>
      <c r="D248" s="282"/>
      <c r="E248" s="291"/>
      <c r="F248" s="292"/>
      <c r="G248" s="313"/>
      <c r="H248" s="286"/>
      <c r="I248" s="107"/>
      <c r="J248" s="141"/>
      <c r="K248" s="138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0" customHeight="1">
      <c r="A249" s="105"/>
      <c r="B249" s="281"/>
      <c r="C249" s="282"/>
      <c r="D249" s="282"/>
      <c r="E249" s="291"/>
      <c r="F249" s="292"/>
      <c r="G249" s="313"/>
      <c r="H249" s="286"/>
      <c r="I249" s="107"/>
      <c r="J249" s="141"/>
      <c r="K249" s="138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0" customHeight="1">
      <c r="A250" s="105"/>
      <c r="B250" s="281"/>
      <c r="C250" s="282"/>
      <c r="D250" s="282"/>
      <c r="E250" s="291"/>
      <c r="F250" s="292"/>
      <c r="G250" s="313"/>
      <c r="H250" s="286"/>
      <c r="I250" s="107"/>
      <c r="J250" s="141"/>
      <c r="K250" s="138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0" customHeight="1">
      <c r="A251" s="105"/>
      <c r="B251" s="281"/>
      <c r="C251" s="282"/>
      <c r="D251" s="282"/>
      <c r="E251" s="291"/>
      <c r="F251" s="292"/>
      <c r="G251" s="313"/>
      <c r="H251" s="286"/>
      <c r="I251" s="107"/>
      <c r="J251" s="141"/>
      <c r="K251" s="138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5.0" customHeight="1">
      <c r="A252" s="105"/>
      <c r="B252" s="281"/>
      <c r="C252" s="282"/>
      <c r="D252" s="282"/>
      <c r="E252" s="291"/>
      <c r="F252" s="292"/>
      <c r="G252" s="313"/>
      <c r="H252" s="286"/>
      <c r="I252" s="107"/>
      <c r="J252" s="141"/>
      <c r="K252" s="138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</sheetData>
  <autoFilter ref="$B$21:$H$252">
    <sortState ref="B21:H252">
      <sortCondition ref="B21:B252"/>
    </sortState>
  </autoFilter>
  <customSheetViews>
    <customSheetView guid="{CD2BF927-9D79-47FC-BBA8-927062D6B3F5}" filter="1" showAutoFilter="1">
      <autoFilter ref="$B$21:$H$252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52">
      <formula1>$L:$L</formula1>
    </dataValidation>
  </dataValidations>
  <hyperlinks>
    <hyperlink r:id="rId1" ref="I3"/>
    <hyperlink r:id="rId2" ref="I4"/>
    <hyperlink r:id="rId3" ref="D40"/>
    <hyperlink r:id="rId4" ref="D47"/>
  </hyperlinks>
  <printOptions/>
  <pageMargins bottom="0.75" footer="0.0" header="0.0" left="0.25" right="0.25" top="0.75"/>
  <pageSetup fitToHeight="0" paperSize="9" orientation="portrait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2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4.86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929</v>
      </c>
      <c r="H3" s="115"/>
      <c r="I3" s="299" t="s">
        <v>19</v>
      </c>
      <c r="J3" s="300">
        <v>1228.7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3">
        <v>934.76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v>5.6663274E7</v>
      </c>
      <c r="E5" s="227">
        <f>sumif(B22:B129,B5,E22:E129)</f>
        <v>80000000</v>
      </c>
      <c r="F5" s="228">
        <f>sumif(B22:B172,B5,F22:F172)</f>
        <v>107409230</v>
      </c>
      <c r="G5" s="229">
        <f t="shared" ref="G5:G9" si="1">D5+E5-F5</f>
        <v>29254044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v>2.31</v>
      </c>
      <c r="E6" s="233">
        <f>sumif(B22:B131,B6,E22:E131)</f>
        <v>0</v>
      </c>
      <c r="F6" s="234">
        <f>sumif(B22:B172,B6,F22:F172)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v>8.5269299E7</v>
      </c>
      <c r="E7" s="237">
        <f>sumif(B22:B131,B7,E22:E131)</f>
        <v>0</v>
      </c>
      <c r="F7" s="238">
        <f>sumif(B22:B172,B7,F22:F172)</f>
        <v>82987474</v>
      </c>
      <c r="G7" s="239">
        <f t="shared" si="1"/>
        <v>2281825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v>0.02</v>
      </c>
      <c r="E8" s="240">
        <f>sumif(B22:B131,B8,E22:E131)</f>
        <v>0</v>
      </c>
      <c r="F8" s="234">
        <f>sumif(B22:B172,B8,F22:F172)</f>
        <v>0</v>
      </c>
      <c r="G8" s="235">
        <f t="shared" si="1"/>
        <v>0.02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v>30184.72</v>
      </c>
      <c r="E9" s="240">
        <f>sumif(B22:B172,B9,E22:E129)</f>
        <v>134788.82</v>
      </c>
      <c r="F9" s="234">
        <f>sumif(B22:B172,B9,F22:F172)</f>
        <v>17800.51</v>
      </c>
      <c r="G9" s="235">
        <f t="shared" si="1"/>
        <v>147173.03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v>0.0</v>
      </c>
      <c r="E10" s="242">
        <f>sumif(B22:B129,B10,E22:E172)</f>
        <v>0</v>
      </c>
      <c r="F10" s="319">
        <f t="shared" ref="F10:G10" si="2">sumif(B22:B172,B10,F22:F172)</f>
        <v>0</v>
      </c>
      <c r="G10" s="320">
        <f t="shared" si="2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v>0.0</v>
      </c>
      <c r="E11" s="245">
        <f>sumif(B22:B131,B11,E22:E131)</f>
        <v>0</v>
      </c>
      <c r="F11" s="238">
        <f>sumif(B22:B172,B11,F22:F172)</f>
        <v>0</v>
      </c>
      <c r="G11" s="239">
        <f t="shared" ref="G11:G13" si="3">D11+E11-F11</f>
        <v>0</v>
      </c>
      <c r="H11" s="125"/>
      <c r="I11" s="105"/>
      <c r="J11" s="105"/>
      <c r="K11" s="105"/>
      <c r="L11" s="83" t="s">
        <v>77</v>
      </c>
      <c r="M11" s="84" t="s">
        <v>78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v>7121.24</v>
      </c>
      <c r="E12" s="233">
        <f>sumif(B22:B131,B12,E22:E131)</f>
        <v>0</v>
      </c>
      <c r="F12" s="234">
        <f>sumif(B22:B171,B12,F22:F171)</f>
        <v>0</v>
      </c>
      <c r="G12" s="235">
        <f t="shared" si="3"/>
        <v>7121.24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v>880.0</v>
      </c>
      <c r="E13" s="308">
        <f>sumif(B22:B131,B13,E22:E131)</f>
        <v>0</v>
      </c>
      <c r="F13" s="309">
        <f>sumif(B22:B171,B13,F22:F171)</f>
        <v>0</v>
      </c>
      <c r="G13" s="310">
        <f t="shared" si="3"/>
        <v>880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hidden="1" customHeight="1" outlineLevel="2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258"/>
      <c r="M14" s="258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 collapsed="1">
      <c r="A15" s="109"/>
      <c r="B15" s="259" t="s">
        <v>35</v>
      </c>
      <c r="C15" s="260"/>
      <c r="D15" s="261">
        <f t="shared" ref="D15:F15" si="4">D5+D7+D11</f>
        <v>141932573</v>
      </c>
      <c r="E15" s="262">
        <f t="shared" si="4"/>
        <v>80000000</v>
      </c>
      <c r="F15" s="263">
        <f t="shared" si="4"/>
        <v>190396704</v>
      </c>
      <c r="G15" s="264">
        <f>G5+G11+G7</f>
        <v>31535869</v>
      </c>
      <c r="H15" s="265">
        <f>G15</f>
        <v>31535869</v>
      </c>
      <c r="I15" s="133"/>
      <c r="J15" s="133"/>
      <c r="K15" s="133"/>
      <c r="L15" s="83" t="s">
        <v>12</v>
      </c>
      <c r="M15" s="83" t="s">
        <v>13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5">D6+D8+D9+D12</f>
        <v>37308.29</v>
      </c>
      <c r="E16" s="269">
        <f t="shared" si="5"/>
        <v>134788.82</v>
      </c>
      <c r="F16" s="270">
        <f t="shared" si="5"/>
        <v>17800.51</v>
      </c>
      <c r="G16" s="271">
        <f>G9+G6+G8+G12</f>
        <v>154296.6</v>
      </c>
      <c r="H16" s="265">
        <f>rounddown(G16*$J$3,0)</f>
        <v>189584232</v>
      </c>
      <c r="I16" s="134"/>
      <c r="J16" s="134"/>
      <c r="K16" s="134"/>
      <c r="L16" s="83" t="s">
        <v>39</v>
      </c>
      <c r="M16" s="84" t="s">
        <v>40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6">D10+D13</f>
        <v>880</v>
      </c>
      <c r="E17" s="274">
        <f t="shared" si="6"/>
        <v>0</v>
      </c>
      <c r="F17" s="275">
        <f t="shared" si="6"/>
        <v>0</v>
      </c>
      <c r="G17" s="276">
        <f t="shared" si="6"/>
        <v>880</v>
      </c>
      <c r="H17" s="277">
        <f>rounddown(G17*$J$4,0)</f>
        <v>822588</v>
      </c>
      <c r="I17" s="103"/>
      <c r="J17" s="103"/>
      <c r="K17" s="103"/>
      <c r="L17" s="83" t="s">
        <v>29</v>
      </c>
      <c r="M17" s="83" t="s">
        <v>30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7">SUM(H15:H17)</f>
        <v>221942689</v>
      </c>
      <c r="I18" s="279">
        <f t="shared" si="7"/>
        <v>0</v>
      </c>
      <c r="J18" s="103"/>
      <c r="K18" s="103"/>
      <c r="L18" s="83" t="s">
        <v>33</v>
      </c>
      <c r="M18" s="84" t="s">
        <v>34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12"/>
      <c r="I19" s="138"/>
      <c r="J19" s="99"/>
      <c r="K19" s="99"/>
      <c r="L19" s="83" t="s">
        <v>75</v>
      </c>
      <c r="M19" s="83" t="s">
        <v>76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27</v>
      </c>
      <c r="M20" s="83" t="s">
        <v>28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930</v>
      </c>
      <c r="M21" s="83" t="s">
        <v>931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B5</f>
        <v>신한 #672</v>
      </c>
      <c r="C22" s="282" t="s">
        <v>932</v>
      </c>
      <c r="D22" s="282" t="s">
        <v>933</v>
      </c>
      <c r="E22" s="283">
        <v>0.0</v>
      </c>
      <c r="F22" s="284">
        <v>5489500.0</v>
      </c>
      <c r="G22" s="313" t="s">
        <v>934</v>
      </c>
      <c r="H22" s="286" t="s">
        <v>16</v>
      </c>
      <c r="I22" s="107"/>
      <c r="J22" s="107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B9</f>
        <v>WISE USD</v>
      </c>
      <c r="C23" s="282" t="s">
        <v>932</v>
      </c>
      <c r="D23" s="282" t="s">
        <v>935</v>
      </c>
      <c r="E23" s="283">
        <v>0.0</v>
      </c>
      <c r="F23" s="292">
        <v>14.17</v>
      </c>
      <c r="G23" s="313" t="s">
        <v>516</v>
      </c>
      <c r="H23" s="286" t="s">
        <v>33</v>
      </c>
      <c r="I23" s="107"/>
      <c r="J23" s="141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B9</f>
        <v>WISE USD</v>
      </c>
      <c r="C24" s="282" t="s">
        <v>932</v>
      </c>
      <c r="D24" s="282" t="s">
        <v>936</v>
      </c>
      <c r="E24" s="283">
        <v>0.0</v>
      </c>
      <c r="F24" s="292">
        <v>10423.07</v>
      </c>
      <c r="G24" s="313" t="s">
        <v>937</v>
      </c>
      <c r="H24" s="286" t="s">
        <v>41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B5</f>
        <v>신한 #672</v>
      </c>
      <c r="C25" s="282" t="s">
        <v>938</v>
      </c>
      <c r="D25" s="282" t="s">
        <v>939</v>
      </c>
      <c r="E25" s="283">
        <v>0.0</v>
      </c>
      <c r="F25" s="284">
        <v>422860.0</v>
      </c>
      <c r="G25" s="313" t="s">
        <v>940</v>
      </c>
      <c r="H25" s="286" t="s">
        <v>31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B5</f>
        <v>신한 #672</v>
      </c>
      <c r="C26" s="282" t="s">
        <v>938</v>
      </c>
      <c r="D26" s="282" t="s">
        <v>941</v>
      </c>
      <c r="E26" s="283">
        <v>0.0</v>
      </c>
      <c r="F26" s="284">
        <v>4229330.0</v>
      </c>
      <c r="G26" s="313" t="s">
        <v>942</v>
      </c>
      <c r="H26" s="286" t="s">
        <v>31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B5</f>
        <v>신한 #672</v>
      </c>
      <c r="C27" s="282" t="s">
        <v>938</v>
      </c>
      <c r="D27" s="282" t="s">
        <v>943</v>
      </c>
      <c r="E27" s="283">
        <v>0.0</v>
      </c>
      <c r="F27" s="284">
        <v>825000.0</v>
      </c>
      <c r="G27" s="313" t="s">
        <v>944</v>
      </c>
      <c r="H27" s="286" t="s">
        <v>33</v>
      </c>
      <c r="I27" s="107"/>
      <c r="J27" s="141"/>
      <c r="K27" s="138"/>
      <c r="L27" s="83" t="s">
        <v>945</v>
      </c>
      <c r="M27" s="84" t="s">
        <v>78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B5</f>
        <v>신한 #672</v>
      </c>
      <c r="C28" s="282" t="s">
        <v>938</v>
      </c>
      <c r="D28" s="282" t="s">
        <v>946</v>
      </c>
      <c r="E28" s="283">
        <v>0.0</v>
      </c>
      <c r="F28" s="284">
        <v>5913330.0</v>
      </c>
      <c r="G28" s="313" t="s">
        <v>947</v>
      </c>
      <c r="H28" s="286" t="s">
        <v>33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B5</f>
        <v>신한 #672</v>
      </c>
      <c r="C29" s="282" t="s">
        <v>948</v>
      </c>
      <c r="D29" s="282" t="s">
        <v>949</v>
      </c>
      <c r="E29" s="283">
        <v>0.0</v>
      </c>
      <c r="F29" s="284">
        <v>5371520.0</v>
      </c>
      <c r="G29" s="313" t="s">
        <v>950</v>
      </c>
      <c r="H29" s="286" t="s">
        <v>31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B5</f>
        <v>신한 #672</v>
      </c>
      <c r="C30" s="282" t="s">
        <v>948</v>
      </c>
      <c r="D30" s="282" t="s">
        <v>951</v>
      </c>
      <c r="E30" s="283">
        <v>0.0</v>
      </c>
      <c r="F30" s="284">
        <v>5544600.0</v>
      </c>
      <c r="G30" s="313" t="s">
        <v>952</v>
      </c>
      <c r="H30" s="286" t="s">
        <v>31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B5</f>
        <v>신한 #672</v>
      </c>
      <c r="C31" s="282" t="s">
        <v>948</v>
      </c>
      <c r="D31" s="282" t="s">
        <v>953</v>
      </c>
      <c r="E31" s="283">
        <v>0.0</v>
      </c>
      <c r="F31" s="284">
        <v>1272420.0</v>
      </c>
      <c r="G31" s="313" t="s">
        <v>954</v>
      </c>
      <c r="H31" s="286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B5</f>
        <v>신한 #672</v>
      </c>
      <c r="C32" s="282" t="s">
        <v>948</v>
      </c>
      <c r="D32" s="282" t="s">
        <v>955</v>
      </c>
      <c r="E32" s="283">
        <v>0.0</v>
      </c>
      <c r="F32" s="284">
        <v>471550.0</v>
      </c>
      <c r="G32" s="313" t="s">
        <v>956</v>
      </c>
      <c r="H32" s="286" t="s">
        <v>31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B5</f>
        <v>신한 #672</v>
      </c>
      <c r="C33" s="282" t="s">
        <v>957</v>
      </c>
      <c r="D33" s="282" t="s">
        <v>958</v>
      </c>
      <c r="E33" s="283">
        <v>0.0</v>
      </c>
      <c r="F33" s="284">
        <v>4500.0</v>
      </c>
      <c r="G33" s="313" t="s">
        <v>959</v>
      </c>
      <c r="H33" s="286" t="s">
        <v>33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B9</f>
        <v>WISE USD</v>
      </c>
      <c r="C34" s="282" t="s">
        <v>960</v>
      </c>
      <c r="D34" s="282" t="s">
        <v>936</v>
      </c>
      <c r="E34" s="283">
        <v>0.0</v>
      </c>
      <c r="F34" s="292">
        <v>660.39</v>
      </c>
      <c r="G34" s="313" t="s">
        <v>961</v>
      </c>
      <c r="H34" s="286" t="s">
        <v>33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282" t="s">
        <v>960</v>
      </c>
      <c r="D35" s="282" t="s">
        <v>962</v>
      </c>
      <c r="E35" s="283">
        <v>0.0</v>
      </c>
      <c r="F35" s="284">
        <v>64370.0</v>
      </c>
      <c r="G35" s="313" t="s">
        <v>963</v>
      </c>
      <c r="H35" s="286" t="s">
        <v>31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282" t="s">
        <v>960</v>
      </c>
      <c r="D36" s="282" t="s">
        <v>964</v>
      </c>
      <c r="E36" s="283">
        <v>0.0</v>
      </c>
      <c r="F36" s="284">
        <v>5289865.0</v>
      </c>
      <c r="G36" s="313" t="s">
        <v>965</v>
      </c>
      <c r="H36" s="286" t="s">
        <v>33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WISE USD</v>
      </c>
      <c r="C37" s="282" t="s">
        <v>966</v>
      </c>
      <c r="D37" s="317" t="s">
        <v>542</v>
      </c>
      <c r="E37" s="283">
        <v>0.0</v>
      </c>
      <c r="F37" s="292">
        <v>10.0</v>
      </c>
      <c r="G37" s="314" t="s">
        <v>967</v>
      </c>
      <c r="H37" s="286" t="s">
        <v>33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282" t="s">
        <v>968</v>
      </c>
      <c r="D38" s="282" t="s">
        <v>969</v>
      </c>
      <c r="E38" s="283">
        <v>0.0</v>
      </c>
      <c r="F38" s="284">
        <v>1208300.0</v>
      </c>
      <c r="G38" s="313" t="s">
        <v>970</v>
      </c>
      <c r="H38" s="286" t="s">
        <v>930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B9</f>
        <v>WISE USD</v>
      </c>
      <c r="C39" s="282" t="s">
        <v>968</v>
      </c>
      <c r="D39" s="282" t="s">
        <v>971</v>
      </c>
      <c r="E39" s="283">
        <v>0.0</v>
      </c>
      <c r="F39" s="292">
        <v>4303.29</v>
      </c>
      <c r="G39" s="313" t="s">
        <v>972</v>
      </c>
      <c r="H39" s="286" t="s">
        <v>33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B9</f>
        <v>WISE USD</v>
      </c>
      <c r="C40" s="282" t="s">
        <v>968</v>
      </c>
      <c r="D40" s="282" t="s">
        <v>888</v>
      </c>
      <c r="E40" s="291">
        <v>134788.82</v>
      </c>
      <c r="F40" s="292">
        <v>0.0</v>
      </c>
      <c r="G40" s="313" t="s">
        <v>973</v>
      </c>
      <c r="H40" s="286" t="s">
        <v>556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B9</f>
        <v>WISE USD</v>
      </c>
      <c r="C41" s="282" t="s">
        <v>974</v>
      </c>
      <c r="D41" s="321" t="s">
        <v>975</v>
      </c>
      <c r="E41" s="283">
        <v>0.0</v>
      </c>
      <c r="F41" s="292">
        <v>38.4</v>
      </c>
      <c r="G41" s="313" t="s">
        <v>976</v>
      </c>
      <c r="H41" s="286" t="s">
        <v>33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282" t="s">
        <v>977</v>
      </c>
      <c r="D42" s="282" t="s">
        <v>904</v>
      </c>
      <c r="E42" s="283">
        <v>8.0E7</v>
      </c>
      <c r="F42" s="284">
        <v>0.0</v>
      </c>
      <c r="G42" s="313" t="s">
        <v>978</v>
      </c>
      <c r="H42" s="286" t="s">
        <v>556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282" t="s">
        <v>977</v>
      </c>
      <c r="D43" s="282" t="s">
        <v>979</v>
      </c>
      <c r="E43" s="283">
        <v>0.0</v>
      </c>
      <c r="F43" s="284">
        <v>476800.0</v>
      </c>
      <c r="G43" s="313" t="s">
        <v>980</v>
      </c>
      <c r="H43" s="286" t="s">
        <v>33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B5</f>
        <v>신한 #672</v>
      </c>
      <c r="C44" s="282" t="s">
        <v>981</v>
      </c>
      <c r="D44" s="282" t="s">
        <v>982</v>
      </c>
      <c r="E44" s="283">
        <v>0.0</v>
      </c>
      <c r="F44" s="284">
        <v>110000.0</v>
      </c>
      <c r="G44" s="313" t="s">
        <v>983</v>
      </c>
      <c r="H44" s="286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B7</f>
        <v>하나 #304</v>
      </c>
      <c r="C45" s="282" t="s">
        <v>977</v>
      </c>
      <c r="D45" s="282" t="s">
        <v>984</v>
      </c>
      <c r="E45" s="283">
        <v>0.0</v>
      </c>
      <c r="F45" s="284">
        <v>8.00005E7</v>
      </c>
      <c r="G45" s="313" t="s">
        <v>985</v>
      </c>
      <c r="H45" s="286" t="s">
        <v>556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B7</f>
        <v>하나 #304</v>
      </c>
      <c r="C46" s="282" t="s">
        <v>981</v>
      </c>
      <c r="D46" s="282" t="s">
        <v>721</v>
      </c>
      <c r="E46" s="283">
        <v>0.0</v>
      </c>
      <c r="F46" s="284">
        <v>2986974.0</v>
      </c>
      <c r="G46" s="313" t="s">
        <v>922</v>
      </c>
      <c r="H46" s="286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16" t="str">
        <f>B9</f>
        <v>WISE USD</v>
      </c>
      <c r="C47" s="282" t="s">
        <v>977</v>
      </c>
      <c r="D47" s="318" t="s">
        <v>519</v>
      </c>
      <c r="E47" s="283">
        <v>0.0</v>
      </c>
      <c r="F47" s="292">
        <v>1209.69</v>
      </c>
      <c r="G47" s="313" t="s">
        <v>986</v>
      </c>
      <c r="H47" s="286" t="s">
        <v>33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B9</f>
        <v>WISE USD</v>
      </c>
      <c r="C48" s="282" t="s">
        <v>977</v>
      </c>
      <c r="D48" s="282" t="s">
        <v>987</v>
      </c>
      <c r="E48" s="283">
        <v>0.0</v>
      </c>
      <c r="F48" s="292">
        <v>1141.5</v>
      </c>
      <c r="G48" s="313" t="s">
        <v>988</v>
      </c>
      <c r="H48" s="286" t="s">
        <v>33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B5</f>
        <v>신한 #672</v>
      </c>
      <c r="C49" s="282" t="s">
        <v>981</v>
      </c>
      <c r="D49" s="282" t="s">
        <v>122</v>
      </c>
      <c r="E49" s="283">
        <v>0.0</v>
      </c>
      <c r="F49" s="322">
        <v>5736068.0</v>
      </c>
      <c r="G49" s="313" t="s">
        <v>989</v>
      </c>
      <c r="H49" s="286" t="s">
        <v>41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B5</f>
        <v>신한 #672</v>
      </c>
      <c r="C50" s="282" t="s">
        <v>981</v>
      </c>
      <c r="D50" s="282" t="s">
        <v>112</v>
      </c>
      <c r="E50" s="283">
        <v>0.0</v>
      </c>
      <c r="F50" s="322">
        <v>5436478.0</v>
      </c>
      <c r="G50" s="313" t="s">
        <v>989</v>
      </c>
      <c r="H50" s="286" t="s">
        <v>41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167" t="str">
        <f>B5</f>
        <v>신한 #672</v>
      </c>
      <c r="C51" s="282" t="s">
        <v>981</v>
      </c>
      <c r="D51" s="282" t="s">
        <v>113</v>
      </c>
      <c r="E51" s="283">
        <v>0.0</v>
      </c>
      <c r="F51" s="322">
        <v>5436478.0</v>
      </c>
      <c r="G51" s="313" t="s">
        <v>989</v>
      </c>
      <c r="H51" s="286" t="s">
        <v>41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167" t="str">
        <f>B5</f>
        <v>신한 #672</v>
      </c>
      <c r="C52" s="282" t="s">
        <v>981</v>
      </c>
      <c r="D52" s="282" t="s">
        <v>115</v>
      </c>
      <c r="E52" s="283">
        <v>0.0</v>
      </c>
      <c r="F52" s="322">
        <v>5673958.0</v>
      </c>
      <c r="G52" s="313" t="s">
        <v>989</v>
      </c>
      <c r="H52" s="286" t="s">
        <v>41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167" t="str">
        <f>B5</f>
        <v>신한 #672</v>
      </c>
      <c r="C53" s="282" t="s">
        <v>981</v>
      </c>
      <c r="D53" s="282" t="s">
        <v>116</v>
      </c>
      <c r="E53" s="283">
        <v>0.0</v>
      </c>
      <c r="F53" s="322">
        <v>3057815.0</v>
      </c>
      <c r="G53" s="313" t="s">
        <v>989</v>
      </c>
      <c r="H53" s="286" t="s">
        <v>41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167" t="str">
        <f>B5</f>
        <v>신한 #672</v>
      </c>
      <c r="C54" s="282" t="s">
        <v>981</v>
      </c>
      <c r="D54" s="282" t="s">
        <v>118</v>
      </c>
      <c r="E54" s="283">
        <v>0.0</v>
      </c>
      <c r="F54" s="322">
        <v>4934670.0</v>
      </c>
      <c r="G54" s="313" t="s">
        <v>989</v>
      </c>
      <c r="H54" s="286" t="s">
        <v>41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167" t="str">
        <f>B5</f>
        <v>신한 #672</v>
      </c>
      <c r="C55" s="282" t="s">
        <v>981</v>
      </c>
      <c r="D55" s="282" t="s">
        <v>119</v>
      </c>
      <c r="E55" s="283">
        <v>0.0</v>
      </c>
      <c r="F55" s="322">
        <v>6426014.0</v>
      </c>
      <c r="G55" s="313" t="s">
        <v>989</v>
      </c>
      <c r="H55" s="286" t="s">
        <v>41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167" t="str">
        <f>B5</f>
        <v>신한 #672</v>
      </c>
      <c r="C56" s="282" t="s">
        <v>981</v>
      </c>
      <c r="D56" s="282" t="s">
        <v>990</v>
      </c>
      <c r="E56" s="283">
        <v>0.0</v>
      </c>
      <c r="F56" s="322">
        <v>4551677.0</v>
      </c>
      <c r="G56" s="313" t="s">
        <v>989</v>
      </c>
      <c r="H56" s="286" t="s">
        <v>41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167" t="str">
        <f>B5</f>
        <v>신한 #672</v>
      </c>
      <c r="C57" s="282" t="s">
        <v>981</v>
      </c>
      <c r="D57" s="282" t="s">
        <v>991</v>
      </c>
      <c r="E57" s="283">
        <v>0.0</v>
      </c>
      <c r="F57" s="322">
        <v>4571980.0</v>
      </c>
      <c r="G57" s="313" t="s">
        <v>989</v>
      </c>
      <c r="H57" s="286" t="s">
        <v>41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167" t="str">
        <f>B5</f>
        <v>신한 #672</v>
      </c>
      <c r="C58" s="282" t="s">
        <v>981</v>
      </c>
      <c r="D58" s="282" t="s">
        <v>637</v>
      </c>
      <c r="E58" s="283">
        <v>0.0</v>
      </c>
      <c r="F58" s="322">
        <v>4235850.0</v>
      </c>
      <c r="G58" s="313" t="s">
        <v>989</v>
      </c>
      <c r="H58" s="286" t="s">
        <v>41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167" t="str">
        <f>B5</f>
        <v>신한 #672</v>
      </c>
      <c r="C59" s="282" t="s">
        <v>981</v>
      </c>
      <c r="D59" s="282" t="s">
        <v>992</v>
      </c>
      <c r="E59" s="283">
        <v>0.0</v>
      </c>
      <c r="F59" s="322">
        <v>6256740.0</v>
      </c>
      <c r="G59" s="313" t="s">
        <v>989</v>
      </c>
      <c r="H59" s="286" t="s">
        <v>41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167" t="str">
        <f>B5</f>
        <v>신한 #672</v>
      </c>
      <c r="C60" s="282" t="s">
        <v>981</v>
      </c>
      <c r="D60" s="282" t="s">
        <v>993</v>
      </c>
      <c r="E60" s="283">
        <v>0.0</v>
      </c>
      <c r="F60" s="322">
        <v>4505390.0</v>
      </c>
      <c r="G60" s="313" t="s">
        <v>989</v>
      </c>
      <c r="H60" s="286" t="s">
        <v>41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167" t="str">
        <f>B5</f>
        <v>신한 #672</v>
      </c>
      <c r="C61" s="282" t="s">
        <v>981</v>
      </c>
      <c r="D61" s="282" t="s">
        <v>994</v>
      </c>
      <c r="E61" s="283">
        <v>0.0</v>
      </c>
      <c r="F61" s="322">
        <v>6504490.0</v>
      </c>
      <c r="G61" s="313" t="s">
        <v>989</v>
      </c>
      <c r="H61" s="286" t="s">
        <v>41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167" t="str">
        <f>B5</f>
        <v>신한 #672</v>
      </c>
      <c r="C62" s="282" t="s">
        <v>981</v>
      </c>
      <c r="D62" s="282" t="s">
        <v>604</v>
      </c>
      <c r="E62" s="283">
        <v>0.0</v>
      </c>
      <c r="F62" s="322">
        <v>110000.0</v>
      </c>
      <c r="G62" s="313" t="s">
        <v>995</v>
      </c>
      <c r="H62" s="286" t="s">
        <v>33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167" t="str">
        <f>B5</f>
        <v>신한 #672</v>
      </c>
      <c r="C63" s="323" t="s">
        <v>981</v>
      </c>
      <c r="D63" s="324" t="s">
        <v>497</v>
      </c>
      <c r="E63" s="325">
        <v>0.0</v>
      </c>
      <c r="F63" s="326">
        <v>330000.0</v>
      </c>
      <c r="G63" s="327" t="s">
        <v>996</v>
      </c>
      <c r="H63" s="328" t="s">
        <v>33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167" t="str">
        <f>B5</f>
        <v>신한 #672</v>
      </c>
      <c r="C64" s="323" t="s">
        <v>981</v>
      </c>
      <c r="D64" s="324" t="s">
        <v>997</v>
      </c>
      <c r="E64" s="325">
        <v>0.0</v>
      </c>
      <c r="F64" s="326">
        <v>37430.0</v>
      </c>
      <c r="G64" s="327" t="s">
        <v>998</v>
      </c>
      <c r="H64" s="328" t="s">
        <v>33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167" t="str">
        <f>B5</f>
        <v>신한 #672</v>
      </c>
      <c r="C65" s="323" t="s">
        <v>981</v>
      </c>
      <c r="D65" s="324" t="s">
        <v>997</v>
      </c>
      <c r="E65" s="325">
        <v>0.0</v>
      </c>
      <c r="F65" s="326">
        <v>49700.0</v>
      </c>
      <c r="G65" s="327" t="s">
        <v>998</v>
      </c>
      <c r="H65" s="328" t="s">
        <v>33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167" t="str">
        <f>B5</f>
        <v>신한 #672</v>
      </c>
      <c r="C66" s="323" t="s">
        <v>981</v>
      </c>
      <c r="D66" s="324" t="s">
        <v>997</v>
      </c>
      <c r="E66" s="325">
        <v>0.0</v>
      </c>
      <c r="F66" s="326">
        <v>11970.0</v>
      </c>
      <c r="G66" s="327" t="s">
        <v>998</v>
      </c>
      <c r="H66" s="328" t="s">
        <v>33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167" t="str">
        <f>B5</f>
        <v>신한 #672</v>
      </c>
      <c r="C67" s="323" t="s">
        <v>981</v>
      </c>
      <c r="D67" s="324" t="s">
        <v>997</v>
      </c>
      <c r="E67" s="325">
        <v>0.0</v>
      </c>
      <c r="F67" s="326">
        <v>37430.0</v>
      </c>
      <c r="G67" s="327" t="s">
        <v>998</v>
      </c>
      <c r="H67" s="328" t="s">
        <v>33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167" t="str">
        <f>B5</f>
        <v>신한 #672</v>
      </c>
      <c r="C68" s="323" t="s">
        <v>981</v>
      </c>
      <c r="D68" s="324" t="s">
        <v>997</v>
      </c>
      <c r="E68" s="325">
        <v>0.0</v>
      </c>
      <c r="F68" s="326">
        <v>11970.0</v>
      </c>
      <c r="G68" s="327" t="s">
        <v>998</v>
      </c>
      <c r="H68" s="328" t="s">
        <v>33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167" t="str">
        <f>B5</f>
        <v>신한 #672</v>
      </c>
      <c r="C69" s="323" t="s">
        <v>981</v>
      </c>
      <c r="D69" s="324" t="s">
        <v>999</v>
      </c>
      <c r="E69" s="325">
        <v>0.0</v>
      </c>
      <c r="F69" s="326">
        <v>110770.0</v>
      </c>
      <c r="G69" s="327" t="s">
        <v>1000</v>
      </c>
      <c r="H69" s="328" t="s">
        <v>33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167" t="str">
        <f>B5</f>
        <v>신한 #672</v>
      </c>
      <c r="C70" s="323" t="s">
        <v>981</v>
      </c>
      <c r="D70" s="324" t="s">
        <v>623</v>
      </c>
      <c r="E70" s="325">
        <v>0.0</v>
      </c>
      <c r="F70" s="326">
        <v>2590407.0</v>
      </c>
      <c r="G70" s="327" t="s">
        <v>1001</v>
      </c>
      <c r="H70" s="328" t="s">
        <v>33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167" t="str">
        <f>B5</f>
        <v>신한 #672</v>
      </c>
      <c r="C71" s="323" t="s">
        <v>981</v>
      </c>
      <c r="D71" s="324" t="s">
        <v>1002</v>
      </c>
      <c r="E71" s="325">
        <v>0.0</v>
      </c>
      <c r="F71" s="326">
        <v>98000.0</v>
      </c>
      <c r="G71" s="327" t="s">
        <v>1003</v>
      </c>
      <c r="H71" s="328" t="s">
        <v>33</v>
      </c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/>
      <c r="C72" s="282"/>
      <c r="D72" s="282"/>
      <c r="E72" s="283"/>
      <c r="F72" s="284"/>
      <c r="G72" s="313"/>
      <c r="H72" s="286"/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/>
      <c r="C73" s="282"/>
      <c r="D73" s="282"/>
      <c r="E73" s="283"/>
      <c r="F73" s="284"/>
      <c r="G73" s="313"/>
      <c r="H73" s="286"/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/>
      <c r="C74" s="282"/>
      <c r="D74" s="282"/>
      <c r="E74" s="283"/>
      <c r="F74" s="284"/>
      <c r="G74" s="313"/>
      <c r="H74" s="286"/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/>
      <c r="C75" s="282"/>
      <c r="D75" s="282"/>
      <c r="E75" s="283"/>
      <c r="F75" s="284"/>
      <c r="G75" s="313"/>
      <c r="H75" s="286"/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282"/>
      <c r="D76" s="282"/>
      <c r="E76" s="283"/>
      <c r="F76" s="284"/>
      <c r="G76" s="313"/>
      <c r="H76" s="286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282"/>
      <c r="D77" s="282"/>
      <c r="E77" s="283"/>
      <c r="F77" s="284"/>
      <c r="G77" s="313"/>
      <c r="H77" s="286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282"/>
      <c r="D78" s="282"/>
      <c r="E78" s="283"/>
      <c r="F78" s="284"/>
      <c r="G78" s="313"/>
      <c r="H78" s="286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282"/>
      <c r="D79" s="282"/>
      <c r="E79" s="283"/>
      <c r="F79" s="284"/>
      <c r="G79" s="313"/>
      <c r="H79" s="286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282"/>
      <c r="D80" s="282"/>
      <c r="E80" s="283"/>
      <c r="F80" s="284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282"/>
      <c r="D81" s="282"/>
      <c r="E81" s="283"/>
      <c r="F81" s="284"/>
      <c r="G81" s="313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282"/>
      <c r="D82" s="282"/>
      <c r="E82" s="283"/>
      <c r="F82" s="284"/>
      <c r="G82" s="313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83"/>
      <c r="F83" s="284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83"/>
      <c r="F84" s="284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91"/>
      <c r="F203" s="292"/>
      <c r="G203" s="313"/>
      <c r="H203" s="286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91"/>
      <c r="F204" s="292"/>
      <c r="G204" s="313"/>
      <c r="H204" s="286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91"/>
      <c r="F205" s="292"/>
      <c r="G205" s="313"/>
      <c r="H205" s="286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91"/>
      <c r="F206" s="292"/>
      <c r="G206" s="313"/>
      <c r="H206" s="286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B207" s="281"/>
      <c r="C207" s="282"/>
      <c r="D207" s="282"/>
      <c r="E207" s="291"/>
      <c r="F207" s="292"/>
      <c r="G207" s="313"/>
      <c r="H207" s="286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B208" s="281"/>
      <c r="C208" s="282"/>
      <c r="D208" s="282"/>
      <c r="E208" s="291"/>
      <c r="F208" s="292"/>
      <c r="G208" s="313"/>
      <c r="H208" s="286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B209" s="281"/>
      <c r="C209" s="282"/>
      <c r="D209" s="282"/>
      <c r="E209" s="291"/>
      <c r="F209" s="292"/>
      <c r="G209" s="313"/>
      <c r="H209" s="286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B210" s="281"/>
      <c r="C210" s="282"/>
      <c r="D210" s="282"/>
      <c r="E210" s="291"/>
      <c r="F210" s="292"/>
      <c r="G210" s="313"/>
      <c r="H210" s="286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B211" s="281"/>
      <c r="C211" s="282"/>
      <c r="D211" s="282"/>
      <c r="E211" s="291"/>
      <c r="F211" s="292"/>
      <c r="G211" s="313"/>
      <c r="H211" s="286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B212" s="281"/>
      <c r="C212" s="282"/>
      <c r="D212" s="282"/>
      <c r="E212" s="291"/>
      <c r="F212" s="292"/>
      <c r="G212" s="313"/>
      <c r="H212" s="286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B213" s="281"/>
      <c r="C213" s="282"/>
      <c r="D213" s="282"/>
      <c r="E213" s="291"/>
      <c r="F213" s="292"/>
      <c r="G213" s="313"/>
      <c r="H213" s="286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B214" s="281"/>
      <c r="C214" s="282"/>
      <c r="D214" s="282"/>
      <c r="E214" s="291"/>
      <c r="F214" s="292"/>
      <c r="G214" s="313"/>
      <c r="H214" s="286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B215" s="281"/>
      <c r="C215" s="282"/>
      <c r="D215" s="282"/>
      <c r="E215" s="291"/>
      <c r="F215" s="292"/>
      <c r="G215" s="313"/>
      <c r="H215" s="286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B216" s="281"/>
      <c r="C216" s="282"/>
      <c r="D216" s="282"/>
      <c r="E216" s="291"/>
      <c r="F216" s="292"/>
      <c r="G216" s="313"/>
      <c r="H216" s="286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B217" s="281"/>
      <c r="C217" s="282"/>
      <c r="D217" s="282"/>
      <c r="E217" s="291"/>
      <c r="F217" s="292"/>
      <c r="G217" s="313"/>
      <c r="H217" s="286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B218" s="281"/>
      <c r="C218" s="282"/>
      <c r="D218" s="282"/>
      <c r="E218" s="291"/>
      <c r="F218" s="292"/>
      <c r="G218" s="313"/>
      <c r="H218" s="286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B219" s="281"/>
      <c r="C219" s="282"/>
      <c r="D219" s="282"/>
      <c r="E219" s="291"/>
      <c r="F219" s="292"/>
      <c r="G219" s="313"/>
      <c r="H219" s="286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B220" s="281"/>
      <c r="C220" s="282"/>
      <c r="D220" s="282"/>
      <c r="E220" s="291"/>
      <c r="F220" s="292"/>
      <c r="G220" s="313"/>
      <c r="H220" s="286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B221" s="281"/>
      <c r="C221" s="282"/>
      <c r="D221" s="282"/>
      <c r="E221" s="291"/>
      <c r="F221" s="292"/>
      <c r="G221" s="313"/>
      <c r="H221" s="286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B222" s="281"/>
      <c r="C222" s="282"/>
      <c r="D222" s="282"/>
      <c r="E222" s="291"/>
      <c r="F222" s="292"/>
      <c r="G222" s="313"/>
      <c r="H222" s="286"/>
      <c r="I222" s="107"/>
      <c r="J222" s="141"/>
      <c r="K222" s="138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B223" s="281"/>
      <c r="C223" s="282"/>
      <c r="D223" s="282"/>
      <c r="E223" s="291"/>
      <c r="F223" s="292"/>
      <c r="G223" s="313"/>
      <c r="H223" s="286"/>
      <c r="I223" s="107"/>
      <c r="J223" s="141"/>
      <c r="K223" s="138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B224" s="281"/>
      <c r="C224" s="282"/>
      <c r="D224" s="282"/>
      <c r="E224" s="291"/>
      <c r="F224" s="292"/>
      <c r="G224" s="313"/>
      <c r="H224" s="286"/>
      <c r="I224" s="107"/>
      <c r="J224" s="141"/>
      <c r="K224" s="138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B225" s="281"/>
      <c r="C225" s="282"/>
      <c r="D225" s="282"/>
      <c r="E225" s="291"/>
      <c r="F225" s="292"/>
      <c r="G225" s="313"/>
      <c r="H225" s="286"/>
      <c r="I225" s="107"/>
      <c r="J225" s="141"/>
      <c r="K225" s="138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B226" s="281"/>
      <c r="C226" s="282"/>
      <c r="D226" s="282"/>
      <c r="E226" s="291"/>
      <c r="F226" s="292"/>
      <c r="G226" s="313"/>
      <c r="H226" s="286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B227" s="281"/>
      <c r="C227" s="282"/>
      <c r="D227" s="282"/>
      <c r="E227" s="291"/>
      <c r="F227" s="292"/>
      <c r="G227" s="313"/>
      <c r="H227" s="286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B228" s="281"/>
      <c r="C228" s="282"/>
      <c r="D228" s="282"/>
      <c r="E228" s="291"/>
      <c r="F228" s="292"/>
      <c r="G228" s="313"/>
      <c r="H228" s="286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B229" s="281"/>
      <c r="C229" s="282"/>
      <c r="D229" s="282"/>
      <c r="E229" s="291"/>
      <c r="F229" s="292"/>
      <c r="G229" s="313"/>
      <c r="H229" s="286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B230" s="281"/>
      <c r="C230" s="282"/>
      <c r="D230" s="282"/>
      <c r="E230" s="291"/>
      <c r="F230" s="292"/>
      <c r="G230" s="313"/>
      <c r="H230" s="286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B231" s="281"/>
      <c r="C231" s="282"/>
      <c r="D231" s="282"/>
      <c r="E231" s="291"/>
      <c r="F231" s="292"/>
      <c r="G231" s="313"/>
      <c r="H231" s="286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105"/>
      <c r="B232" s="281"/>
      <c r="C232" s="282"/>
      <c r="D232" s="282"/>
      <c r="E232" s="291"/>
      <c r="F232" s="292"/>
      <c r="G232" s="313"/>
      <c r="H232" s="286"/>
      <c r="I232" s="107"/>
      <c r="J232" s="141"/>
      <c r="K232" s="138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B233" s="281"/>
      <c r="C233" s="282"/>
      <c r="D233" s="282"/>
      <c r="E233" s="291"/>
      <c r="F233" s="292"/>
      <c r="G233" s="313"/>
      <c r="H233" s="286"/>
      <c r="I233" s="107"/>
      <c r="J233" s="141"/>
      <c r="K233" s="138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B234" s="281"/>
      <c r="C234" s="282"/>
      <c r="D234" s="282"/>
      <c r="E234" s="291"/>
      <c r="F234" s="292"/>
      <c r="G234" s="313"/>
      <c r="H234" s="286"/>
      <c r="I234" s="107"/>
      <c r="J234" s="141"/>
      <c r="K234" s="138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B235" s="281"/>
      <c r="C235" s="282"/>
      <c r="D235" s="282"/>
      <c r="E235" s="291"/>
      <c r="F235" s="292"/>
      <c r="G235" s="313"/>
      <c r="H235" s="286"/>
      <c r="I235" s="107"/>
      <c r="J235" s="141"/>
      <c r="K235" s="138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B236" s="281"/>
      <c r="C236" s="282"/>
      <c r="D236" s="282"/>
      <c r="E236" s="291"/>
      <c r="F236" s="292"/>
      <c r="G236" s="313"/>
      <c r="H236" s="286"/>
      <c r="I236" s="107"/>
      <c r="J236" s="141"/>
      <c r="K236" s="138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B237" s="281"/>
      <c r="C237" s="282"/>
      <c r="D237" s="282"/>
      <c r="E237" s="291"/>
      <c r="F237" s="292"/>
      <c r="G237" s="313"/>
      <c r="H237" s="286"/>
      <c r="I237" s="107"/>
      <c r="J237" s="141"/>
      <c r="K237" s="138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B238" s="281"/>
      <c r="C238" s="282"/>
      <c r="D238" s="282"/>
      <c r="E238" s="291"/>
      <c r="F238" s="292"/>
      <c r="G238" s="313"/>
      <c r="H238" s="286"/>
      <c r="I238" s="107"/>
      <c r="J238" s="141"/>
      <c r="K238" s="138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B239" s="281"/>
      <c r="C239" s="282"/>
      <c r="D239" s="282"/>
      <c r="E239" s="291"/>
      <c r="F239" s="292"/>
      <c r="G239" s="313"/>
      <c r="H239" s="286"/>
      <c r="I239" s="107"/>
      <c r="J239" s="141"/>
      <c r="K239" s="138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B240" s="281"/>
      <c r="C240" s="282"/>
      <c r="D240" s="282"/>
      <c r="E240" s="291"/>
      <c r="F240" s="292"/>
      <c r="G240" s="313"/>
      <c r="H240" s="286"/>
      <c r="I240" s="107"/>
      <c r="J240" s="141"/>
      <c r="K240" s="138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B241" s="281"/>
      <c r="C241" s="282"/>
      <c r="D241" s="282"/>
      <c r="E241" s="291"/>
      <c r="F241" s="292"/>
      <c r="G241" s="313"/>
      <c r="H241" s="286"/>
      <c r="I241" s="107"/>
      <c r="J241" s="141"/>
      <c r="K241" s="138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B242" s="281"/>
      <c r="C242" s="282"/>
      <c r="D242" s="282"/>
      <c r="E242" s="291"/>
      <c r="F242" s="292"/>
      <c r="G242" s="313"/>
      <c r="H242" s="286"/>
      <c r="I242" s="107"/>
      <c r="J242" s="141"/>
      <c r="K242" s="138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B243" s="281"/>
      <c r="C243" s="282"/>
      <c r="D243" s="282"/>
      <c r="E243" s="291"/>
      <c r="F243" s="292"/>
      <c r="G243" s="313"/>
      <c r="H243" s="286"/>
      <c r="I243" s="107"/>
      <c r="J243" s="141"/>
      <c r="K243" s="138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B244" s="281"/>
      <c r="C244" s="282"/>
      <c r="D244" s="282"/>
      <c r="E244" s="291"/>
      <c r="F244" s="292"/>
      <c r="G244" s="313"/>
      <c r="H244" s="286"/>
      <c r="I244" s="107"/>
      <c r="J244" s="141"/>
      <c r="K244" s="138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B245" s="281"/>
      <c r="C245" s="282"/>
      <c r="D245" s="282"/>
      <c r="E245" s="291"/>
      <c r="F245" s="292"/>
      <c r="G245" s="313"/>
      <c r="H245" s="286"/>
      <c r="I245" s="107"/>
      <c r="J245" s="141"/>
      <c r="K245" s="138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B246" s="281"/>
      <c r="C246" s="282"/>
      <c r="D246" s="282"/>
      <c r="E246" s="291"/>
      <c r="F246" s="292"/>
      <c r="G246" s="313"/>
      <c r="H246" s="286"/>
      <c r="I246" s="107"/>
      <c r="J246" s="141"/>
      <c r="K246" s="138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0" customHeight="1">
      <c r="A247" s="105"/>
      <c r="B247" s="281"/>
      <c r="C247" s="282"/>
      <c r="D247" s="282"/>
      <c r="E247" s="291"/>
      <c r="F247" s="292"/>
      <c r="G247" s="313"/>
      <c r="H247" s="286"/>
      <c r="I247" s="107"/>
      <c r="J247" s="141"/>
      <c r="K247" s="138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0" customHeight="1">
      <c r="A248" s="105"/>
      <c r="B248" s="281"/>
      <c r="C248" s="282"/>
      <c r="D248" s="282"/>
      <c r="E248" s="291"/>
      <c r="F248" s="292"/>
      <c r="G248" s="313"/>
      <c r="H248" s="286"/>
      <c r="I248" s="107"/>
      <c r="J248" s="141"/>
      <c r="K248" s="138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0" customHeight="1">
      <c r="A249" s="105"/>
      <c r="B249" s="281"/>
      <c r="C249" s="282"/>
      <c r="D249" s="282"/>
      <c r="E249" s="291"/>
      <c r="F249" s="292"/>
      <c r="G249" s="313"/>
      <c r="H249" s="286"/>
      <c r="I249" s="107"/>
      <c r="J249" s="141"/>
      <c r="K249" s="138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0" customHeight="1">
      <c r="A250" s="105"/>
      <c r="B250" s="281"/>
      <c r="C250" s="282"/>
      <c r="D250" s="282"/>
      <c r="E250" s="291"/>
      <c r="F250" s="292"/>
      <c r="G250" s="313"/>
      <c r="H250" s="286"/>
      <c r="I250" s="107"/>
      <c r="J250" s="141"/>
      <c r="K250" s="138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0" customHeight="1">
      <c r="A251" s="105"/>
      <c r="B251" s="281"/>
      <c r="C251" s="282"/>
      <c r="D251" s="282"/>
      <c r="E251" s="291"/>
      <c r="F251" s="292"/>
      <c r="G251" s="313"/>
      <c r="H251" s="286"/>
      <c r="I251" s="107"/>
      <c r="J251" s="141"/>
      <c r="K251" s="138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5.0" customHeight="1">
      <c r="A252" s="105"/>
      <c r="B252" s="281"/>
      <c r="C252" s="282"/>
      <c r="D252" s="282"/>
      <c r="E252" s="291"/>
      <c r="F252" s="292"/>
      <c r="G252" s="313"/>
      <c r="H252" s="286"/>
      <c r="I252" s="107"/>
      <c r="J252" s="141"/>
      <c r="K252" s="138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</sheetData>
  <autoFilter ref="$B$21:$H$252">
    <sortState ref="B21:H252">
      <sortCondition ref="B21:B252"/>
    </sortState>
  </autoFilter>
  <customSheetViews>
    <customSheetView guid="{CD2BF927-9D79-47FC-BBA8-927062D6B3F5}" filter="1" showAutoFilter="1">
      <autoFilter ref="$B$21:$H$252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52">
      <formula1>$L:$L</formula1>
    </dataValidation>
  </dataValidations>
  <hyperlinks>
    <hyperlink r:id="rId1" ref="I3"/>
    <hyperlink r:id="rId2" ref="I4"/>
    <hyperlink r:id="rId3" ref="D37"/>
    <hyperlink r:id="rId4" ref="D41"/>
  </hyperlinks>
  <printOptions/>
  <pageMargins bottom="0.75" footer="0.0" header="0.0" left="0.25" right="0.25" top="0.75"/>
  <pageSetup fitToHeight="0" paperSize="9" orientation="portrait"/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4.86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1004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'23.01월'!G5</f>
        <v>29254044</v>
      </c>
      <c r="E5" s="227">
        <f>sumif(B22:B142,B5,E22:E142)</f>
        <v>27511820</v>
      </c>
      <c r="F5" s="228">
        <f>sumif(B22:B185,B5,F22:F185)</f>
        <v>51478971</v>
      </c>
      <c r="G5" s="229">
        <f t="shared" ref="G5:G13" si="1">D5+E5-F5</f>
        <v>5286893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'23.01월'!G6</f>
        <v>2.31</v>
      </c>
      <c r="E6" s="233">
        <f>sumif(B22:B144,B6,E22:E144)</f>
        <v>0</v>
      </c>
      <c r="F6" s="234">
        <f>sumif(B22:B185,B6,F22:F185)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'23.01월'!G7</f>
        <v>2281825</v>
      </c>
      <c r="E7" s="237">
        <f>sumif(B22:B144,B7,E22:E144)</f>
        <v>148271622</v>
      </c>
      <c r="F7" s="238">
        <f>sumif(B22:B185,B7,F22:F185)</f>
        <v>86435272</v>
      </c>
      <c r="G7" s="239">
        <f t="shared" si="1"/>
        <v>64118175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'23.01월'!G8</f>
        <v>0.02</v>
      </c>
      <c r="E8" s="240">
        <f>sumif(B22:B144,B8,E22:E144)</f>
        <v>115426.76</v>
      </c>
      <c r="F8" s="234">
        <f>sumif(B22:B185,B8,F22:F185)</f>
        <v>115426</v>
      </c>
      <c r="G8" s="235">
        <f t="shared" si="1"/>
        <v>0.78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'23.01월'!G9</f>
        <v>147173.03</v>
      </c>
      <c r="E9" s="240">
        <f>sumif(B22:B185,B9,E22:E142)</f>
        <v>0</v>
      </c>
      <c r="F9" s="329">
        <f>sumif(B22:B185,B9,F22:F185)</f>
        <v>138527.06</v>
      </c>
      <c r="G9" s="329">
        <f t="shared" si="1"/>
        <v>8645.97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'23.01월'!G10</f>
        <v>0</v>
      </c>
      <c r="E10" s="242">
        <f>sumif(B22:B142,B10,E22:E185)</f>
        <v>0</v>
      </c>
      <c r="F10" s="319">
        <f>sumif(B22:B185,B10,F22:F185)</f>
        <v>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'23.01월'!G11</f>
        <v>0</v>
      </c>
      <c r="E11" s="245">
        <f>sumif(B22:B144,B11,E22:E144)</f>
        <v>0</v>
      </c>
      <c r="F11" s="238">
        <f>sumif(B22:B185,B11,F22:F185)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78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'23.01월'!G12</f>
        <v>7121.24</v>
      </c>
      <c r="E12" s="233">
        <f>sumif(B22:B144,B12,E22:E144)</f>
        <v>0</v>
      </c>
      <c r="F12" s="234">
        <f>sumif(B22:B184,B12,F22:F184)</f>
        <v>0</v>
      </c>
      <c r="G12" s="235">
        <f t="shared" si="1"/>
        <v>7121.24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'23.01월'!G13</f>
        <v>880</v>
      </c>
      <c r="E13" s="308">
        <f>sumif(B22:B144,B13,E22:E144)</f>
        <v>0</v>
      </c>
      <c r="F13" s="309">
        <f>sumif(B22:B184,B13,F22:F184)</f>
        <v>50</v>
      </c>
      <c r="G13" s="310">
        <f t="shared" si="1"/>
        <v>830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31535869</v>
      </c>
      <c r="E15" s="262">
        <f t="shared" si="2"/>
        <v>175783442</v>
      </c>
      <c r="F15" s="263">
        <f t="shared" si="2"/>
        <v>137914243</v>
      </c>
      <c r="G15" s="264">
        <f>G5+G11+G7</f>
        <v>69405068</v>
      </c>
      <c r="H15" s="265">
        <f>G15</f>
        <v>69405068</v>
      </c>
      <c r="I15" s="133"/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154296.6</v>
      </c>
      <c r="E16" s="269">
        <f t="shared" si="3"/>
        <v>115426.76</v>
      </c>
      <c r="F16" s="270">
        <f t="shared" si="3"/>
        <v>253953.06</v>
      </c>
      <c r="G16" s="271">
        <f>G9+G6+G8+G12</f>
        <v>15770.3</v>
      </c>
      <c r="H16" s="265">
        <f>rounddown(G16*$J$3,0)</f>
        <v>23225315</v>
      </c>
      <c r="I16" s="134"/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880</v>
      </c>
      <c r="E17" s="274">
        <f t="shared" si="4"/>
        <v>0</v>
      </c>
      <c r="F17" s="275">
        <f t="shared" si="4"/>
        <v>50</v>
      </c>
      <c r="G17" s="276">
        <f t="shared" si="4"/>
        <v>830</v>
      </c>
      <c r="H17" s="277">
        <f>rounddown(G17*$J$4,0)</f>
        <v>949424</v>
      </c>
      <c r="I17" s="103"/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93579807</v>
      </c>
      <c r="I18" s="279">
        <f t="shared" si="5"/>
        <v>0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12"/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/>
      <c r="M20" s="8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99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B5</f>
        <v>신한 #672</v>
      </c>
      <c r="C22" s="330" t="s">
        <v>1005</v>
      </c>
      <c r="D22" s="282" t="s">
        <v>920</v>
      </c>
      <c r="E22" s="283"/>
      <c r="F22" s="284">
        <v>77000.0</v>
      </c>
      <c r="G22" s="313" t="s">
        <v>1006</v>
      </c>
      <c r="H22" s="286" t="s">
        <v>33</v>
      </c>
      <c r="I22" s="107"/>
      <c r="J22" s="107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B5</f>
        <v>신한 #672</v>
      </c>
      <c r="C23" s="282" t="s">
        <v>1007</v>
      </c>
      <c r="D23" s="282" t="s">
        <v>1008</v>
      </c>
      <c r="E23" s="283">
        <v>7511820.0</v>
      </c>
      <c r="F23" s="284"/>
      <c r="G23" s="313" t="s">
        <v>1009</v>
      </c>
      <c r="H23" s="286" t="s">
        <v>36</v>
      </c>
      <c r="I23" s="107"/>
      <c r="J23" s="141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B5</f>
        <v>신한 #672</v>
      </c>
      <c r="C24" s="282" t="s">
        <v>1007</v>
      </c>
      <c r="D24" s="282" t="s">
        <v>1010</v>
      </c>
      <c r="E24" s="283"/>
      <c r="F24" s="284">
        <v>825000.0</v>
      </c>
      <c r="G24" s="313" t="s">
        <v>1011</v>
      </c>
      <c r="H24" s="286" t="s">
        <v>33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B5</f>
        <v>신한 #672</v>
      </c>
      <c r="C25" s="282" t="s">
        <v>1007</v>
      </c>
      <c r="D25" s="282" t="s">
        <v>1012</v>
      </c>
      <c r="E25" s="283"/>
      <c r="F25" s="284">
        <v>6333530.0</v>
      </c>
      <c r="G25" s="313" t="s">
        <v>1013</v>
      </c>
      <c r="H25" s="286" t="s">
        <v>33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B5</f>
        <v>신한 #672</v>
      </c>
      <c r="C26" s="282" t="s">
        <v>1014</v>
      </c>
      <c r="D26" s="282" t="s">
        <v>1015</v>
      </c>
      <c r="E26" s="283"/>
      <c r="F26" s="284">
        <v>4856960.0</v>
      </c>
      <c r="G26" s="313" t="s">
        <v>1016</v>
      </c>
      <c r="H26" s="286" t="s">
        <v>31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B5</f>
        <v>신한 #672</v>
      </c>
      <c r="C27" s="282" t="s">
        <v>1014</v>
      </c>
      <c r="D27" s="282" t="s">
        <v>1017</v>
      </c>
      <c r="E27" s="283"/>
      <c r="F27" s="284">
        <v>485630.0</v>
      </c>
      <c r="G27" s="313" t="s">
        <v>1018</v>
      </c>
      <c r="H27" s="286" t="s">
        <v>31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B5</f>
        <v>신한 #672</v>
      </c>
      <c r="C28" s="282" t="s">
        <v>1019</v>
      </c>
      <c r="D28" s="282" t="s">
        <v>1020</v>
      </c>
      <c r="E28" s="283"/>
      <c r="F28" s="284">
        <v>5474480.0</v>
      </c>
      <c r="G28" s="313" t="s">
        <v>1021</v>
      </c>
      <c r="H28" s="286" t="s">
        <v>31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B5</f>
        <v>신한 #672</v>
      </c>
      <c r="C29" s="282" t="s">
        <v>1019</v>
      </c>
      <c r="D29" s="282" t="s">
        <v>1022</v>
      </c>
      <c r="E29" s="283"/>
      <c r="F29" s="284">
        <v>6042300.0</v>
      </c>
      <c r="G29" s="313" t="s">
        <v>1023</v>
      </c>
      <c r="H29" s="286" t="s">
        <v>31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B5</f>
        <v>신한 #672</v>
      </c>
      <c r="C30" s="282" t="s">
        <v>1019</v>
      </c>
      <c r="D30" s="282" t="s">
        <v>1024</v>
      </c>
      <c r="E30" s="283"/>
      <c r="F30" s="284">
        <v>1272420.0</v>
      </c>
      <c r="G30" s="313" t="s">
        <v>1025</v>
      </c>
      <c r="H30" s="286" t="s">
        <v>31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B5</f>
        <v>신한 #672</v>
      </c>
      <c r="C31" s="282" t="s">
        <v>1019</v>
      </c>
      <c r="D31" s="282" t="s">
        <v>1026</v>
      </c>
      <c r="E31" s="283"/>
      <c r="F31" s="284">
        <v>471550.0</v>
      </c>
      <c r="G31" s="313" t="s">
        <v>1027</v>
      </c>
      <c r="H31" s="286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B5</f>
        <v>신한 #672</v>
      </c>
      <c r="C32" s="282" t="s">
        <v>1019</v>
      </c>
      <c r="D32" s="318" t="s">
        <v>1028</v>
      </c>
      <c r="E32" s="283"/>
      <c r="F32" s="284">
        <v>5541944.0</v>
      </c>
      <c r="G32" s="314" t="s">
        <v>1029</v>
      </c>
      <c r="H32" s="286" t="s">
        <v>33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B5</f>
        <v>신한 #672</v>
      </c>
      <c r="C33" s="282" t="s">
        <v>1019</v>
      </c>
      <c r="D33" s="282" t="s">
        <v>1030</v>
      </c>
      <c r="E33" s="283"/>
      <c r="F33" s="284">
        <v>200500.0</v>
      </c>
      <c r="G33" s="313" t="s">
        <v>1031</v>
      </c>
      <c r="H33" s="286" t="s">
        <v>29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B5</f>
        <v>신한 #672</v>
      </c>
      <c r="C34" s="282" t="s">
        <v>1032</v>
      </c>
      <c r="D34" s="282" t="s">
        <v>982</v>
      </c>
      <c r="E34" s="283"/>
      <c r="F34" s="284">
        <v>110000.0</v>
      </c>
      <c r="G34" s="313" t="s">
        <v>1033</v>
      </c>
      <c r="H34" s="286" t="s">
        <v>33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282" t="s">
        <v>1034</v>
      </c>
      <c r="D35" s="282" t="s">
        <v>632</v>
      </c>
      <c r="E35" s="284">
        <v>2.0E7</v>
      </c>
      <c r="F35" s="284"/>
      <c r="G35" s="313" t="s">
        <v>1035</v>
      </c>
      <c r="H35" s="286" t="s">
        <v>556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282" t="s">
        <v>1036</v>
      </c>
      <c r="D36" s="282" t="s">
        <v>1037</v>
      </c>
      <c r="E36" s="283"/>
      <c r="F36" s="284">
        <v>37430.0</v>
      </c>
      <c r="G36" s="313" t="s">
        <v>1038</v>
      </c>
      <c r="H36" s="286" t="s">
        <v>4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B5</f>
        <v>신한 #672</v>
      </c>
      <c r="C37" s="282" t="s">
        <v>1036</v>
      </c>
      <c r="D37" s="282" t="s">
        <v>1037</v>
      </c>
      <c r="E37" s="283"/>
      <c r="F37" s="284">
        <v>37430.0</v>
      </c>
      <c r="G37" s="313" t="s">
        <v>1038</v>
      </c>
      <c r="H37" s="286" t="s">
        <v>4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282" t="s">
        <v>1036</v>
      </c>
      <c r="D38" s="282" t="s">
        <v>1037</v>
      </c>
      <c r="E38" s="283"/>
      <c r="F38" s="284">
        <v>20660.0</v>
      </c>
      <c r="G38" s="313" t="s">
        <v>1039</v>
      </c>
      <c r="H38" s="286" t="s">
        <v>4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282" t="s">
        <v>1036</v>
      </c>
      <c r="D39" s="282" t="s">
        <v>1037</v>
      </c>
      <c r="E39" s="283"/>
      <c r="F39" s="284">
        <v>20660.0</v>
      </c>
      <c r="G39" s="313" t="s">
        <v>1039</v>
      </c>
      <c r="H39" s="286" t="s">
        <v>4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282" t="s">
        <v>1036</v>
      </c>
      <c r="D40" s="282" t="s">
        <v>1037</v>
      </c>
      <c r="E40" s="283"/>
      <c r="F40" s="284">
        <v>50250.0</v>
      </c>
      <c r="G40" s="313" t="s">
        <v>1040</v>
      </c>
      <c r="H40" s="286" t="s">
        <v>4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B5</f>
        <v>신한 #672</v>
      </c>
      <c r="C41" s="282" t="s">
        <v>1036</v>
      </c>
      <c r="D41" s="282" t="s">
        <v>604</v>
      </c>
      <c r="E41" s="283"/>
      <c r="F41" s="284">
        <v>110000.0</v>
      </c>
      <c r="G41" s="313" t="s">
        <v>1041</v>
      </c>
      <c r="H41" s="286" t="s">
        <v>33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282" t="s">
        <v>1036</v>
      </c>
      <c r="D42" s="282" t="s">
        <v>497</v>
      </c>
      <c r="E42" s="283"/>
      <c r="F42" s="284">
        <v>330000.0</v>
      </c>
      <c r="G42" s="313" t="s">
        <v>1042</v>
      </c>
      <c r="H42" s="286" t="s">
        <v>33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282" t="s">
        <v>1036</v>
      </c>
      <c r="D43" s="282" t="s">
        <v>1043</v>
      </c>
      <c r="E43" s="283"/>
      <c r="F43" s="284">
        <v>55600.0</v>
      </c>
      <c r="G43" s="313" t="s">
        <v>1044</v>
      </c>
      <c r="H43" s="286" t="s">
        <v>27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B5</f>
        <v>신한 #672</v>
      </c>
      <c r="C44" s="282" t="s">
        <v>1036</v>
      </c>
      <c r="D44" s="282" t="s">
        <v>623</v>
      </c>
      <c r="E44" s="283"/>
      <c r="F44" s="284">
        <v>2527627.0</v>
      </c>
      <c r="G44" s="313" t="s">
        <v>1045</v>
      </c>
      <c r="H44" s="286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B5</f>
        <v>신한 #672</v>
      </c>
      <c r="C45" s="282" t="s">
        <v>1036</v>
      </c>
      <c r="D45" s="282" t="s">
        <v>1046</v>
      </c>
      <c r="E45" s="283"/>
      <c r="F45" s="284">
        <v>98000.0</v>
      </c>
      <c r="G45" s="313" t="s">
        <v>1047</v>
      </c>
      <c r="H45" s="286" t="s">
        <v>33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B5</f>
        <v>신한 #672</v>
      </c>
      <c r="C46" s="282" t="s">
        <v>1048</v>
      </c>
      <c r="D46" s="282" t="s">
        <v>1049</v>
      </c>
      <c r="E46" s="283"/>
      <c r="F46" s="284">
        <v>1.65E7</v>
      </c>
      <c r="G46" s="313" t="s">
        <v>1050</v>
      </c>
      <c r="H46" s="286" t="s">
        <v>39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B7</f>
        <v>하나 #304</v>
      </c>
      <c r="C47" s="282" t="s">
        <v>1051</v>
      </c>
      <c r="D47" s="282" t="s">
        <v>632</v>
      </c>
      <c r="E47" s="283">
        <v>1.48271622E8</v>
      </c>
      <c r="F47" s="284"/>
      <c r="G47" s="313" t="s">
        <v>679</v>
      </c>
      <c r="H47" s="286" t="s">
        <v>556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B7</f>
        <v>하나 #304</v>
      </c>
      <c r="C48" s="282" t="s">
        <v>1034</v>
      </c>
      <c r="D48" s="282" t="s">
        <v>1052</v>
      </c>
      <c r="E48" s="283"/>
      <c r="F48" s="284">
        <v>2.00005E7</v>
      </c>
      <c r="G48" s="313" t="s">
        <v>1035</v>
      </c>
      <c r="H48" s="286" t="s">
        <v>556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B7</f>
        <v>하나 #304</v>
      </c>
      <c r="C49" s="282" t="s">
        <v>1034</v>
      </c>
      <c r="D49" s="282" t="s">
        <v>1053</v>
      </c>
      <c r="E49" s="283"/>
      <c r="F49" s="284">
        <v>5.6299351E7</v>
      </c>
      <c r="G49" s="313" t="s">
        <v>1054</v>
      </c>
      <c r="H49" s="286" t="s">
        <v>41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B7</f>
        <v>하나 #304</v>
      </c>
      <c r="C50" s="282" t="s">
        <v>1034</v>
      </c>
      <c r="D50" s="282" t="s">
        <v>118</v>
      </c>
      <c r="E50" s="283"/>
      <c r="F50" s="284">
        <v>2460020.0</v>
      </c>
      <c r="G50" s="313" t="s">
        <v>1055</v>
      </c>
      <c r="H50" s="286" t="s">
        <v>41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16" t="str">
        <f t="shared" ref="B51:B52" si="6">B7</f>
        <v>하나 #304</v>
      </c>
      <c r="C51" s="282" t="s">
        <v>1036</v>
      </c>
      <c r="D51" s="318" t="s">
        <v>1056</v>
      </c>
      <c r="E51" s="283"/>
      <c r="F51" s="284">
        <v>7675401.0</v>
      </c>
      <c r="G51" s="313" t="s">
        <v>1057</v>
      </c>
      <c r="H51" s="286" t="s">
        <v>33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16" t="str">
        <f t="shared" si="6"/>
        <v>하나 #138</v>
      </c>
      <c r="C52" s="282" t="s">
        <v>1007</v>
      </c>
      <c r="D52" s="318" t="s">
        <v>899</v>
      </c>
      <c r="E52" s="291">
        <v>115426.76</v>
      </c>
      <c r="F52" s="292">
        <v>0.0</v>
      </c>
      <c r="G52" s="313" t="s">
        <v>1058</v>
      </c>
      <c r="H52" s="286" t="s">
        <v>556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 t="shared" ref="B53:B54" si="7">B8</f>
        <v>하나 #138</v>
      </c>
      <c r="C53" s="282" t="s">
        <v>1051</v>
      </c>
      <c r="D53" s="282" t="s">
        <v>632</v>
      </c>
      <c r="E53" s="283"/>
      <c r="F53" s="292">
        <v>115426.0</v>
      </c>
      <c r="G53" s="313" t="s">
        <v>679</v>
      </c>
      <c r="H53" s="286" t="s">
        <v>556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 t="shared" si="7"/>
        <v>WISE USD</v>
      </c>
      <c r="C54" s="282" t="s">
        <v>1059</v>
      </c>
      <c r="D54" s="282" t="s">
        <v>740</v>
      </c>
      <c r="E54" s="283"/>
      <c r="F54" s="292">
        <v>10422.68</v>
      </c>
      <c r="G54" s="313" t="s">
        <v>1060</v>
      </c>
      <c r="H54" s="286" t="s">
        <v>41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B9</f>
        <v>WISE USD</v>
      </c>
      <c r="C55" s="282" t="s">
        <v>1059</v>
      </c>
      <c r="D55" s="282" t="s">
        <v>1061</v>
      </c>
      <c r="E55" s="283"/>
      <c r="F55" s="292">
        <v>0.39</v>
      </c>
      <c r="G55" s="313" t="s">
        <v>1062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WISE USD</v>
      </c>
      <c r="C56" s="282" t="s">
        <v>1059</v>
      </c>
      <c r="D56" s="282" t="s">
        <v>526</v>
      </c>
      <c r="E56" s="283"/>
      <c r="F56" s="292">
        <v>120.0</v>
      </c>
      <c r="G56" s="313" t="s">
        <v>1063</v>
      </c>
      <c r="H56" s="286" t="s">
        <v>41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B9</f>
        <v>WISE USD</v>
      </c>
      <c r="C57" s="282" t="s">
        <v>1059</v>
      </c>
      <c r="D57" s="282" t="s">
        <v>1061</v>
      </c>
      <c r="E57" s="283"/>
      <c r="F57" s="292">
        <v>2.42</v>
      </c>
      <c r="G57" s="313" t="s">
        <v>1064</v>
      </c>
      <c r="H57" s="286" t="s">
        <v>33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B9</f>
        <v>WISE USD</v>
      </c>
      <c r="C58" s="282" t="s">
        <v>1065</v>
      </c>
      <c r="D58" s="282" t="s">
        <v>671</v>
      </c>
      <c r="E58" s="291">
        <v>0.0</v>
      </c>
      <c r="F58" s="291">
        <v>115426.76</v>
      </c>
      <c r="G58" s="313" t="s">
        <v>1058</v>
      </c>
      <c r="H58" s="286" t="s">
        <v>77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B9</f>
        <v>WISE USD</v>
      </c>
      <c r="C59" s="282" t="s">
        <v>1065</v>
      </c>
      <c r="D59" s="282" t="s">
        <v>1061</v>
      </c>
      <c r="E59" s="283"/>
      <c r="F59" s="292">
        <v>14.39</v>
      </c>
      <c r="G59" s="313" t="s">
        <v>1066</v>
      </c>
      <c r="H59" s="286" t="s">
        <v>33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B9</f>
        <v>WISE USD</v>
      </c>
      <c r="C60" s="282" t="s">
        <v>1067</v>
      </c>
      <c r="D60" s="331" t="s">
        <v>542</v>
      </c>
      <c r="E60" s="283"/>
      <c r="F60" s="292">
        <v>10.0</v>
      </c>
      <c r="G60" s="313" t="s">
        <v>1068</v>
      </c>
      <c r="H60" s="286" t="s">
        <v>33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B9</f>
        <v>WISE USD</v>
      </c>
      <c r="C61" s="282" t="s">
        <v>1069</v>
      </c>
      <c r="D61" s="282" t="s">
        <v>1070</v>
      </c>
      <c r="E61" s="283"/>
      <c r="F61" s="292">
        <v>4180.0</v>
      </c>
      <c r="G61" s="313" t="s">
        <v>1071</v>
      </c>
      <c r="H61" s="286" t="s">
        <v>33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B9</f>
        <v>WISE USD</v>
      </c>
      <c r="C62" s="282" t="s">
        <v>1069</v>
      </c>
      <c r="D62" s="282" t="s">
        <v>1072</v>
      </c>
      <c r="E62" s="283"/>
      <c r="F62" s="292">
        <v>3.29</v>
      </c>
      <c r="G62" s="313" t="s">
        <v>1073</v>
      </c>
      <c r="H62" s="286" t="s">
        <v>33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167" t="str">
        <f>B9</f>
        <v>WISE USD</v>
      </c>
      <c r="C63" s="282" t="s">
        <v>1034</v>
      </c>
      <c r="D63" s="282" t="s">
        <v>546</v>
      </c>
      <c r="E63" s="283"/>
      <c r="F63" s="292">
        <v>7739.23</v>
      </c>
      <c r="G63" s="313" t="s">
        <v>1074</v>
      </c>
      <c r="H63" s="286" t="s">
        <v>33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167" t="str">
        <f>B9</f>
        <v>WISE USD</v>
      </c>
      <c r="C64" s="282" t="s">
        <v>1034</v>
      </c>
      <c r="D64" s="282" t="s">
        <v>1072</v>
      </c>
      <c r="E64" s="283"/>
      <c r="F64" s="292">
        <v>67.91</v>
      </c>
      <c r="G64" s="313" t="s">
        <v>1075</v>
      </c>
      <c r="H64" s="286" t="s">
        <v>33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167" t="str">
        <f>B9</f>
        <v>WISE USD</v>
      </c>
      <c r="C65" s="282" t="s">
        <v>1076</v>
      </c>
      <c r="D65" s="331" t="s">
        <v>1077</v>
      </c>
      <c r="E65" s="283"/>
      <c r="F65" s="292">
        <v>155.99</v>
      </c>
      <c r="G65" s="313" t="s">
        <v>1068</v>
      </c>
      <c r="H65" s="286" t="s">
        <v>33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167" t="str">
        <f>B9</f>
        <v>WISE USD</v>
      </c>
      <c r="C66" s="282" t="s">
        <v>1048</v>
      </c>
      <c r="D66" s="282" t="s">
        <v>1078</v>
      </c>
      <c r="E66" s="283"/>
      <c r="F66" s="292">
        <v>384.0</v>
      </c>
      <c r="G66" s="313" t="s">
        <v>1068</v>
      </c>
      <c r="H66" s="286" t="s">
        <v>33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167" t="str">
        <f>B13</f>
        <v>OCBC SGD</v>
      </c>
      <c r="C67" s="282" t="s">
        <v>1005</v>
      </c>
      <c r="D67" s="282" t="s">
        <v>828</v>
      </c>
      <c r="E67" s="283"/>
      <c r="F67" s="292">
        <v>15.0</v>
      </c>
      <c r="G67" s="313" t="s">
        <v>1079</v>
      </c>
      <c r="H67" s="286" t="s">
        <v>33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167" t="str">
        <f>B13</f>
        <v>OCBC SGD</v>
      </c>
      <c r="C68" s="282" t="s">
        <v>1007</v>
      </c>
      <c r="D68" s="282" t="s">
        <v>828</v>
      </c>
      <c r="E68" s="283"/>
      <c r="F68" s="292">
        <v>20.0</v>
      </c>
      <c r="G68" s="313" t="s">
        <v>1079</v>
      </c>
      <c r="H68" s="286" t="s">
        <v>33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167" t="str">
        <f>B13</f>
        <v>OCBC SGD</v>
      </c>
      <c r="C69" s="282" t="s">
        <v>1048</v>
      </c>
      <c r="D69" s="282" t="s">
        <v>828</v>
      </c>
      <c r="E69" s="283"/>
      <c r="F69" s="292">
        <v>15.0</v>
      </c>
      <c r="G69" s="313" t="s">
        <v>1079</v>
      </c>
      <c r="H69" s="286" t="s">
        <v>33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167"/>
      <c r="C70" s="282"/>
      <c r="D70" s="282"/>
      <c r="E70" s="283"/>
      <c r="F70" s="322"/>
      <c r="G70" s="313"/>
      <c r="H70" s="286"/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167"/>
      <c r="C71" s="282"/>
      <c r="D71" s="282"/>
      <c r="E71" s="283"/>
      <c r="F71" s="322"/>
      <c r="G71" s="313"/>
      <c r="H71" s="286"/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167"/>
      <c r="C72" s="282"/>
      <c r="D72" s="282"/>
      <c r="E72" s="283"/>
      <c r="F72" s="322"/>
      <c r="G72" s="313"/>
      <c r="H72" s="286"/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167"/>
      <c r="C73" s="282"/>
      <c r="D73" s="282"/>
      <c r="E73" s="283"/>
      <c r="F73" s="322"/>
      <c r="G73" s="313"/>
      <c r="H73" s="286"/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167"/>
      <c r="C74" s="282"/>
      <c r="D74" s="282"/>
      <c r="E74" s="283"/>
      <c r="F74" s="322"/>
      <c r="G74" s="313"/>
      <c r="H74" s="286"/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167"/>
      <c r="C75" s="282"/>
      <c r="D75" s="282"/>
      <c r="E75" s="283"/>
      <c r="F75" s="322"/>
      <c r="G75" s="313"/>
      <c r="H75" s="286"/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167"/>
      <c r="C76" s="323"/>
      <c r="D76" s="324"/>
      <c r="E76" s="325"/>
      <c r="F76" s="326"/>
      <c r="G76" s="327"/>
      <c r="H76" s="328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167"/>
      <c r="C77" s="323"/>
      <c r="D77" s="324"/>
      <c r="E77" s="325"/>
      <c r="F77" s="326"/>
      <c r="G77" s="327"/>
      <c r="H77" s="328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167"/>
      <c r="C78" s="323"/>
      <c r="D78" s="324"/>
      <c r="E78" s="325"/>
      <c r="F78" s="326"/>
      <c r="G78" s="327"/>
      <c r="H78" s="328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167"/>
      <c r="C79" s="323"/>
      <c r="D79" s="324"/>
      <c r="E79" s="325"/>
      <c r="F79" s="326"/>
      <c r="G79" s="327"/>
      <c r="H79" s="328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167"/>
      <c r="C80" s="323"/>
      <c r="D80" s="324"/>
      <c r="E80" s="325"/>
      <c r="F80" s="326"/>
      <c r="G80" s="327"/>
      <c r="H80" s="328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167"/>
      <c r="C81" s="323"/>
      <c r="D81" s="324"/>
      <c r="E81" s="325"/>
      <c r="F81" s="326"/>
      <c r="G81" s="327"/>
      <c r="H81" s="328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167"/>
      <c r="C82" s="323"/>
      <c r="D82" s="324"/>
      <c r="E82" s="325"/>
      <c r="F82" s="326"/>
      <c r="G82" s="327"/>
      <c r="H82" s="328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167"/>
      <c r="C83" s="323"/>
      <c r="D83" s="324"/>
      <c r="E83" s="325"/>
      <c r="F83" s="326"/>
      <c r="G83" s="327"/>
      <c r="H83" s="328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167"/>
      <c r="C84" s="323"/>
      <c r="D84" s="324"/>
      <c r="E84" s="325"/>
      <c r="F84" s="326"/>
      <c r="G84" s="327"/>
      <c r="H84" s="328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83"/>
      <c r="F85" s="284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83"/>
      <c r="F86" s="284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83"/>
      <c r="F87" s="284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83"/>
      <c r="F88" s="284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83"/>
      <c r="F89" s="284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83"/>
      <c r="F90" s="284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83"/>
      <c r="F91" s="284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83"/>
      <c r="F92" s="284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83"/>
      <c r="F93" s="284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83"/>
      <c r="F94" s="284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83"/>
      <c r="F95" s="284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83"/>
      <c r="F96" s="284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83"/>
      <c r="F97" s="284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91"/>
      <c r="F203" s="292"/>
      <c r="G203" s="313"/>
      <c r="H203" s="286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91"/>
      <c r="F204" s="292"/>
      <c r="G204" s="313"/>
      <c r="H204" s="286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91"/>
      <c r="F205" s="292"/>
      <c r="G205" s="313"/>
      <c r="H205" s="286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91"/>
      <c r="F206" s="292"/>
      <c r="G206" s="313"/>
      <c r="H206" s="286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B207" s="281"/>
      <c r="C207" s="282"/>
      <c r="D207" s="282"/>
      <c r="E207" s="291"/>
      <c r="F207" s="292"/>
      <c r="G207" s="313"/>
      <c r="H207" s="286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B208" s="281"/>
      <c r="C208" s="282"/>
      <c r="D208" s="282"/>
      <c r="E208" s="291"/>
      <c r="F208" s="292"/>
      <c r="G208" s="313"/>
      <c r="H208" s="286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B209" s="281"/>
      <c r="C209" s="282"/>
      <c r="D209" s="282"/>
      <c r="E209" s="291"/>
      <c r="F209" s="292"/>
      <c r="G209" s="313"/>
      <c r="H209" s="286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B210" s="281"/>
      <c r="C210" s="282"/>
      <c r="D210" s="282"/>
      <c r="E210" s="291"/>
      <c r="F210" s="292"/>
      <c r="G210" s="313"/>
      <c r="H210" s="286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B211" s="281"/>
      <c r="C211" s="282"/>
      <c r="D211" s="282"/>
      <c r="E211" s="291"/>
      <c r="F211" s="292"/>
      <c r="G211" s="313"/>
      <c r="H211" s="286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B212" s="281"/>
      <c r="C212" s="282"/>
      <c r="D212" s="282"/>
      <c r="E212" s="291"/>
      <c r="F212" s="292"/>
      <c r="G212" s="313"/>
      <c r="H212" s="286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B213" s="281"/>
      <c r="C213" s="282"/>
      <c r="D213" s="282"/>
      <c r="E213" s="291"/>
      <c r="F213" s="292"/>
      <c r="G213" s="313"/>
      <c r="H213" s="286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B214" s="281"/>
      <c r="C214" s="282"/>
      <c r="D214" s="282"/>
      <c r="E214" s="291"/>
      <c r="F214" s="292"/>
      <c r="G214" s="313"/>
      <c r="H214" s="286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B215" s="281"/>
      <c r="C215" s="282"/>
      <c r="D215" s="282"/>
      <c r="E215" s="291"/>
      <c r="F215" s="292"/>
      <c r="G215" s="313"/>
      <c r="H215" s="286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B216" s="281"/>
      <c r="C216" s="282"/>
      <c r="D216" s="282"/>
      <c r="E216" s="291"/>
      <c r="F216" s="292"/>
      <c r="G216" s="313"/>
      <c r="H216" s="286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B217" s="281"/>
      <c r="C217" s="282"/>
      <c r="D217" s="282"/>
      <c r="E217" s="291"/>
      <c r="F217" s="292"/>
      <c r="G217" s="313"/>
      <c r="H217" s="286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B218" s="281"/>
      <c r="C218" s="282"/>
      <c r="D218" s="282"/>
      <c r="E218" s="291"/>
      <c r="F218" s="292"/>
      <c r="G218" s="313"/>
      <c r="H218" s="286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B219" s="281"/>
      <c r="C219" s="282"/>
      <c r="D219" s="282"/>
      <c r="E219" s="291"/>
      <c r="F219" s="292"/>
      <c r="G219" s="313"/>
      <c r="H219" s="286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B220" s="281"/>
      <c r="C220" s="282"/>
      <c r="D220" s="282"/>
      <c r="E220" s="291"/>
      <c r="F220" s="292"/>
      <c r="G220" s="313"/>
      <c r="H220" s="286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B221" s="281"/>
      <c r="C221" s="282"/>
      <c r="D221" s="282"/>
      <c r="E221" s="291"/>
      <c r="F221" s="292"/>
      <c r="G221" s="313"/>
      <c r="H221" s="286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B222" s="281"/>
      <c r="C222" s="282"/>
      <c r="D222" s="282"/>
      <c r="E222" s="291"/>
      <c r="F222" s="292"/>
      <c r="G222" s="313"/>
      <c r="H222" s="286"/>
      <c r="I222" s="107"/>
      <c r="J222" s="141"/>
      <c r="K222" s="138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B223" s="281"/>
      <c r="C223" s="282"/>
      <c r="D223" s="282"/>
      <c r="E223" s="291"/>
      <c r="F223" s="292"/>
      <c r="G223" s="313"/>
      <c r="H223" s="286"/>
      <c r="I223" s="107"/>
      <c r="J223" s="141"/>
      <c r="K223" s="138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B224" s="281"/>
      <c r="C224" s="282"/>
      <c r="D224" s="282"/>
      <c r="E224" s="291"/>
      <c r="F224" s="292"/>
      <c r="G224" s="313"/>
      <c r="H224" s="286"/>
      <c r="I224" s="107"/>
      <c r="J224" s="141"/>
      <c r="K224" s="138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B225" s="281"/>
      <c r="C225" s="282"/>
      <c r="D225" s="282"/>
      <c r="E225" s="291"/>
      <c r="F225" s="292"/>
      <c r="G225" s="313"/>
      <c r="H225" s="286"/>
      <c r="I225" s="107"/>
      <c r="J225" s="141"/>
      <c r="K225" s="138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B226" s="281"/>
      <c r="C226" s="282"/>
      <c r="D226" s="282"/>
      <c r="E226" s="291"/>
      <c r="F226" s="292"/>
      <c r="G226" s="313"/>
      <c r="H226" s="286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B227" s="281"/>
      <c r="C227" s="282"/>
      <c r="D227" s="282"/>
      <c r="E227" s="291"/>
      <c r="F227" s="292"/>
      <c r="G227" s="313"/>
      <c r="H227" s="286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B228" s="281"/>
      <c r="C228" s="282"/>
      <c r="D228" s="282"/>
      <c r="E228" s="291"/>
      <c r="F228" s="292"/>
      <c r="G228" s="313"/>
      <c r="H228" s="286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B229" s="281"/>
      <c r="C229" s="282"/>
      <c r="D229" s="282"/>
      <c r="E229" s="291"/>
      <c r="F229" s="292"/>
      <c r="G229" s="313"/>
      <c r="H229" s="286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B230" s="281"/>
      <c r="C230" s="282"/>
      <c r="D230" s="282"/>
      <c r="E230" s="291"/>
      <c r="F230" s="292"/>
      <c r="G230" s="313"/>
      <c r="H230" s="286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B231" s="281"/>
      <c r="C231" s="282"/>
      <c r="D231" s="282"/>
      <c r="E231" s="291"/>
      <c r="F231" s="292"/>
      <c r="G231" s="313"/>
      <c r="H231" s="286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105"/>
      <c r="B232" s="281"/>
      <c r="C232" s="282"/>
      <c r="D232" s="282"/>
      <c r="E232" s="291"/>
      <c r="F232" s="292"/>
      <c r="G232" s="313"/>
      <c r="H232" s="286"/>
      <c r="I232" s="107"/>
      <c r="J232" s="141"/>
      <c r="K232" s="138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B233" s="281"/>
      <c r="C233" s="282"/>
      <c r="D233" s="282"/>
      <c r="E233" s="291"/>
      <c r="F233" s="292"/>
      <c r="G233" s="313"/>
      <c r="H233" s="286"/>
      <c r="I233" s="107"/>
      <c r="J233" s="141"/>
      <c r="K233" s="138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B234" s="281"/>
      <c r="C234" s="282"/>
      <c r="D234" s="282"/>
      <c r="E234" s="291"/>
      <c r="F234" s="292"/>
      <c r="G234" s="313"/>
      <c r="H234" s="286"/>
      <c r="I234" s="107"/>
      <c r="J234" s="141"/>
      <c r="K234" s="138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B235" s="281"/>
      <c r="C235" s="282"/>
      <c r="D235" s="282"/>
      <c r="E235" s="291"/>
      <c r="F235" s="292"/>
      <c r="G235" s="313"/>
      <c r="H235" s="286"/>
      <c r="I235" s="107"/>
      <c r="J235" s="141"/>
      <c r="K235" s="138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B236" s="281"/>
      <c r="C236" s="282"/>
      <c r="D236" s="282"/>
      <c r="E236" s="291"/>
      <c r="F236" s="292"/>
      <c r="G236" s="313"/>
      <c r="H236" s="286"/>
      <c r="I236" s="107"/>
      <c r="J236" s="141"/>
      <c r="K236" s="138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B237" s="281"/>
      <c r="C237" s="282"/>
      <c r="D237" s="282"/>
      <c r="E237" s="291"/>
      <c r="F237" s="292"/>
      <c r="G237" s="313"/>
      <c r="H237" s="286"/>
      <c r="I237" s="107"/>
      <c r="J237" s="141"/>
      <c r="K237" s="138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B238" s="281"/>
      <c r="C238" s="282"/>
      <c r="D238" s="282"/>
      <c r="E238" s="291"/>
      <c r="F238" s="292"/>
      <c r="G238" s="313"/>
      <c r="H238" s="286"/>
      <c r="I238" s="107"/>
      <c r="J238" s="141"/>
      <c r="K238" s="138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B239" s="281"/>
      <c r="C239" s="282"/>
      <c r="D239" s="282"/>
      <c r="E239" s="291"/>
      <c r="F239" s="292"/>
      <c r="G239" s="313"/>
      <c r="H239" s="286"/>
      <c r="I239" s="107"/>
      <c r="J239" s="141"/>
      <c r="K239" s="138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B240" s="281"/>
      <c r="C240" s="282"/>
      <c r="D240" s="282"/>
      <c r="E240" s="291"/>
      <c r="F240" s="292"/>
      <c r="G240" s="313"/>
      <c r="H240" s="286"/>
      <c r="I240" s="107"/>
      <c r="J240" s="141"/>
      <c r="K240" s="138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B241" s="281"/>
      <c r="C241" s="282"/>
      <c r="D241" s="282"/>
      <c r="E241" s="291"/>
      <c r="F241" s="292"/>
      <c r="G241" s="313"/>
      <c r="H241" s="286"/>
      <c r="I241" s="107"/>
      <c r="J241" s="141"/>
      <c r="K241" s="138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B242" s="281"/>
      <c r="C242" s="282"/>
      <c r="D242" s="282"/>
      <c r="E242" s="291"/>
      <c r="F242" s="292"/>
      <c r="G242" s="313"/>
      <c r="H242" s="286"/>
      <c r="I242" s="107"/>
      <c r="J242" s="141"/>
      <c r="K242" s="138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B243" s="281"/>
      <c r="C243" s="282"/>
      <c r="D243" s="282"/>
      <c r="E243" s="291"/>
      <c r="F243" s="292"/>
      <c r="G243" s="313"/>
      <c r="H243" s="286"/>
      <c r="I243" s="107"/>
      <c r="J243" s="141"/>
      <c r="K243" s="138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B244" s="281"/>
      <c r="C244" s="282"/>
      <c r="D244" s="282"/>
      <c r="E244" s="291"/>
      <c r="F244" s="292"/>
      <c r="G244" s="313"/>
      <c r="H244" s="286"/>
      <c r="I244" s="107"/>
      <c r="J244" s="141"/>
      <c r="K244" s="138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B245" s="281"/>
      <c r="C245" s="282"/>
      <c r="D245" s="282"/>
      <c r="E245" s="291"/>
      <c r="F245" s="292"/>
      <c r="G245" s="313"/>
      <c r="H245" s="286"/>
      <c r="I245" s="107"/>
      <c r="J245" s="141"/>
      <c r="K245" s="138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B246" s="281"/>
      <c r="C246" s="282"/>
      <c r="D246" s="282"/>
      <c r="E246" s="291"/>
      <c r="F246" s="292"/>
      <c r="G246" s="313"/>
      <c r="H246" s="286"/>
      <c r="I246" s="107"/>
      <c r="J246" s="141"/>
      <c r="K246" s="138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0" customHeight="1">
      <c r="A247" s="105"/>
      <c r="B247" s="281"/>
      <c r="C247" s="282"/>
      <c r="D247" s="282"/>
      <c r="E247" s="291"/>
      <c r="F247" s="292"/>
      <c r="G247" s="313"/>
      <c r="H247" s="286"/>
      <c r="I247" s="107"/>
      <c r="J247" s="141"/>
      <c r="K247" s="138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0" customHeight="1">
      <c r="A248" s="105"/>
      <c r="B248" s="281"/>
      <c r="C248" s="282"/>
      <c r="D248" s="282"/>
      <c r="E248" s="291"/>
      <c r="F248" s="292"/>
      <c r="G248" s="313"/>
      <c r="H248" s="286"/>
      <c r="I248" s="107"/>
      <c r="J248" s="141"/>
      <c r="K248" s="138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0" customHeight="1">
      <c r="A249" s="105"/>
      <c r="B249" s="281"/>
      <c r="C249" s="282"/>
      <c r="D249" s="282"/>
      <c r="E249" s="291"/>
      <c r="F249" s="292"/>
      <c r="G249" s="313"/>
      <c r="H249" s="286"/>
      <c r="I249" s="107"/>
      <c r="J249" s="141"/>
      <c r="K249" s="138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0" customHeight="1">
      <c r="A250" s="105"/>
      <c r="B250" s="281"/>
      <c r="C250" s="282"/>
      <c r="D250" s="282"/>
      <c r="E250" s="291"/>
      <c r="F250" s="292"/>
      <c r="G250" s="313"/>
      <c r="H250" s="286"/>
      <c r="I250" s="107"/>
      <c r="J250" s="141"/>
      <c r="K250" s="138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0" customHeight="1">
      <c r="A251" s="105"/>
      <c r="B251" s="281"/>
      <c r="C251" s="282"/>
      <c r="D251" s="282"/>
      <c r="E251" s="291"/>
      <c r="F251" s="292"/>
      <c r="G251" s="313"/>
      <c r="H251" s="286"/>
      <c r="I251" s="107"/>
      <c r="J251" s="141"/>
      <c r="K251" s="138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5.0" customHeight="1">
      <c r="A252" s="105"/>
      <c r="B252" s="281"/>
      <c r="C252" s="282"/>
      <c r="D252" s="282"/>
      <c r="E252" s="291"/>
      <c r="F252" s="292"/>
      <c r="G252" s="313"/>
      <c r="H252" s="286"/>
      <c r="I252" s="107"/>
      <c r="J252" s="141"/>
      <c r="K252" s="138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 ht="15.0" customHeight="1">
      <c r="A253" s="105"/>
      <c r="B253" s="281"/>
      <c r="C253" s="282"/>
      <c r="D253" s="282"/>
      <c r="E253" s="291"/>
      <c r="F253" s="292"/>
      <c r="G253" s="313"/>
      <c r="H253" s="286"/>
      <c r="I253" s="107"/>
      <c r="J253" s="141"/>
      <c r="K253" s="138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ht="15.0" customHeight="1">
      <c r="A254" s="105"/>
      <c r="B254" s="281"/>
      <c r="C254" s="282"/>
      <c r="D254" s="282"/>
      <c r="E254" s="291"/>
      <c r="F254" s="292"/>
      <c r="G254" s="313"/>
      <c r="H254" s="286"/>
      <c r="I254" s="107"/>
      <c r="J254" s="141"/>
      <c r="K254" s="138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 ht="15.0" customHeight="1">
      <c r="A255" s="105"/>
      <c r="B255" s="281"/>
      <c r="C255" s="282"/>
      <c r="D255" s="282"/>
      <c r="E255" s="291"/>
      <c r="F255" s="292"/>
      <c r="G255" s="313"/>
      <c r="H255" s="286"/>
      <c r="I255" s="107"/>
      <c r="J255" s="141"/>
      <c r="K255" s="138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 ht="15.0" customHeight="1">
      <c r="A256" s="105"/>
      <c r="B256" s="281"/>
      <c r="C256" s="282"/>
      <c r="D256" s="282"/>
      <c r="E256" s="291"/>
      <c r="F256" s="292"/>
      <c r="G256" s="313"/>
      <c r="H256" s="286"/>
      <c r="I256" s="107"/>
      <c r="J256" s="141"/>
      <c r="K256" s="138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 ht="15.0" customHeight="1">
      <c r="A257" s="105"/>
      <c r="B257" s="281"/>
      <c r="C257" s="282"/>
      <c r="D257" s="282"/>
      <c r="E257" s="291"/>
      <c r="F257" s="292"/>
      <c r="G257" s="313"/>
      <c r="H257" s="286"/>
      <c r="I257" s="107"/>
      <c r="J257" s="141"/>
      <c r="K257" s="138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ht="15.0" customHeight="1">
      <c r="A258" s="105"/>
      <c r="B258" s="281"/>
      <c r="C258" s="282"/>
      <c r="D258" s="282"/>
      <c r="E258" s="291"/>
      <c r="F258" s="292"/>
      <c r="G258" s="313"/>
      <c r="H258" s="286"/>
      <c r="I258" s="107"/>
      <c r="J258" s="141"/>
      <c r="K258" s="138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 ht="15.0" customHeight="1">
      <c r="A259" s="105"/>
      <c r="B259" s="281"/>
      <c r="C259" s="282"/>
      <c r="D259" s="282"/>
      <c r="E259" s="291"/>
      <c r="F259" s="292"/>
      <c r="G259" s="313"/>
      <c r="H259" s="286"/>
      <c r="I259" s="107"/>
      <c r="J259" s="141"/>
      <c r="K259" s="138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 ht="15.0" customHeight="1">
      <c r="A260" s="105"/>
      <c r="B260" s="281"/>
      <c r="C260" s="282"/>
      <c r="D260" s="282"/>
      <c r="E260" s="291"/>
      <c r="F260" s="292"/>
      <c r="G260" s="313"/>
      <c r="H260" s="286"/>
      <c r="I260" s="107"/>
      <c r="J260" s="141"/>
      <c r="K260" s="138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 ht="15.0" customHeight="1">
      <c r="A261" s="105"/>
      <c r="B261" s="281"/>
      <c r="C261" s="282"/>
      <c r="D261" s="282"/>
      <c r="E261" s="291"/>
      <c r="F261" s="292"/>
      <c r="G261" s="313"/>
      <c r="H261" s="286"/>
      <c r="I261" s="107"/>
      <c r="J261" s="141"/>
      <c r="K261" s="138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 ht="15.0" customHeight="1">
      <c r="A262" s="105"/>
      <c r="B262" s="281"/>
      <c r="C262" s="282"/>
      <c r="D262" s="282"/>
      <c r="E262" s="291"/>
      <c r="F262" s="292"/>
      <c r="G262" s="313"/>
      <c r="H262" s="286"/>
      <c r="I262" s="107"/>
      <c r="J262" s="141"/>
      <c r="K262" s="138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 ht="15.0" customHeight="1">
      <c r="A263" s="105"/>
      <c r="B263" s="281"/>
      <c r="C263" s="282"/>
      <c r="D263" s="282"/>
      <c r="E263" s="291"/>
      <c r="F263" s="292"/>
      <c r="G263" s="313"/>
      <c r="H263" s="286"/>
      <c r="I263" s="107"/>
      <c r="J263" s="141"/>
      <c r="K263" s="138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 ht="15.0" customHeight="1">
      <c r="A264" s="105"/>
      <c r="B264" s="281"/>
      <c r="C264" s="282"/>
      <c r="D264" s="282"/>
      <c r="E264" s="291"/>
      <c r="F264" s="292"/>
      <c r="G264" s="313"/>
      <c r="H264" s="286"/>
      <c r="I264" s="107"/>
      <c r="J264" s="141"/>
      <c r="K264" s="138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 ht="15.0" customHeight="1">
      <c r="A265" s="105"/>
      <c r="B265" s="281"/>
      <c r="C265" s="282"/>
      <c r="D265" s="282"/>
      <c r="E265" s="291"/>
      <c r="F265" s="292"/>
      <c r="G265" s="313"/>
      <c r="H265" s="286"/>
      <c r="I265" s="107"/>
      <c r="J265" s="141"/>
      <c r="K265" s="138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</sheetData>
  <autoFilter ref="$B$21:$H$265">
    <sortState ref="B21:H265">
      <sortCondition ref="B21:B265"/>
    </sortState>
  </autoFilter>
  <customSheetViews>
    <customSheetView guid="{CD2BF927-9D79-47FC-BBA8-927062D6B3F5}" filter="1" showAutoFilter="1">
      <autoFilter ref="$B$21:$H$265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65">
      <formula1>$L:$L</formula1>
    </dataValidation>
  </dataValidations>
  <hyperlinks>
    <hyperlink r:id="rId1" ref="I3"/>
    <hyperlink r:id="rId2" ref="I4"/>
  </hyperlinks>
  <printOptions/>
  <pageMargins bottom="0.75" footer="0.0" header="0.0" left="0.25" right="0.25" top="0.75"/>
  <pageSetup fitToHeight="0" paperSize="9" orientation="portrait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4.86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1080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'23.02월'!G5</f>
        <v>5286893</v>
      </c>
      <c r="E5" s="227">
        <f>sumif(B22:B142,B5,E22:E142)</f>
        <v>46006686</v>
      </c>
      <c r="F5" s="228">
        <f>sumif(B22:B185,B5,F22:F185)</f>
        <v>21719091</v>
      </c>
      <c r="G5" s="229">
        <f t="shared" ref="G5:G13" si="1">D5+E5-F5</f>
        <v>29574488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'23.02월'!G6</f>
        <v>2.31</v>
      </c>
      <c r="E6" s="233">
        <f>sumif(B22:B144,B6,E22:E144)</f>
        <v>0</v>
      </c>
      <c r="F6" s="234">
        <f>sumif(B22:B185,B6,F22:F185)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'23.02월'!G7</f>
        <v>64118175</v>
      </c>
      <c r="E7" s="237">
        <f>sumif(B22:B144,B7,E22:E144)</f>
        <v>115956794</v>
      </c>
      <c r="F7" s="238">
        <f>sumif(B22:B185,B7,F22:F185)</f>
        <v>141909628</v>
      </c>
      <c r="G7" s="239">
        <f t="shared" si="1"/>
        <v>38165341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'23.02월'!G8</f>
        <v>0.78</v>
      </c>
      <c r="E8" s="240">
        <f>sumif(B22:B144,B8,E22:E144)</f>
        <v>91350.11</v>
      </c>
      <c r="F8" s="234">
        <f>sumif(B22:B185,B8,F22:F185)</f>
        <v>91350</v>
      </c>
      <c r="G8" s="235">
        <f t="shared" si="1"/>
        <v>0.89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'23.02월'!G9</f>
        <v>8645.97</v>
      </c>
      <c r="E9" s="240">
        <f>sumif(B22:B185,B9,E22:E142)</f>
        <v>395592.5</v>
      </c>
      <c r="F9" s="329">
        <f>sumif(B22:B185,B9,F22:F185)</f>
        <v>102168.77</v>
      </c>
      <c r="G9" s="329">
        <f t="shared" si="1"/>
        <v>302069.7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'23.02월'!G10</f>
        <v>0</v>
      </c>
      <c r="E10" s="242">
        <f>sumif(B22:B142,B10,E22:E185)</f>
        <v>500</v>
      </c>
      <c r="F10" s="319">
        <f>sumif(B22:B185,B10,F22:F185)</f>
        <v>300</v>
      </c>
      <c r="G10" s="320">
        <f t="shared" si="1"/>
        <v>200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'23.02월'!G11</f>
        <v>0</v>
      </c>
      <c r="E11" s="245">
        <f>sumif(B22:B144,B11,E22:E144)</f>
        <v>0</v>
      </c>
      <c r="F11" s="238">
        <f>sumif(B22:B185,B11,F22:F185)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'23.02월'!G12</f>
        <v>7121.24</v>
      </c>
      <c r="E12" s="233">
        <f>sumif(B22:B144,B12,E22:E144)</f>
        <v>0</v>
      </c>
      <c r="F12" s="234">
        <f>sumif(B22:B184,B12,F22:F184)</f>
        <v>0</v>
      </c>
      <c r="G12" s="235">
        <f t="shared" si="1"/>
        <v>7121.24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'23.02월'!G13</f>
        <v>830</v>
      </c>
      <c r="E13" s="308">
        <f>sumif(B22:B144,B13,E22:E144)</f>
        <v>0</v>
      </c>
      <c r="F13" s="309">
        <f>sumif(B22:B184,B13,F22:F184)</f>
        <v>25</v>
      </c>
      <c r="G13" s="310">
        <f t="shared" si="1"/>
        <v>805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69405068</v>
      </c>
      <c r="E15" s="262">
        <f t="shared" si="2"/>
        <v>161963480</v>
      </c>
      <c r="F15" s="263">
        <f t="shared" si="2"/>
        <v>163628719</v>
      </c>
      <c r="G15" s="264">
        <f>G5+G11+G7</f>
        <v>67739829</v>
      </c>
      <c r="H15" s="265">
        <f>G15</f>
        <v>67739829</v>
      </c>
      <c r="I15" s="133"/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15770.3</v>
      </c>
      <c r="E16" s="269">
        <f t="shared" si="3"/>
        <v>486942.61</v>
      </c>
      <c r="F16" s="270">
        <f t="shared" si="3"/>
        <v>193518.77</v>
      </c>
      <c r="G16" s="271">
        <f>G9+G6+G8+G12</f>
        <v>309194.14</v>
      </c>
      <c r="H16" s="265">
        <f>rounddown(G16*$J$3,0)</f>
        <v>455357939</v>
      </c>
      <c r="I16" s="134"/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830</v>
      </c>
      <c r="E17" s="274">
        <f t="shared" si="4"/>
        <v>500</v>
      </c>
      <c r="F17" s="275">
        <f t="shared" si="4"/>
        <v>325</v>
      </c>
      <c r="G17" s="276">
        <f t="shared" si="4"/>
        <v>1005</v>
      </c>
      <c r="H17" s="277">
        <f>rounddown(G17*$J$4,0)</f>
        <v>1149604</v>
      </c>
      <c r="I17" s="103"/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524247372</v>
      </c>
      <c r="I18" s="279">
        <f t="shared" si="5"/>
        <v>0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12"/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B5</f>
        <v>신한 #672</v>
      </c>
      <c r="C22" s="330" t="s">
        <v>1082</v>
      </c>
      <c r="D22" s="282" t="s">
        <v>920</v>
      </c>
      <c r="E22" s="283"/>
      <c r="F22" s="284">
        <v>77000.0</v>
      </c>
      <c r="G22" s="313" t="s">
        <v>1006</v>
      </c>
      <c r="H22" s="286" t="s">
        <v>33</v>
      </c>
      <c r="I22" s="107"/>
      <c r="J22" s="107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B5</f>
        <v>신한 #672</v>
      </c>
      <c r="C23" s="282" t="s">
        <v>1083</v>
      </c>
      <c r="D23" s="282" t="s">
        <v>1084</v>
      </c>
      <c r="E23" s="283"/>
      <c r="F23" s="284">
        <v>825000.0</v>
      </c>
      <c r="G23" s="313" t="s">
        <v>1085</v>
      </c>
      <c r="H23" s="286" t="s">
        <v>33</v>
      </c>
      <c r="I23" s="107"/>
      <c r="J23" s="141"/>
      <c r="K23" s="99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B7</f>
        <v>하나 #304</v>
      </c>
      <c r="C24" s="282" t="s">
        <v>1083</v>
      </c>
      <c r="D24" s="282" t="s">
        <v>1086</v>
      </c>
      <c r="E24" s="283"/>
      <c r="F24" s="284">
        <f>6419820+500</f>
        <v>6420320</v>
      </c>
      <c r="G24" s="313" t="s">
        <v>1087</v>
      </c>
      <c r="H24" s="286" t="s">
        <v>33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B7</f>
        <v>하나 #304</v>
      </c>
      <c r="C25" s="282" t="s">
        <v>1088</v>
      </c>
      <c r="D25" s="282" t="s">
        <v>749</v>
      </c>
      <c r="E25" s="283"/>
      <c r="F25" s="284">
        <v>1.50005E7</v>
      </c>
      <c r="G25" s="313" t="s">
        <v>1035</v>
      </c>
      <c r="H25" s="286" t="s">
        <v>556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B7</f>
        <v>하나 #304</v>
      </c>
      <c r="C26" s="282" t="s">
        <v>1088</v>
      </c>
      <c r="D26" s="282" t="s">
        <v>1089</v>
      </c>
      <c r="E26" s="283"/>
      <c r="F26" s="284">
        <v>7975340.0</v>
      </c>
      <c r="G26" s="313" t="s">
        <v>1090</v>
      </c>
      <c r="H26" s="286" t="s">
        <v>31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B7</f>
        <v>하나 #304</v>
      </c>
      <c r="C27" s="282" t="s">
        <v>1088</v>
      </c>
      <c r="D27" s="282" t="s">
        <v>1017</v>
      </c>
      <c r="E27" s="283"/>
      <c r="F27" s="284">
        <v>797840.0</v>
      </c>
      <c r="G27" s="313" t="s">
        <v>1091</v>
      </c>
      <c r="H27" s="286" t="s">
        <v>31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B5</f>
        <v>신한 #672</v>
      </c>
      <c r="C28" s="282" t="s">
        <v>1088</v>
      </c>
      <c r="D28" s="282" t="s">
        <v>749</v>
      </c>
      <c r="E28" s="283">
        <v>1.5E7</v>
      </c>
      <c r="F28" s="284"/>
      <c r="G28" s="313" t="s">
        <v>1035</v>
      </c>
      <c r="H28" s="286" t="s">
        <v>556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B7</f>
        <v>하나 #304</v>
      </c>
      <c r="C29" s="282" t="s">
        <v>1088</v>
      </c>
      <c r="D29" s="282" t="s">
        <v>1092</v>
      </c>
      <c r="E29" s="283"/>
      <c r="F29" s="284">
        <v>330500.0</v>
      </c>
      <c r="G29" s="313" t="s">
        <v>1093</v>
      </c>
      <c r="H29" s="286" t="s">
        <v>20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B7</f>
        <v>하나 #304</v>
      </c>
      <c r="C30" s="282" t="s">
        <v>1088</v>
      </c>
      <c r="D30" s="282" t="s">
        <v>1094</v>
      </c>
      <c r="E30" s="283"/>
      <c r="F30" s="284">
        <f>4787236+500</f>
        <v>4787736</v>
      </c>
      <c r="G30" s="314" t="s">
        <v>1095</v>
      </c>
      <c r="H30" s="286" t="s">
        <v>33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B5</f>
        <v>신한 #672</v>
      </c>
      <c r="C31" s="282" t="s">
        <v>1096</v>
      </c>
      <c r="D31" s="282" t="s">
        <v>1097</v>
      </c>
      <c r="E31" s="283"/>
      <c r="F31" s="284">
        <v>6058320.0</v>
      </c>
      <c r="G31" s="313" t="s">
        <v>1098</v>
      </c>
      <c r="H31" s="286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B5</f>
        <v>신한 #672</v>
      </c>
      <c r="C32" s="282" t="s">
        <v>1096</v>
      </c>
      <c r="D32" s="318" t="s">
        <v>1099</v>
      </c>
      <c r="E32" s="283"/>
      <c r="F32" s="284">
        <v>6042300.0</v>
      </c>
      <c r="G32" s="314" t="s">
        <v>1100</v>
      </c>
      <c r="H32" s="286" t="s">
        <v>31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B5</f>
        <v>신한 #672</v>
      </c>
      <c r="C33" s="282" t="s">
        <v>1096</v>
      </c>
      <c r="D33" s="282" t="s">
        <v>1101</v>
      </c>
      <c r="E33" s="283"/>
      <c r="F33" s="284">
        <v>1451020.0</v>
      </c>
      <c r="G33" s="313" t="s">
        <v>1102</v>
      </c>
      <c r="H33" s="286" t="s">
        <v>31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B5</f>
        <v>신한 #672</v>
      </c>
      <c r="C34" s="282" t="s">
        <v>1096</v>
      </c>
      <c r="D34" s="282" t="s">
        <v>1103</v>
      </c>
      <c r="E34" s="283"/>
      <c r="F34" s="284">
        <v>580720.0</v>
      </c>
      <c r="G34" s="313" t="s">
        <v>1104</v>
      </c>
      <c r="H34" s="286" t="s">
        <v>31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282" t="s">
        <v>1105</v>
      </c>
      <c r="D35" s="282" t="s">
        <v>1106</v>
      </c>
      <c r="E35" s="283"/>
      <c r="F35" s="284">
        <v>1098300.0</v>
      </c>
      <c r="G35" s="313" t="s">
        <v>1107</v>
      </c>
      <c r="H35" s="286" t="s">
        <v>930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B9</f>
        <v>WISE USD</v>
      </c>
      <c r="C36" s="282" t="s">
        <v>1105</v>
      </c>
      <c r="D36" s="282" t="s">
        <v>888</v>
      </c>
      <c r="E36" s="291">
        <v>375519.22</v>
      </c>
      <c r="F36" s="284"/>
      <c r="G36" s="313" t="s">
        <v>1108</v>
      </c>
      <c r="H36" s="286" t="s">
        <v>554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WISE USD</v>
      </c>
      <c r="C37" s="282" t="s">
        <v>1109</v>
      </c>
      <c r="D37" s="296" t="s">
        <v>542</v>
      </c>
      <c r="E37" s="283"/>
      <c r="F37" s="291">
        <v>10.0</v>
      </c>
      <c r="G37" s="313" t="s">
        <v>1068</v>
      </c>
      <c r="H37" s="286" t="s">
        <v>33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 t="shared" ref="B38:B39" si="6">B9</f>
        <v>WISE USD</v>
      </c>
      <c r="C38" s="282" t="s">
        <v>1105</v>
      </c>
      <c r="D38" s="282" t="s">
        <v>1110</v>
      </c>
      <c r="E38" s="283"/>
      <c r="F38" s="291">
        <f>371.84</f>
        <v>371.84</v>
      </c>
      <c r="G38" s="313" t="s">
        <v>679</v>
      </c>
      <c r="H38" s="286" t="s">
        <v>556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 t="shared" si="6"/>
        <v>WISE SGD</v>
      </c>
      <c r="C39" s="282" t="s">
        <v>1105</v>
      </c>
      <c r="D39" s="282" t="s">
        <v>1110</v>
      </c>
      <c r="E39" s="291">
        <v>500.0</v>
      </c>
      <c r="F39" s="291"/>
      <c r="G39" s="313" t="s">
        <v>679</v>
      </c>
      <c r="H39" s="286" t="s">
        <v>556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B10</f>
        <v>WISE SGD</v>
      </c>
      <c r="C40" s="282" t="s">
        <v>1105</v>
      </c>
      <c r="D40" s="282" t="s">
        <v>894</v>
      </c>
      <c r="E40" s="283"/>
      <c r="F40" s="291">
        <v>300.0</v>
      </c>
      <c r="G40" s="313" t="s">
        <v>1111</v>
      </c>
      <c r="H40" s="286" t="s">
        <v>33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B9</f>
        <v>WISE USD</v>
      </c>
      <c r="C41" s="282" t="s">
        <v>1105</v>
      </c>
      <c r="D41" s="282" t="s">
        <v>740</v>
      </c>
      <c r="E41" s="283"/>
      <c r="F41" s="292">
        <v>10422.68</v>
      </c>
      <c r="G41" s="313" t="s">
        <v>1112</v>
      </c>
      <c r="H41" s="286" t="s">
        <v>41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WISE USD</v>
      </c>
      <c r="C42" s="282" t="s">
        <v>1105</v>
      </c>
      <c r="D42" s="282" t="s">
        <v>1061</v>
      </c>
      <c r="E42" s="283"/>
      <c r="F42" s="292">
        <v>0.39</v>
      </c>
      <c r="G42" s="313" t="s">
        <v>1113</v>
      </c>
      <c r="H42" s="286" t="s">
        <v>33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B7</f>
        <v>하나 #304</v>
      </c>
      <c r="C43" s="282" t="s">
        <v>1114</v>
      </c>
      <c r="D43" s="282" t="s">
        <v>1115</v>
      </c>
      <c r="E43" s="283">
        <v>10807.0</v>
      </c>
      <c r="F43" s="284"/>
      <c r="G43" s="313" t="s">
        <v>906</v>
      </c>
      <c r="H43" s="286" t="s">
        <v>75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B7</f>
        <v>하나 #304</v>
      </c>
      <c r="C44" s="282" t="s">
        <v>1116</v>
      </c>
      <c r="D44" s="282" t="s">
        <v>122</v>
      </c>
      <c r="E44" s="283"/>
      <c r="F44" s="284">
        <v>500500.0</v>
      </c>
      <c r="G44" s="313" t="s">
        <v>1117</v>
      </c>
      <c r="H44" s="286" t="s">
        <v>12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WISE USD</v>
      </c>
      <c r="C45" s="282" t="s">
        <v>1116</v>
      </c>
      <c r="D45" s="318" t="s">
        <v>899</v>
      </c>
      <c r="E45" s="283"/>
      <c r="F45" s="332">
        <v>91349.47</v>
      </c>
      <c r="G45" s="313" t="s">
        <v>1118</v>
      </c>
      <c r="H45" s="286" t="s">
        <v>945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WISE USD</v>
      </c>
      <c r="C46" s="282" t="s">
        <v>1116</v>
      </c>
      <c r="D46" s="282" t="s">
        <v>1072</v>
      </c>
      <c r="E46" s="283"/>
      <c r="F46" s="332">
        <v>14.39</v>
      </c>
      <c r="G46" s="313" t="s">
        <v>1119</v>
      </c>
      <c r="H46" s="286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B5</f>
        <v>신한 #672</v>
      </c>
      <c r="C47" s="282" t="s">
        <v>1114</v>
      </c>
      <c r="D47" s="282" t="s">
        <v>1120</v>
      </c>
      <c r="E47" s="284">
        <v>6686.0</v>
      </c>
      <c r="F47" s="284"/>
      <c r="G47" s="313" t="s">
        <v>906</v>
      </c>
      <c r="H47" s="286" t="s">
        <v>75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B8</f>
        <v>하나 #138</v>
      </c>
      <c r="C48" s="282" t="s">
        <v>1114</v>
      </c>
      <c r="D48" s="282" t="s">
        <v>1115</v>
      </c>
      <c r="E48" s="332">
        <v>0.64</v>
      </c>
      <c r="F48" s="332"/>
      <c r="G48" s="313" t="s">
        <v>906</v>
      </c>
      <c r="H48" s="286" t="s">
        <v>75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B8</f>
        <v>하나 #138</v>
      </c>
      <c r="C49" s="282" t="s">
        <v>1121</v>
      </c>
      <c r="D49" s="318" t="s">
        <v>899</v>
      </c>
      <c r="E49" s="332">
        <v>91349.47</v>
      </c>
      <c r="F49" s="332"/>
      <c r="G49" s="313" t="s">
        <v>1118</v>
      </c>
      <c r="H49" s="286" t="s">
        <v>945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B8</f>
        <v>하나 #138</v>
      </c>
      <c r="C50" s="282" t="s">
        <v>1122</v>
      </c>
      <c r="D50" s="282" t="s">
        <v>632</v>
      </c>
      <c r="E50" s="283"/>
      <c r="F50" s="332">
        <v>91350.0</v>
      </c>
      <c r="G50" s="313" t="s">
        <v>679</v>
      </c>
      <c r="H50" s="286" t="s">
        <v>556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B7</f>
        <v>하나 #304</v>
      </c>
      <c r="C51" s="282" t="s">
        <v>1122</v>
      </c>
      <c r="D51" s="282" t="s">
        <v>632</v>
      </c>
      <c r="E51" s="284">
        <v>1.15945987E8</v>
      </c>
      <c r="F51" s="284"/>
      <c r="G51" s="313" t="s">
        <v>679</v>
      </c>
      <c r="H51" s="286" t="s">
        <v>556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16" t="str">
        <f>B7</f>
        <v>하나 #304</v>
      </c>
      <c r="C52" s="282" t="s">
        <v>1123</v>
      </c>
      <c r="D52" s="282" t="s">
        <v>632</v>
      </c>
      <c r="E52" s="283"/>
      <c r="F52" s="284">
        <v>2.00005E7</v>
      </c>
      <c r="G52" s="313" t="s">
        <v>1035</v>
      </c>
      <c r="H52" s="286" t="s">
        <v>556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16" t="str">
        <f>B7</f>
        <v>하나 #304</v>
      </c>
      <c r="C53" s="282" t="s">
        <v>1123</v>
      </c>
      <c r="D53" s="318" t="s">
        <v>41</v>
      </c>
      <c r="E53" s="291"/>
      <c r="F53" s="284">
        <v>6.4067302E7</v>
      </c>
      <c r="G53" s="313" t="s">
        <v>41</v>
      </c>
      <c r="H53" s="286" t="s">
        <v>41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B7</f>
        <v>하나 #304</v>
      </c>
      <c r="C54" s="282" t="s">
        <v>1124</v>
      </c>
      <c r="D54" s="282" t="s">
        <v>721</v>
      </c>
      <c r="E54" s="283"/>
      <c r="F54" s="284">
        <v>5270110.0</v>
      </c>
      <c r="G54" s="313" t="s">
        <v>1045</v>
      </c>
      <c r="H54" s="286" t="s">
        <v>4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B5</f>
        <v>신한 #672</v>
      </c>
      <c r="C55" s="282" t="s">
        <v>1121</v>
      </c>
      <c r="D55" s="282" t="s">
        <v>982</v>
      </c>
      <c r="E55" s="283"/>
      <c r="F55" s="284">
        <v>110000.0</v>
      </c>
      <c r="G55" s="313" t="s">
        <v>1033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B5</f>
        <v>신한 #672</v>
      </c>
      <c r="C56" s="282" t="s">
        <v>1123</v>
      </c>
      <c r="D56" s="282" t="s">
        <v>632</v>
      </c>
      <c r="E56" s="284">
        <v>2.0E7</v>
      </c>
      <c r="F56" s="284"/>
      <c r="G56" s="313" t="s">
        <v>1035</v>
      </c>
      <c r="H56" s="286" t="s">
        <v>556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</f>
        <v>신한 #672</v>
      </c>
      <c r="C57" s="282" t="s">
        <v>1124</v>
      </c>
      <c r="D57" s="282" t="s">
        <v>1125</v>
      </c>
      <c r="E57" s="283"/>
      <c r="F57" s="284">
        <v>37430.0</v>
      </c>
      <c r="G57" s="313" t="s">
        <v>1038</v>
      </c>
      <c r="H57" s="286" t="s">
        <v>4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282" t="s">
        <v>1124</v>
      </c>
      <c r="D58" s="282" t="s">
        <v>1125</v>
      </c>
      <c r="E58" s="283"/>
      <c r="F58" s="284">
        <v>50250.0</v>
      </c>
      <c r="G58" s="313" t="s">
        <v>1038</v>
      </c>
      <c r="H58" s="286" t="s">
        <v>4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282" t="s">
        <v>1124</v>
      </c>
      <c r="D59" s="282" t="s">
        <v>1125</v>
      </c>
      <c r="E59" s="291"/>
      <c r="F59" s="284">
        <v>20660.0</v>
      </c>
      <c r="G59" s="313" t="s">
        <v>1039</v>
      </c>
      <c r="H59" s="286" t="s">
        <v>4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282" t="s">
        <v>1124</v>
      </c>
      <c r="D60" s="282" t="s">
        <v>1125</v>
      </c>
      <c r="E60" s="283"/>
      <c r="F60" s="284">
        <v>20660.0</v>
      </c>
      <c r="G60" s="313" t="s">
        <v>1039</v>
      </c>
      <c r="H60" s="286" t="s">
        <v>4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B5</f>
        <v>신한 #672</v>
      </c>
      <c r="C61" s="282" t="s">
        <v>1124</v>
      </c>
      <c r="D61" s="331" t="s">
        <v>1125</v>
      </c>
      <c r="E61" s="283"/>
      <c r="F61" s="284">
        <v>37430.0</v>
      </c>
      <c r="G61" s="313" t="s">
        <v>1040</v>
      </c>
      <c r="H61" s="286" t="s">
        <v>4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282" t="s">
        <v>1124</v>
      </c>
      <c r="D62" s="282" t="s">
        <v>497</v>
      </c>
      <c r="E62" s="283"/>
      <c r="F62" s="284">
        <v>330000.0</v>
      </c>
      <c r="G62" s="313" t="s">
        <v>1041</v>
      </c>
      <c r="H62" s="286" t="s">
        <v>33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B5</f>
        <v>신한 #672</v>
      </c>
      <c r="C63" s="282" t="s">
        <v>1124</v>
      </c>
      <c r="D63" s="282" t="s">
        <v>604</v>
      </c>
      <c r="E63" s="283"/>
      <c r="F63" s="284">
        <v>110000.0</v>
      </c>
      <c r="G63" s="313" t="s">
        <v>1042</v>
      </c>
      <c r="H63" s="286" t="s">
        <v>33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167" t="str">
        <f>B5</f>
        <v>신한 #672</v>
      </c>
      <c r="C64" s="282" t="s">
        <v>1124</v>
      </c>
      <c r="D64" s="282" t="s">
        <v>1126</v>
      </c>
      <c r="E64" s="283"/>
      <c r="F64" s="284">
        <v>55570.0</v>
      </c>
      <c r="G64" s="313" t="s">
        <v>1044</v>
      </c>
      <c r="H64" s="286" t="s">
        <v>4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167" t="str">
        <f>B5</f>
        <v>신한 #672</v>
      </c>
      <c r="C65" s="282" t="s">
        <v>1124</v>
      </c>
      <c r="D65" s="282" t="s">
        <v>623</v>
      </c>
      <c r="E65" s="283"/>
      <c r="F65" s="284">
        <v>1869231.0</v>
      </c>
      <c r="G65" s="313" t="s">
        <v>1045</v>
      </c>
      <c r="H65" s="286" t="s">
        <v>4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167" t="str">
        <f>B5</f>
        <v>신한 #672</v>
      </c>
      <c r="C66" s="282" t="s">
        <v>1124</v>
      </c>
      <c r="D66" s="331" t="s">
        <v>1127</v>
      </c>
      <c r="E66" s="283"/>
      <c r="F66" s="284">
        <v>98000.0</v>
      </c>
      <c r="G66" s="313" t="s">
        <v>1047</v>
      </c>
      <c r="H66" s="286" t="s">
        <v>4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167" t="str">
        <f>B5</f>
        <v>신한 #672</v>
      </c>
      <c r="C67" s="282" t="s">
        <v>1128</v>
      </c>
      <c r="D67" s="282" t="s">
        <v>1129</v>
      </c>
      <c r="E67" s="283">
        <v>1.1E7</v>
      </c>
      <c r="F67" s="322"/>
      <c r="G67" s="313" t="s">
        <v>1130</v>
      </c>
      <c r="H67" s="286" t="s">
        <v>77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167" t="str">
        <f>B5</f>
        <v>신한 #672</v>
      </c>
      <c r="C68" s="282" t="s">
        <v>1128</v>
      </c>
      <c r="D68" s="282" t="s">
        <v>1131</v>
      </c>
      <c r="E68" s="283"/>
      <c r="F68" s="322">
        <v>3868500.0</v>
      </c>
      <c r="G68" s="313" t="s">
        <v>1132</v>
      </c>
      <c r="H68" s="286" t="s">
        <v>39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167" t="str">
        <f>B7</f>
        <v>하나 #304</v>
      </c>
      <c r="C69" s="282" t="s">
        <v>1133</v>
      </c>
      <c r="D69" s="282" t="s">
        <v>1134</v>
      </c>
      <c r="E69" s="283"/>
      <c r="F69" s="322">
        <v>1.23215E7</v>
      </c>
      <c r="G69" s="313" t="s">
        <v>1135</v>
      </c>
      <c r="H69" s="286" t="s">
        <v>31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167" t="str">
        <f>B7</f>
        <v>하나 #304</v>
      </c>
      <c r="C70" s="282" t="s">
        <v>1133</v>
      </c>
      <c r="D70" s="282" t="s">
        <v>1136</v>
      </c>
      <c r="E70" s="283"/>
      <c r="F70" s="322">
        <v>2188680.0</v>
      </c>
      <c r="G70" s="313" t="s">
        <v>1137</v>
      </c>
      <c r="H70" s="286" t="s">
        <v>31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167" t="str">
        <f>B7</f>
        <v>하나 #304</v>
      </c>
      <c r="C71" s="282" t="s">
        <v>1133</v>
      </c>
      <c r="D71" s="282" t="s">
        <v>717</v>
      </c>
      <c r="E71" s="283"/>
      <c r="F71" s="322">
        <v>1150500.0</v>
      </c>
      <c r="G71" s="313" t="s">
        <v>1138</v>
      </c>
      <c r="H71" s="286" t="s">
        <v>20</v>
      </c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167" t="str">
        <f>B9</f>
        <v>WISE USD</v>
      </c>
      <c r="C72" s="282" t="s">
        <v>1139</v>
      </c>
      <c r="D72" s="282" t="s">
        <v>1140</v>
      </c>
      <c r="E72" s="291">
        <v>20073.28</v>
      </c>
      <c r="F72" s="322"/>
      <c r="G72" s="313" t="s">
        <v>1141</v>
      </c>
      <c r="H72" s="286" t="s">
        <v>945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167" t="str">
        <f>B5</f>
        <v>신한 #672</v>
      </c>
      <c r="C73" s="282" t="s">
        <v>1133</v>
      </c>
      <c r="D73" s="282" t="s">
        <v>920</v>
      </c>
      <c r="E73" s="283"/>
      <c r="F73" s="322">
        <v>77000.0</v>
      </c>
      <c r="G73" s="313" t="s">
        <v>1006</v>
      </c>
      <c r="H73" s="286" t="s">
        <v>33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167" t="str">
        <f>B13</f>
        <v>OCBC SGD</v>
      </c>
      <c r="C74" s="282" t="s">
        <v>1142</v>
      </c>
      <c r="D74" s="282" t="s">
        <v>828</v>
      </c>
      <c r="E74" s="283"/>
      <c r="F74" s="292">
        <v>10.0</v>
      </c>
      <c r="G74" s="313" t="s">
        <v>1079</v>
      </c>
      <c r="H74" s="286" t="s">
        <v>33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167" t="str">
        <f>B13</f>
        <v>OCBC SGD</v>
      </c>
      <c r="C75" s="282" t="s">
        <v>1133</v>
      </c>
      <c r="D75" s="282" t="s">
        <v>828</v>
      </c>
      <c r="E75" s="283"/>
      <c r="F75" s="292">
        <v>15.0</v>
      </c>
      <c r="G75" s="313" t="s">
        <v>1079</v>
      </c>
      <c r="H75" s="286" t="s">
        <v>33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167"/>
      <c r="C76" s="323"/>
      <c r="D76" s="324"/>
      <c r="E76" s="325"/>
      <c r="F76" s="326"/>
      <c r="G76" s="327"/>
      <c r="H76" s="328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167"/>
      <c r="C77" s="323"/>
      <c r="D77" s="324"/>
      <c r="E77" s="325"/>
      <c r="F77" s="326"/>
      <c r="G77" s="327"/>
      <c r="H77" s="328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167"/>
      <c r="C78" s="323"/>
      <c r="D78" s="324"/>
      <c r="E78" s="325"/>
      <c r="F78" s="326"/>
      <c r="G78" s="327"/>
      <c r="H78" s="328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167"/>
      <c r="C79" s="323"/>
      <c r="D79" s="324"/>
      <c r="E79" s="325"/>
      <c r="F79" s="326"/>
      <c r="G79" s="327"/>
      <c r="H79" s="328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167"/>
      <c r="C80" s="323"/>
      <c r="D80" s="324"/>
      <c r="E80" s="325"/>
      <c r="F80" s="326"/>
      <c r="G80" s="327"/>
      <c r="H80" s="328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167"/>
      <c r="C81" s="323"/>
      <c r="D81" s="324"/>
      <c r="E81" s="325"/>
      <c r="F81" s="326"/>
      <c r="G81" s="327"/>
      <c r="H81" s="328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167"/>
      <c r="C82" s="323"/>
      <c r="D82" s="324"/>
      <c r="E82" s="325"/>
      <c r="F82" s="326"/>
      <c r="G82" s="327"/>
      <c r="H82" s="328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167"/>
      <c r="C83" s="323"/>
      <c r="D83" s="324"/>
      <c r="E83" s="325"/>
      <c r="F83" s="326"/>
      <c r="G83" s="327"/>
      <c r="H83" s="328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167"/>
      <c r="C84" s="323"/>
      <c r="D84" s="324"/>
      <c r="E84" s="325"/>
      <c r="F84" s="326"/>
      <c r="G84" s="327"/>
      <c r="H84" s="328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83"/>
      <c r="F85" s="284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83"/>
      <c r="F86" s="284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83"/>
      <c r="F87" s="284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83"/>
      <c r="F88" s="284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83"/>
      <c r="F89" s="284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83"/>
      <c r="F90" s="284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83"/>
      <c r="F91" s="284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83"/>
      <c r="F92" s="284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83"/>
      <c r="F93" s="284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83"/>
      <c r="F94" s="284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83"/>
      <c r="F95" s="284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83"/>
      <c r="F96" s="284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83"/>
      <c r="F97" s="284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91"/>
      <c r="F203" s="292"/>
      <c r="G203" s="313"/>
      <c r="H203" s="286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91"/>
      <c r="F204" s="292"/>
      <c r="G204" s="313"/>
      <c r="H204" s="286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91"/>
      <c r="F205" s="292"/>
      <c r="G205" s="313"/>
      <c r="H205" s="286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91"/>
      <c r="F206" s="292"/>
      <c r="G206" s="313"/>
      <c r="H206" s="286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B207" s="281"/>
      <c r="C207" s="282"/>
      <c r="D207" s="282"/>
      <c r="E207" s="291"/>
      <c r="F207" s="292"/>
      <c r="G207" s="313"/>
      <c r="H207" s="286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B208" s="281"/>
      <c r="C208" s="282"/>
      <c r="D208" s="282"/>
      <c r="E208" s="291"/>
      <c r="F208" s="292"/>
      <c r="G208" s="313"/>
      <c r="H208" s="286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B209" s="281"/>
      <c r="C209" s="282"/>
      <c r="D209" s="282"/>
      <c r="E209" s="291"/>
      <c r="F209" s="292"/>
      <c r="G209" s="313"/>
      <c r="H209" s="286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B210" s="281"/>
      <c r="C210" s="282"/>
      <c r="D210" s="282"/>
      <c r="E210" s="291"/>
      <c r="F210" s="292"/>
      <c r="G210" s="313"/>
      <c r="H210" s="286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B211" s="281"/>
      <c r="C211" s="282"/>
      <c r="D211" s="282"/>
      <c r="E211" s="291"/>
      <c r="F211" s="292"/>
      <c r="G211" s="313"/>
      <c r="H211" s="286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B212" s="281"/>
      <c r="C212" s="282"/>
      <c r="D212" s="282"/>
      <c r="E212" s="291"/>
      <c r="F212" s="292"/>
      <c r="G212" s="313"/>
      <c r="H212" s="286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B213" s="281"/>
      <c r="C213" s="282"/>
      <c r="D213" s="282"/>
      <c r="E213" s="291"/>
      <c r="F213" s="292"/>
      <c r="G213" s="313"/>
      <c r="H213" s="286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B214" s="281"/>
      <c r="C214" s="282"/>
      <c r="D214" s="282"/>
      <c r="E214" s="291"/>
      <c r="F214" s="292"/>
      <c r="G214" s="313"/>
      <c r="H214" s="286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B215" s="281"/>
      <c r="C215" s="282"/>
      <c r="D215" s="282"/>
      <c r="E215" s="291"/>
      <c r="F215" s="292"/>
      <c r="G215" s="313"/>
      <c r="H215" s="286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B216" s="281"/>
      <c r="C216" s="282"/>
      <c r="D216" s="282"/>
      <c r="E216" s="291"/>
      <c r="F216" s="292"/>
      <c r="G216" s="313"/>
      <c r="H216" s="286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B217" s="281"/>
      <c r="C217" s="282"/>
      <c r="D217" s="282"/>
      <c r="E217" s="291"/>
      <c r="F217" s="292"/>
      <c r="G217" s="313"/>
      <c r="H217" s="286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B218" s="281"/>
      <c r="C218" s="282"/>
      <c r="D218" s="282"/>
      <c r="E218" s="291"/>
      <c r="F218" s="292"/>
      <c r="G218" s="313"/>
      <c r="H218" s="286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B219" s="281"/>
      <c r="C219" s="282"/>
      <c r="D219" s="282"/>
      <c r="E219" s="291"/>
      <c r="F219" s="292"/>
      <c r="G219" s="313"/>
      <c r="H219" s="286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B220" s="281"/>
      <c r="C220" s="282"/>
      <c r="D220" s="282"/>
      <c r="E220" s="291"/>
      <c r="F220" s="292"/>
      <c r="G220" s="313"/>
      <c r="H220" s="286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B221" s="281"/>
      <c r="C221" s="282"/>
      <c r="D221" s="282"/>
      <c r="E221" s="291"/>
      <c r="F221" s="292"/>
      <c r="G221" s="313"/>
      <c r="H221" s="286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B222" s="281"/>
      <c r="C222" s="282"/>
      <c r="D222" s="282"/>
      <c r="E222" s="291"/>
      <c r="F222" s="292"/>
      <c r="G222" s="313"/>
      <c r="H222" s="286"/>
      <c r="I222" s="107"/>
      <c r="J222" s="141"/>
      <c r="K222" s="138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B223" s="281"/>
      <c r="C223" s="282"/>
      <c r="D223" s="282"/>
      <c r="E223" s="291"/>
      <c r="F223" s="292"/>
      <c r="G223" s="313"/>
      <c r="H223" s="286"/>
      <c r="I223" s="107"/>
      <c r="J223" s="141"/>
      <c r="K223" s="138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B224" s="281"/>
      <c r="C224" s="282"/>
      <c r="D224" s="282"/>
      <c r="E224" s="291"/>
      <c r="F224" s="292"/>
      <c r="G224" s="313"/>
      <c r="H224" s="286"/>
      <c r="I224" s="107"/>
      <c r="J224" s="141"/>
      <c r="K224" s="138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B225" s="281"/>
      <c r="C225" s="282"/>
      <c r="D225" s="282"/>
      <c r="E225" s="291"/>
      <c r="F225" s="292"/>
      <c r="G225" s="313"/>
      <c r="H225" s="286"/>
      <c r="I225" s="107"/>
      <c r="J225" s="141"/>
      <c r="K225" s="138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B226" s="281"/>
      <c r="C226" s="282"/>
      <c r="D226" s="282"/>
      <c r="E226" s="291"/>
      <c r="F226" s="292"/>
      <c r="G226" s="313"/>
      <c r="H226" s="286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B227" s="281"/>
      <c r="C227" s="282"/>
      <c r="D227" s="282"/>
      <c r="E227" s="291"/>
      <c r="F227" s="292"/>
      <c r="G227" s="313"/>
      <c r="H227" s="286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B228" s="281"/>
      <c r="C228" s="282"/>
      <c r="D228" s="282"/>
      <c r="E228" s="291"/>
      <c r="F228" s="292"/>
      <c r="G228" s="313"/>
      <c r="H228" s="286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B229" s="281"/>
      <c r="C229" s="282"/>
      <c r="D229" s="282"/>
      <c r="E229" s="291"/>
      <c r="F229" s="292"/>
      <c r="G229" s="313"/>
      <c r="H229" s="286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B230" s="281"/>
      <c r="C230" s="282"/>
      <c r="D230" s="282"/>
      <c r="E230" s="291"/>
      <c r="F230" s="292"/>
      <c r="G230" s="313"/>
      <c r="H230" s="286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B231" s="281"/>
      <c r="C231" s="282"/>
      <c r="D231" s="282"/>
      <c r="E231" s="291"/>
      <c r="F231" s="292"/>
      <c r="G231" s="313"/>
      <c r="H231" s="286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105"/>
      <c r="B232" s="281"/>
      <c r="C232" s="282"/>
      <c r="D232" s="282"/>
      <c r="E232" s="291"/>
      <c r="F232" s="292"/>
      <c r="G232" s="313"/>
      <c r="H232" s="286"/>
      <c r="I232" s="107"/>
      <c r="J232" s="141"/>
      <c r="K232" s="138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B233" s="281"/>
      <c r="C233" s="282"/>
      <c r="D233" s="282"/>
      <c r="E233" s="291"/>
      <c r="F233" s="292"/>
      <c r="G233" s="313"/>
      <c r="H233" s="286"/>
      <c r="I233" s="107"/>
      <c r="J233" s="141"/>
      <c r="K233" s="138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B234" s="281"/>
      <c r="C234" s="282"/>
      <c r="D234" s="282"/>
      <c r="E234" s="291"/>
      <c r="F234" s="292"/>
      <c r="G234" s="313"/>
      <c r="H234" s="286"/>
      <c r="I234" s="107"/>
      <c r="J234" s="141"/>
      <c r="K234" s="138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B235" s="281"/>
      <c r="C235" s="282"/>
      <c r="D235" s="282"/>
      <c r="E235" s="291"/>
      <c r="F235" s="292"/>
      <c r="G235" s="313"/>
      <c r="H235" s="286"/>
      <c r="I235" s="107"/>
      <c r="J235" s="141"/>
      <c r="K235" s="138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B236" s="281"/>
      <c r="C236" s="282"/>
      <c r="D236" s="282"/>
      <c r="E236" s="291"/>
      <c r="F236" s="292"/>
      <c r="G236" s="313"/>
      <c r="H236" s="286"/>
      <c r="I236" s="107"/>
      <c r="J236" s="141"/>
      <c r="K236" s="138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B237" s="281"/>
      <c r="C237" s="282"/>
      <c r="D237" s="282"/>
      <c r="E237" s="291"/>
      <c r="F237" s="292"/>
      <c r="G237" s="313"/>
      <c r="H237" s="286"/>
      <c r="I237" s="107"/>
      <c r="J237" s="141"/>
      <c r="K237" s="138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B238" s="281"/>
      <c r="C238" s="282"/>
      <c r="D238" s="282"/>
      <c r="E238" s="291"/>
      <c r="F238" s="292"/>
      <c r="G238" s="313"/>
      <c r="H238" s="286"/>
      <c r="I238" s="107"/>
      <c r="J238" s="141"/>
      <c r="K238" s="138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B239" s="281"/>
      <c r="C239" s="282"/>
      <c r="D239" s="282"/>
      <c r="E239" s="291"/>
      <c r="F239" s="292"/>
      <c r="G239" s="313"/>
      <c r="H239" s="286"/>
      <c r="I239" s="107"/>
      <c r="J239" s="141"/>
      <c r="K239" s="138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B240" s="281"/>
      <c r="C240" s="282"/>
      <c r="D240" s="282"/>
      <c r="E240" s="291"/>
      <c r="F240" s="292"/>
      <c r="G240" s="313"/>
      <c r="H240" s="286"/>
      <c r="I240" s="107"/>
      <c r="J240" s="141"/>
      <c r="K240" s="138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B241" s="281"/>
      <c r="C241" s="282"/>
      <c r="D241" s="282"/>
      <c r="E241" s="291"/>
      <c r="F241" s="292"/>
      <c r="G241" s="313"/>
      <c r="H241" s="286"/>
      <c r="I241" s="107"/>
      <c r="J241" s="141"/>
      <c r="K241" s="138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B242" s="281"/>
      <c r="C242" s="282"/>
      <c r="D242" s="282"/>
      <c r="E242" s="291"/>
      <c r="F242" s="292"/>
      <c r="G242" s="313"/>
      <c r="H242" s="286"/>
      <c r="I242" s="107"/>
      <c r="J242" s="141"/>
      <c r="K242" s="138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B243" s="281"/>
      <c r="C243" s="282"/>
      <c r="D243" s="282"/>
      <c r="E243" s="291"/>
      <c r="F243" s="292"/>
      <c r="G243" s="313"/>
      <c r="H243" s="286"/>
      <c r="I243" s="107"/>
      <c r="J243" s="141"/>
      <c r="K243" s="138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B244" s="281"/>
      <c r="C244" s="282"/>
      <c r="D244" s="282"/>
      <c r="E244" s="291"/>
      <c r="F244" s="292"/>
      <c r="G244" s="313"/>
      <c r="H244" s="286"/>
      <c r="I244" s="107"/>
      <c r="J244" s="141"/>
      <c r="K244" s="138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B245" s="281"/>
      <c r="C245" s="282"/>
      <c r="D245" s="282"/>
      <c r="E245" s="291"/>
      <c r="F245" s="292"/>
      <c r="G245" s="313"/>
      <c r="H245" s="286"/>
      <c r="I245" s="107"/>
      <c r="J245" s="141"/>
      <c r="K245" s="138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B246" s="281"/>
      <c r="C246" s="282"/>
      <c r="D246" s="282"/>
      <c r="E246" s="291"/>
      <c r="F246" s="292"/>
      <c r="G246" s="313"/>
      <c r="H246" s="286"/>
      <c r="I246" s="107"/>
      <c r="J246" s="141"/>
      <c r="K246" s="138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0" customHeight="1">
      <c r="A247" s="105"/>
      <c r="B247" s="281"/>
      <c r="C247" s="282"/>
      <c r="D247" s="282"/>
      <c r="E247" s="291"/>
      <c r="F247" s="292"/>
      <c r="G247" s="313"/>
      <c r="H247" s="286"/>
      <c r="I247" s="107"/>
      <c r="J247" s="141"/>
      <c r="K247" s="138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0" customHeight="1">
      <c r="A248" s="105"/>
      <c r="B248" s="281"/>
      <c r="C248" s="282"/>
      <c r="D248" s="282"/>
      <c r="E248" s="291"/>
      <c r="F248" s="292"/>
      <c r="G248" s="313"/>
      <c r="H248" s="286"/>
      <c r="I248" s="107"/>
      <c r="J248" s="141"/>
      <c r="K248" s="138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0" customHeight="1">
      <c r="A249" s="105"/>
      <c r="B249" s="281"/>
      <c r="C249" s="282"/>
      <c r="D249" s="282"/>
      <c r="E249" s="291"/>
      <c r="F249" s="292"/>
      <c r="G249" s="313"/>
      <c r="H249" s="286"/>
      <c r="I249" s="107"/>
      <c r="J249" s="141"/>
      <c r="K249" s="138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0" customHeight="1">
      <c r="A250" s="105"/>
      <c r="B250" s="281"/>
      <c r="C250" s="282"/>
      <c r="D250" s="282"/>
      <c r="E250" s="291"/>
      <c r="F250" s="292"/>
      <c r="G250" s="313"/>
      <c r="H250" s="286"/>
      <c r="I250" s="107"/>
      <c r="J250" s="141"/>
      <c r="K250" s="138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0" customHeight="1">
      <c r="A251" s="105"/>
      <c r="B251" s="281"/>
      <c r="C251" s="282"/>
      <c r="D251" s="282"/>
      <c r="E251" s="291"/>
      <c r="F251" s="292"/>
      <c r="G251" s="313"/>
      <c r="H251" s="286"/>
      <c r="I251" s="107"/>
      <c r="J251" s="141"/>
      <c r="K251" s="138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5.0" customHeight="1">
      <c r="A252" s="105"/>
      <c r="B252" s="281"/>
      <c r="C252" s="282"/>
      <c r="D252" s="282"/>
      <c r="E252" s="291"/>
      <c r="F252" s="292"/>
      <c r="G252" s="313"/>
      <c r="H252" s="286"/>
      <c r="I252" s="107"/>
      <c r="J252" s="141"/>
      <c r="K252" s="138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 ht="15.0" customHeight="1">
      <c r="A253" s="105"/>
      <c r="B253" s="281"/>
      <c r="C253" s="282"/>
      <c r="D253" s="282"/>
      <c r="E253" s="291"/>
      <c r="F253" s="292"/>
      <c r="G253" s="313"/>
      <c r="H253" s="286"/>
      <c r="I253" s="107"/>
      <c r="J253" s="141"/>
      <c r="K253" s="138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ht="15.0" customHeight="1">
      <c r="A254" s="105"/>
      <c r="B254" s="281"/>
      <c r="C254" s="282"/>
      <c r="D254" s="282"/>
      <c r="E254" s="291"/>
      <c r="F254" s="292"/>
      <c r="G254" s="313"/>
      <c r="H254" s="286"/>
      <c r="I254" s="107"/>
      <c r="J254" s="141"/>
      <c r="K254" s="138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 ht="15.0" customHeight="1">
      <c r="A255" s="105"/>
      <c r="B255" s="281"/>
      <c r="C255" s="282"/>
      <c r="D255" s="282"/>
      <c r="E255" s="291"/>
      <c r="F255" s="292"/>
      <c r="G255" s="313"/>
      <c r="H255" s="286"/>
      <c r="I255" s="107"/>
      <c r="J255" s="141"/>
      <c r="K255" s="138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 ht="15.0" customHeight="1">
      <c r="A256" s="105"/>
      <c r="B256" s="281"/>
      <c r="C256" s="282"/>
      <c r="D256" s="282"/>
      <c r="E256" s="291"/>
      <c r="F256" s="292"/>
      <c r="G256" s="313"/>
      <c r="H256" s="286"/>
      <c r="I256" s="107"/>
      <c r="J256" s="141"/>
      <c r="K256" s="138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 ht="15.0" customHeight="1">
      <c r="A257" s="105"/>
      <c r="B257" s="281"/>
      <c r="C257" s="282"/>
      <c r="D257" s="282"/>
      <c r="E257" s="291"/>
      <c r="F257" s="292"/>
      <c r="G257" s="313"/>
      <c r="H257" s="286"/>
      <c r="I257" s="107"/>
      <c r="J257" s="141"/>
      <c r="K257" s="138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ht="15.0" customHeight="1">
      <c r="A258" s="105"/>
      <c r="B258" s="281"/>
      <c r="C258" s="282"/>
      <c r="D258" s="282"/>
      <c r="E258" s="291"/>
      <c r="F258" s="292"/>
      <c r="G258" s="313"/>
      <c r="H258" s="286"/>
      <c r="I258" s="107"/>
      <c r="J258" s="141"/>
      <c r="K258" s="138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 ht="15.0" customHeight="1">
      <c r="A259" s="105"/>
      <c r="B259" s="281"/>
      <c r="C259" s="282"/>
      <c r="D259" s="282"/>
      <c r="E259" s="291"/>
      <c r="F259" s="292"/>
      <c r="G259" s="313"/>
      <c r="H259" s="286"/>
      <c r="I259" s="107"/>
      <c r="J259" s="141"/>
      <c r="K259" s="138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 ht="15.0" customHeight="1">
      <c r="A260" s="105"/>
      <c r="B260" s="281"/>
      <c r="C260" s="282"/>
      <c r="D260" s="282"/>
      <c r="E260" s="291"/>
      <c r="F260" s="292"/>
      <c r="G260" s="313"/>
      <c r="H260" s="286"/>
      <c r="I260" s="107"/>
      <c r="J260" s="141"/>
      <c r="K260" s="138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 ht="15.0" customHeight="1">
      <c r="A261" s="105"/>
      <c r="B261" s="281"/>
      <c r="C261" s="282"/>
      <c r="D261" s="282"/>
      <c r="E261" s="291"/>
      <c r="F261" s="292"/>
      <c r="G261" s="313"/>
      <c r="H261" s="286"/>
      <c r="I261" s="107"/>
      <c r="J261" s="141"/>
      <c r="K261" s="138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 ht="15.0" customHeight="1">
      <c r="A262" s="105"/>
      <c r="B262" s="281"/>
      <c r="C262" s="282"/>
      <c r="D262" s="282"/>
      <c r="E262" s="291"/>
      <c r="F262" s="292"/>
      <c r="G262" s="313"/>
      <c r="H262" s="286"/>
      <c r="I262" s="107"/>
      <c r="J262" s="141"/>
      <c r="K262" s="138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 ht="15.0" customHeight="1">
      <c r="A263" s="105"/>
      <c r="B263" s="281"/>
      <c r="C263" s="282"/>
      <c r="D263" s="282"/>
      <c r="E263" s="291"/>
      <c r="F263" s="292"/>
      <c r="G263" s="313"/>
      <c r="H263" s="286"/>
      <c r="I263" s="107"/>
      <c r="J263" s="141"/>
      <c r="K263" s="138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 ht="15.0" customHeight="1">
      <c r="A264" s="105"/>
      <c r="B264" s="281"/>
      <c r="C264" s="282"/>
      <c r="D264" s="282"/>
      <c r="E264" s="291"/>
      <c r="F264" s="292"/>
      <c r="G264" s="313"/>
      <c r="H264" s="286"/>
      <c r="I264" s="107"/>
      <c r="J264" s="141"/>
      <c r="K264" s="138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 ht="15.0" customHeight="1">
      <c r="A265" s="105"/>
      <c r="B265" s="281"/>
      <c r="C265" s="282"/>
      <c r="D265" s="282"/>
      <c r="E265" s="291"/>
      <c r="F265" s="292"/>
      <c r="G265" s="313"/>
      <c r="H265" s="286"/>
      <c r="I265" s="107"/>
      <c r="J265" s="141"/>
      <c r="K265" s="138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</sheetData>
  <autoFilter ref="$B$21:$H$265">
    <sortState ref="B21:H265">
      <sortCondition ref="B21:B265"/>
    </sortState>
  </autoFilter>
  <customSheetViews>
    <customSheetView guid="{CD2BF927-9D79-47FC-BBA8-927062D6B3F5}" filter="1" showAutoFilter="1">
      <autoFilter ref="$B$21:$H$265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65">
      <formula1>$L:$L</formula1>
    </dataValidation>
  </dataValidations>
  <hyperlinks>
    <hyperlink r:id="rId1" ref="I3"/>
    <hyperlink r:id="rId2" ref="I4"/>
    <hyperlink r:id="rId3" ref="D37"/>
  </hyperlinks>
  <printOptions/>
  <pageMargins bottom="0.75" footer="0.0" header="0.0" left="0.25" right="0.25" top="0.75"/>
  <pageSetup fitToHeight="0" paperSize="9" orientation="portrait"/>
  <drawing r:id="rId4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4.86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1143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1144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'23.03월'!G5</f>
        <v>29574488</v>
      </c>
      <c r="E5" s="227">
        <f>sumif(B22:B123,B5,E22:E123)</f>
        <v>20000000</v>
      </c>
      <c r="F5" s="228">
        <f>sumif(B22:B166,B5,F22:F166)</f>
        <v>32872562</v>
      </c>
      <c r="G5" s="229">
        <f t="shared" ref="G5:G13" si="1">D5+E5-F5</f>
        <v>16701926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'23.03월'!G6</f>
        <v>2.31</v>
      </c>
      <c r="E6" s="233">
        <f>sumif(B22:B125,B6,E22:E125)</f>
        <v>0</v>
      </c>
      <c r="F6" s="234">
        <f>sumif(B22:B166,B6,F22:F166)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'23.03월'!G7</f>
        <v>38165341</v>
      </c>
      <c r="E7" s="237">
        <f>sumif(B22:B125,B7,E22:E125)</f>
        <v>130739000</v>
      </c>
      <c r="F7" s="238">
        <f>sumif(B22:B166,B7,F22:F166)</f>
        <v>123293445</v>
      </c>
      <c r="G7" s="239">
        <f t="shared" si="1"/>
        <v>45610896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'23.03월'!G8</f>
        <v>0.89</v>
      </c>
      <c r="E8" s="240">
        <f>sumif(B22:B125,B8,E22:E125)</f>
        <v>100000</v>
      </c>
      <c r="F8" s="234">
        <f>sumif(B22:B166,B8,F22:F166)</f>
        <v>100000</v>
      </c>
      <c r="G8" s="235">
        <f t="shared" si="1"/>
        <v>0.89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'23.03월'!G9</f>
        <v>302069.7</v>
      </c>
      <c r="E9" s="240">
        <f>sumif(B22:B166,B9,E22:E123)</f>
        <v>0</v>
      </c>
      <c r="F9" s="329">
        <f>sumif(B22:B166,B9,F22:F166)</f>
        <v>238296.11</v>
      </c>
      <c r="G9" s="329">
        <f t="shared" si="1"/>
        <v>63773.59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'23.03월'!G10</f>
        <v>200</v>
      </c>
      <c r="E10" s="242">
        <f>sumif(B22:B123,B10,E22:E166)</f>
        <v>0</v>
      </c>
      <c r="F10" s="319">
        <f>sumif(B22:B166,B10,F22:F166)</f>
        <v>0</v>
      </c>
      <c r="G10" s="320">
        <f t="shared" si="1"/>
        <v>200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'23.03월'!G11</f>
        <v>0</v>
      </c>
      <c r="E11" s="245">
        <f>sumif(B22:B125,B11,E22:E125)</f>
        <v>0</v>
      </c>
      <c r="F11" s="238">
        <f>sumif(B22:B166,B11,F22:F166)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'23.03월'!G12</f>
        <v>7121.24</v>
      </c>
      <c r="E12" s="240">
        <f>sumif(B25:B117,B12,E25:E99)</f>
        <v>949990.42</v>
      </c>
      <c r="F12" s="234">
        <f>sumif(B22:B165,B12,F22:F165)</f>
        <v>22.39</v>
      </c>
      <c r="G12" s="235">
        <f t="shared" si="1"/>
        <v>957089.27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'23.03월'!G13</f>
        <v>805</v>
      </c>
      <c r="E13" s="308">
        <f>sumif(B22:B125,B13,E22:E125)</f>
        <v>0</v>
      </c>
      <c r="F13" s="309">
        <f>sumif(B22:B165,B13,F22:F165)</f>
        <v>25</v>
      </c>
      <c r="G13" s="310">
        <f t="shared" si="1"/>
        <v>780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67739829</v>
      </c>
      <c r="E15" s="262">
        <f t="shared" si="2"/>
        <v>150739000</v>
      </c>
      <c r="F15" s="263">
        <f t="shared" si="2"/>
        <v>156166007</v>
      </c>
      <c r="G15" s="264">
        <f>G5+G11+G7</f>
        <v>62312822</v>
      </c>
      <c r="H15" s="265">
        <f>G15</f>
        <v>62312822</v>
      </c>
      <c r="I15" s="133"/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309194.14</v>
      </c>
      <c r="E16" s="269">
        <f t="shared" si="3"/>
        <v>1049990.42</v>
      </c>
      <c r="F16" s="270">
        <f t="shared" si="3"/>
        <v>338318.5</v>
      </c>
      <c r="G16" s="271">
        <f>G9+G6+G8+G12</f>
        <v>1020866.06</v>
      </c>
      <c r="H16" s="265">
        <f>rounddown(G16*$J$3,0)</f>
        <v>1503454968</v>
      </c>
      <c r="I16" s="134"/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1005</v>
      </c>
      <c r="E17" s="274">
        <f t="shared" si="4"/>
        <v>0</v>
      </c>
      <c r="F17" s="275">
        <f t="shared" si="4"/>
        <v>25</v>
      </c>
      <c r="G17" s="276">
        <f t="shared" si="4"/>
        <v>980</v>
      </c>
      <c r="H17" s="277">
        <f>rounddown(G17*$J$4,0)</f>
        <v>1121007</v>
      </c>
      <c r="I17" s="103"/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1566888797</v>
      </c>
      <c r="I18" s="279">
        <f t="shared" si="5"/>
        <v>0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12"/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B5</f>
        <v>신한 #672</v>
      </c>
      <c r="C22" s="282" t="s">
        <v>1145</v>
      </c>
      <c r="D22" s="282" t="s">
        <v>1146</v>
      </c>
      <c r="E22" s="283"/>
      <c r="F22" s="284">
        <v>825000.0</v>
      </c>
      <c r="G22" s="313" t="s">
        <v>1085</v>
      </c>
      <c r="H22" s="286" t="s">
        <v>33</v>
      </c>
      <c r="I22" s="107"/>
      <c r="J22" s="141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B7</f>
        <v>하나 #304</v>
      </c>
      <c r="C23" s="282" t="s">
        <v>1147</v>
      </c>
      <c r="D23" s="282" t="s">
        <v>1148</v>
      </c>
      <c r="E23" s="283"/>
      <c r="F23" s="284">
        <f>6198060+500</f>
        <v>6198560</v>
      </c>
      <c r="G23" s="313" t="s">
        <v>1087</v>
      </c>
      <c r="H23" s="286" t="s">
        <v>33</v>
      </c>
      <c r="I23" s="107"/>
      <c r="J23" s="141"/>
      <c r="K23" s="13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B9</f>
        <v>WISE USD</v>
      </c>
      <c r="C24" s="282" t="s">
        <v>1149</v>
      </c>
      <c r="D24" s="282" t="s">
        <v>1150</v>
      </c>
      <c r="E24" s="283"/>
      <c r="F24" s="292">
        <v>161.89</v>
      </c>
      <c r="G24" s="313" t="s">
        <v>1151</v>
      </c>
      <c r="H24" s="286" t="s">
        <v>33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B9</f>
        <v>WISE USD</v>
      </c>
      <c r="C25" s="282" t="s">
        <v>1147</v>
      </c>
      <c r="D25" s="282" t="s">
        <v>740</v>
      </c>
      <c r="E25" s="283"/>
      <c r="F25" s="292">
        <v>11657.73</v>
      </c>
      <c r="G25" s="313" t="s">
        <v>1152</v>
      </c>
      <c r="H25" s="286" t="s">
        <v>41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B9</f>
        <v>WISE USD</v>
      </c>
      <c r="C26" s="282" t="s">
        <v>1147</v>
      </c>
      <c r="D26" s="282" t="s">
        <v>1061</v>
      </c>
      <c r="E26" s="283"/>
      <c r="F26" s="292">
        <v>0.39</v>
      </c>
      <c r="G26" s="313" t="s">
        <v>1153</v>
      </c>
      <c r="H26" s="286" t="s">
        <v>33</v>
      </c>
      <c r="I26" s="107"/>
      <c r="J26" s="141"/>
      <c r="K26" s="138"/>
      <c r="L26" s="333">
        <v>1020866.0599999999</v>
      </c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B9</f>
        <v>WISE USD</v>
      </c>
      <c r="C27" s="282" t="s">
        <v>1154</v>
      </c>
      <c r="D27" s="282" t="s">
        <v>1155</v>
      </c>
      <c r="E27" s="332"/>
      <c r="F27" s="332">
        <v>36720.98</v>
      </c>
      <c r="G27" s="313" t="s">
        <v>1156</v>
      </c>
      <c r="H27" s="286" t="s">
        <v>930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B9</f>
        <v>WISE USD</v>
      </c>
      <c r="C28" s="282" t="s">
        <v>1154</v>
      </c>
      <c r="D28" s="282" t="s">
        <v>546</v>
      </c>
      <c r="E28" s="332"/>
      <c r="F28" s="332">
        <v>10014.39</v>
      </c>
      <c r="G28" s="313" t="s">
        <v>1157</v>
      </c>
      <c r="H28" s="286" t="s">
        <v>930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B9</f>
        <v>WISE USD</v>
      </c>
      <c r="C29" s="282" t="s">
        <v>1154</v>
      </c>
      <c r="D29" s="318" t="s">
        <v>1158</v>
      </c>
      <c r="E29" s="332"/>
      <c r="F29" s="332">
        <v>10294.39</v>
      </c>
      <c r="G29" s="313" t="s">
        <v>1159</v>
      </c>
      <c r="H29" s="286" t="s">
        <v>930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B9</f>
        <v>WISE USD</v>
      </c>
      <c r="C30" s="282" t="s">
        <v>1154</v>
      </c>
      <c r="D30" s="282" t="s">
        <v>1160</v>
      </c>
      <c r="E30" s="332"/>
      <c r="F30" s="332">
        <v>18014.39</v>
      </c>
      <c r="G30" s="313" t="s">
        <v>1161</v>
      </c>
      <c r="H30" s="286" t="s">
        <v>930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B9</f>
        <v>WISE USD</v>
      </c>
      <c r="C31" s="282" t="s">
        <v>1154</v>
      </c>
      <c r="D31" s="282" t="s">
        <v>1162</v>
      </c>
      <c r="E31" s="332"/>
      <c r="F31" s="332">
        <v>5014.39</v>
      </c>
      <c r="G31" s="313" t="s">
        <v>1163</v>
      </c>
      <c r="H31" s="286" t="s">
        <v>930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B9</f>
        <v>WISE USD</v>
      </c>
      <c r="C32" s="282" t="s">
        <v>1154</v>
      </c>
      <c r="D32" s="282" t="s">
        <v>1164</v>
      </c>
      <c r="E32" s="332"/>
      <c r="F32" s="332">
        <v>36014.39</v>
      </c>
      <c r="G32" s="313" t="s">
        <v>1165</v>
      </c>
      <c r="H32" s="286" t="s">
        <v>930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B9</f>
        <v>WISE USD</v>
      </c>
      <c r="C33" s="282" t="s">
        <v>1154</v>
      </c>
      <c r="D33" s="318" t="s">
        <v>1166</v>
      </c>
      <c r="E33" s="332"/>
      <c r="F33" s="332">
        <v>5364.39</v>
      </c>
      <c r="G33" s="313" t="s">
        <v>1167</v>
      </c>
      <c r="H33" s="286" t="s">
        <v>930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B9</f>
        <v>WISE USD</v>
      </c>
      <c r="C34" s="282" t="s">
        <v>1168</v>
      </c>
      <c r="D34" s="282" t="s">
        <v>1169</v>
      </c>
      <c r="E34" s="332"/>
      <c r="F34" s="332">
        <v>5014.39</v>
      </c>
      <c r="G34" s="313" t="s">
        <v>1170</v>
      </c>
      <c r="H34" s="286" t="s">
        <v>930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282" t="s">
        <v>1171</v>
      </c>
      <c r="D35" s="313" t="s">
        <v>1172</v>
      </c>
      <c r="E35" s="284"/>
      <c r="F35" s="284">
        <v>5316960.0</v>
      </c>
      <c r="G35" s="313" t="s">
        <v>1172</v>
      </c>
      <c r="H35" s="286" t="s">
        <v>31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16" t="str">
        <f>B5</f>
        <v>신한 #672</v>
      </c>
      <c r="C36" s="282" t="s">
        <v>1171</v>
      </c>
      <c r="D36" s="313" t="s">
        <v>1173</v>
      </c>
      <c r="E36" s="283"/>
      <c r="F36" s="284">
        <v>5283520.0</v>
      </c>
      <c r="G36" s="313" t="s">
        <v>1173</v>
      </c>
      <c r="H36" s="286" t="s">
        <v>31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16" t="str">
        <f>B5</f>
        <v>신한 #672</v>
      </c>
      <c r="C37" s="282" t="s">
        <v>1171</v>
      </c>
      <c r="D37" s="313" t="s">
        <v>1101</v>
      </c>
      <c r="E37" s="291"/>
      <c r="F37" s="284">
        <v>1249620.0</v>
      </c>
      <c r="G37" s="313" t="s">
        <v>1101</v>
      </c>
      <c r="H37" s="286" t="s">
        <v>31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282" t="s">
        <v>1171</v>
      </c>
      <c r="D38" s="313" t="s">
        <v>1174</v>
      </c>
      <c r="E38" s="283"/>
      <c r="F38" s="284">
        <v>463030.0</v>
      </c>
      <c r="G38" s="313" t="s">
        <v>1174</v>
      </c>
      <c r="H38" s="286" t="s">
        <v>31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282" t="s">
        <v>1171</v>
      </c>
      <c r="D39" s="313" t="s">
        <v>497</v>
      </c>
      <c r="E39" s="283"/>
      <c r="F39" s="283">
        <v>1650000.0</v>
      </c>
      <c r="G39" s="313" t="s">
        <v>1175</v>
      </c>
      <c r="H39" s="286" t="s">
        <v>33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B7</f>
        <v>하나 #304</v>
      </c>
      <c r="C40" s="282" t="s">
        <v>1171</v>
      </c>
      <c r="D40" s="313" t="s">
        <v>1134</v>
      </c>
      <c r="E40" s="284"/>
      <c r="F40" s="284">
        <v>7138660.0</v>
      </c>
      <c r="G40" s="313" t="s">
        <v>1176</v>
      </c>
      <c r="H40" s="286" t="s">
        <v>31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B7</f>
        <v>하나 #304</v>
      </c>
      <c r="C41" s="282" t="s">
        <v>1171</v>
      </c>
      <c r="D41" s="313" t="s">
        <v>1177</v>
      </c>
      <c r="E41" s="283"/>
      <c r="F41" s="284">
        <v>725850.0</v>
      </c>
      <c r="G41" s="313" t="s">
        <v>1178</v>
      </c>
      <c r="H41" s="286" t="s">
        <v>31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B7</f>
        <v>하나 #304</v>
      </c>
      <c r="C42" s="282" t="s">
        <v>1171</v>
      </c>
      <c r="D42" s="313" t="s">
        <v>1134</v>
      </c>
      <c r="E42" s="283"/>
      <c r="F42" s="284">
        <v>120000.0</v>
      </c>
      <c r="G42" s="313" t="s">
        <v>1179</v>
      </c>
      <c r="H42" s="286" t="s">
        <v>31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B7</f>
        <v>하나 #304</v>
      </c>
      <c r="C43" s="282" t="s">
        <v>1171</v>
      </c>
      <c r="D43" s="313" t="s">
        <v>1094</v>
      </c>
      <c r="E43" s="291"/>
      <c r="F43" s="284">
        <v>5304867.0</v>
      </c>
      <c r="G43" s="314" t="s">
        <v>1180</v>
      </c>
      <c r="H43" s="286" t="s">
        <v>33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B7</f>
        <v>하나 #304</v>
      </c>
      <c r="C44" s="282" t="s">
        <v>1171</v>
      </c>
      <c r="D44" s="313" t="s">
        <v>1181</v>
      </c>
      <c r="E44" s="283"/>
      <c r="F44" s="284">
        <v>540740.0</v>
      </c>
      <c r="G44" s="313" t="s">
        <v>1182</v>
      </c>
      <c r="H44" s="286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WISE USD</v>
      </c>
      <c r="C45" s="330" t="s">
        <v>1183</v>
      </c>
      <c r="D45" s="313" t="s">
        <v>899</v>
      </c>
      <c r="F45" s="332">
        <v>100014.39</v>
      </c>
      <c r="G45" s="313" t="s">
        <v>1118</v>
      </c>
      <c r="H45" s="286" t="s">
        <v>945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B5</f>
        <v>신한 #672</v>
      </c>
      <c r="C46" s="330" t="s">
        <v>1183</v>
      </c>
      <c r="D46" s="313" t="s">
        <v>1184</v>
      </c>
      <c r="E46" s="283"/>
      <c r="F46" s="284">
        <v>1588720.0</v>
      </c>
      <c r="G46" s="313" t="s">
        <v>1185</v>
      </c>
      <c r="H46" s="286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B8</f>
        <v>하나 #138</v>
      </c>
      <c r="C47" s="282" t="s">
        <v>1186</v>
      </c>
      <c r="D47" s="313" t="s">
        <v>899</v>
      </c>
      <c r="E47" s="332">
        <v>100000.0</v>
      </c>
      <c r="F47" s="284"/>
      <c r="G47" s="313" t="s">
        <v>1118</v>
      </c>
      <c r="H47" s="286" t="s">
        <v>556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167" t="str">
        <f>B8</f>
        <v>하나 #138</v>
      </c>
      <c r="C48" s="282" t="s">
        <v>1187</v>
      </c>
      <c r="D48" s="313" t="s">
        <v>1188</v>
      </c>
      <c r="F48" s="332">
        <v>100000.0</v>
      </c>
      <c r="G48" s="313" t="s">
        <v>679</v>
      </c>
      <c r="H48" s="286" t="s">
        <v>556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167" t="str">
        <f>B7</f>
        <v>하나 #304</v>
      </c>
      <c r="C49" s="282" t="s">
        <v>1187</v>
      </c>
      <c r="D49" s="313" t="s">
        <v>1188</v>
      </c>
      <c r="E49" s="283">
        <v>1.30739E8</v>
      </c>
      <c r="F49" s="284"/>
      <c r="G49" s="313" t="s">
        <v>679</v>
      </c>
      <c r="H49" s="286" t="s">
        <v>556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167" t="str">
        <f>B7</f>
        <v>하나 #304</v>
      </c>
      <c r="C50" s="282" t="s">
        <v>1189</v>
      </c>
      <c r="D50" s="313" t="s">
        <v>1131</v>
      </c>
      <c r="E50" s="283"/>
      <c r="F50" s="284">
        <v>967500.0</v>
      </c>
      <c r="G50" s="313" t="s">
        <v>1190</v>
      </c>
      <c r="H50" s="286" t="s">
        <v>39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167" t="str">
        <f>B7</f>
        <v>하나 #304</v>
      </c>
      <c r="C51" s="282" t="s">
        <v>1189</v>
      </c>
      <c r="D51" s="313" t="s">
        <v>1094</v>
      </c>
      <c r="E51" s="283"/>
      <c r="F51" s="322">
        <v>131117.0</v>
      </c>
      <c r="G51" s="313" t="s">
        <v>1191</v>
      </c>
      <c r="H51" s="286" t="s">
        <v>33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167" t="str">
        <f>B7</f>
        <v>하나 #304</v>
      </c>
      <c r="C52" s="282" t="s">
        <v>1189</v>
      </c>
      <c r="D52" s="313" t="s">
        <v>1192</v>
      </c>
      <c r="E52" s="283"/>
      <c r="F52" s="322">
        <v>3992800.0</v>
      </c>
      <c r="G52" s="313" t="s">
        <v>1193</v>
      </c>
      <c r="H52" s="286" t="s">
        <v>24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167" t="str">
        <f>B5</f>
        <v>신한 #672</v>
      </c>
      <c r="C53" s="282" t="s">
        <v>1183</v>
      </c>
      <c r="D53" s="313" t="s">
        <v>1194</v>
      </c>
      <c r="E53" s="283"/>
      <c r="F53" s="322">
        <v>750500.0</v>
      </c>
      <c r="G53" s="313" t="s">
        <v>1195</v>
      </c>
      <c r="H53" s="286" t="s">
        <v>4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167" t="str">
        <f>B5</f>
        <v>신한 #672</v>
      </c>
      <c r="C54" s="282" t="s">
        <v>1183</v>
      </c>
      <c r="D54" s="313" t="s">
        <v>1194</v>
      </c>
      <c r="E54" s="283"/>
      <c r="F54" s="322">
        <v>70500.0</v>
      </c>
      <c r="G54" s="313" t="s">
        <v>1196</v>
      </c>
      <c r="H54" s="286" t="s">
        <v>4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167" t="str">
        <f>B9</f>
        <v>WISE USD</v>
      </c>
      <c r="C55" s="282" t="s">
        <v>1197</v>
      </c>
      <c r="D55" s="334" t="s">
        <v>542</v>
      </c>
      <c r="E55" s="283"/>
      <c r="F55" s="291">
        <v>10.0</v>
      </c>
      <c r="G55" s="313" t="s">
        <v>1068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167" t="str">
        <f>B7</f>
        <v>하나 #304</v>
      </c>
      <c r="C56" s="282" t="s">
        <v>1198</v>
      </c>
      <c r="D56" s="313" t="s">
        <v>632</v>
      </c>
      <c r="E56" s="283"/>
      <c r="F56" s="284">
        <v>2.00005E7</v>
      </c>
      <c r="G56" s="313" t="s">
        <v>1035</v>
      </c>
      <c r="H56" s="286" t="s">
        <v>556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167" t="str">
        <f>B7</f>
        <v>하나 #304</v>
      </c>
      <c r="C57" s="282" t="s">
        <v>1199</v>
      </c>
      <c r="D57" s="313" t="s">
        <v>721</v>
      </c>
      <c r="E57" s="283"/>
      <c r="F57" s="284">
        <v>8339054.0</v>
      </c>
      <c r="G57" s="313" t="s">
        <v>1045</v>
      </c>
      <c r="H57" s="286" t="s">
        <v>33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167" t="str">
        <f>B7</f>
        <v>하나 #304</v>
      </c>
      <c r="C58" s="282" t="s">
        <v>1199</v>
      </c>
      <c r="D58" s="313" t="s">
        <v>41</v>
      </c>
      <c r="E58" s="291"/>
      <c r="F58" s="284">
        <v>6.9773297E7</v>
      </c>
      <c r="G58" s="313" t="s">
        <v>41</v>
      </c>
      <c r="H58" s="286" t="s">
        <v>41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167" t="str">
        <f>B7</f>
        <v>하나 #304</v>
      </c>
      <c r="C59" s="282" t="s">
        <v>1199</v>
      </c>
      <c r="D59" s="313" t="s">
        <v>1194</v>
      </c>
      <c r="E59" s="283"/>
      <c r="F59" s="322">
        <v>60500.0</v>
      </c>
      <c r="G59" s="313" t="s">
        <v>1200</v>
      </c>
      <c r="H59" s="286" t="s">
        <v>4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167" t="str">
        <f>B5</f>
        <v>신한 #672</v>
      </c>
      <c r="C60" s="323" t="s">
        <v>1201</v>
      </c>
      <c r="D60" s="324" t="s">
        <v>1202</v>
      </c>
      <c r="E60" s="325"/>
      <c r="F60" s="326">
        <v>110000.0</v>
      </c>
      <c r="G60" s="313" t="s">
        <v>1033</v>
      </c>
      <c r="H60" s="286" t="s">
        <v>33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167" t="str">
        <f>B5</f>
        <v>신한 #672</v>
      </c>
      <c r="C61" s="323" t="s">
        <v>1198</v>
      </c>
      <c r="D61" s="324" t="s">
        <v>1203</v>
      </c>
      <c r="E61" s="325">
        <v>2.0E7</v>
      </c>
      <c r="F61" s="326"/>
      <c r="G61" s="313" t="s">
        <v>1035</v>
      </c>
      <c r="H61" s="286" t="s">
        <v>556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167" t="str">
        <f>B5</f>
        <v>신한 #672</v>
      </c>
      <c r="C62" s="323" t="s">
        <v>1199</v>
      </c>
      <c r="D62" s="324" t="s">
        <v>1204</v>
      </c>
      <c r="E62" s="325"/>
      <c r="F62" s="326">
        <v>55980.0</v>
      </c>
      <c r="G62" s="313" t="s">
        <v>1044</v>
      </c>
      <c r="H62" s="286" t="s">
        <v>4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167" t="str">
        <f>B5</f>
        <v>신한 #672</v>
      </c>
      <c r="C63" s="323" t="s">
        <v>1199</v>
      </c>
      <c r="D63" s="324" t="s">
        <v>1205</v>
      </c>
      <c r="E63" s="325"/>
      <c r="F63" s="326">
        <v>37430.0</v>
      </c>
      <c r="G63" s="313" t="s">
        <v>1038</v>
      </c>
      <c r="H63" s="286" t="s">
        <v>4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167" t="str">
        <f>B5</f>
        <v>신한 #672</v>
      </c>
      <c r="C64" s="323" t="s">
        <v>1199</v>
      </c>
      <c r="D64" s="324" t="s">
        <v>1205</v>
      </c>
      <c r="E64" s="325"/>
      <c r="F64" s="326">
        <v>50250.0</v>
      </c>
      <c r="G64" s="313" t="s">
        <v>1040</v>
      </c>
      <c r="H64" s="286" t="s">
        <v>4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167" t="str">
        <f>B5</f>
        <v>신한 #672</v>
      </c>
      <c r="C65" s="323" t="s">
        <v>1199</v>
      </c>
      <c r="D65" s="324" t="s">
        <v>1205</v>
      </c>
      <c r="E65" s="325"/>
      <c r="F65" s="326">
        <v>37430.0</v>
      </c>
      <c r="G65" s="313" t="s">
        <v>1038</v>
      </c>
      <c r="H65" s="286" t="s">
        <v>4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167" t="str">
        <f>B5</f>
        <v>신한 #672</v>
      </c>
      <c r="C66" s="323" t="s">
        <v>1199</v>
      </c>
      <c r="D66" s="324" t="s">
        <v>1205</v>
      </c>
      <c r="E66" s="325"/>
      <c r="F66" s="326">
        <v>20660.0</v>
      </c>
      <c r="G66" s="313" t="s">
        <v>1039</v>
      </c>
      <c r="H66" s="286" t="s">
        <v>4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167" t="str">
        <f>B5</f>
        <v>신한 #672</v>
      </c>
      <c r="C67" s="323" t="s">
        <v>1199</v>
      </c>
      <c r="D67" s="324" t="s">
        <v>1205</v>
      </c>
      <c r="E67" s="325"/>
      <c r="F67" s="326">
        <v>20660.0</v>
      </c>
      <c r="G67" s="313" t="s">
        <v>1040</v>
      </c>
      <c r="H67" s="286" t="s">
        <v>4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167" t="str">
        <f>B5</f>
        <v>신한 #672</v>
      </c>
      <c r="C68" s="323" t="s">
        <v>1199</v>
      </c>
      <c r="D68" s="324" t="s">
        <v>604</v>
      </c>
      <c r="E68" s="325"/>
      <c r="F68" s="326">
        <v>110000.0</v>
      </c>
      <c r="G68" s="313" t="s">
        <v>1041</v>
      </c>
      <c r="H68" s="286" t="s">
        <v>33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B5</f>
        <v>신한 #672</v>
      </c>
      <c r="C69" s="282" t="s">
        <v>1199</v>
      </c>
      <c r="D69" s="282" t="s">
        <v>497</v>
      </c>
      <c r="E69" s="283"/>
      <c r="F69" s="284">
        <v>330000.0</v>
      </c>
      <c r="G69" s="313" t="s">
        <v>1042</v>
      </c>
      <c r="H69" s="286" t="s">
        <v>33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B5</f>
        <v>신한 #672</v>
      </c>
      <c r="C70" s="282" t="s">
        <v>1199</v>
      </c>
      <c r="D70" s="282" t="s">
        <v>623</v>
      </c>
      <c r="E70" s="283"/>
      <c r="F70" s="284">
        <v>3606802.0</v>
      </c>
      <c r="G70" s="313" t="s">
        <v>1045</v>
      </c>
      <c r="H70" s="286" t="s">
        <v>33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B5</f>
        <v>신한 #672</v>
      </c>
      <c r="C71" s="282" t="s">
        <v>1199</v>
      </c>
      <c r="D71" s="282" t="s">
        <v>1206</v>
      </c>
      <c r="E71" s="283"/>
      <c r="F71" s="284">
        <v>98000.0</v>
      </c>
      <c r="G71" s="313" t="s">
        <v>1047</v>
      </c>
      <c r="H71" s="286" t="s">
        <v>4</v>
      </c>
      <c r="I71" s="107"/>
      <c r="J71" s="141"/>
      <c r="K71" s="138"/>
      <c r="L71" s="83" t="s">
        <v>1207</v>
      </c>
      <c r="M71" s="84" t="s">
        <v>1208</v>
      </c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B5</f>
        <v>신한 #672</v>
      </c>
      <c r="C72" s="282" t="s">
        <v>1209</v>
      </c>
      <c r="D72" s="282" t="s">
        <v>1210</v>
      </c>
      <c r="E72" s="283"/>
      <c r="F72" s="284">
        <v>1.1E7</v>
      </c>
      <c r="G72" s="313" t="s">
        <v>1211</v>
      </c>
      <c r="H72" s="286" t="s">
        <v>930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B5</f>
        <v>신한 #672</v>
      </c>
      <c r="C73" s="282" t="s">
        <v>1209</v>
      </c>
      <c r="D73" s="282" t="s">
        <v>115</v>
      </c>
      <c r="E73" s="283"/>
      <c r="F73" s="284">
        <v>40000.0</v>
      </c>
      <c r="G73" s="313" t="s">
        <v>1212</v>
      </c>
      <c r="H73" s="286" t="s">
        <v>4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B5</f>
        <v>신한 #672</v>
      </c>
      <c r="C74" s="282" t="s">
        <v>1209</v>
      </c>
      <c r="D74" s="282" t="s">
        <v>1213</v>
      </c>
      <c r="E74" s="283"/>
      <c r="F74" s="284">
        <v>40500.0</v>
      </c>
      <c r="G74" s="313" t="s">
        <v>1212</v>
      </c>
      <c r="H74" s="286" t="s">
        <v>4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B5</f>
        <v>신한 #672</v>
      </c>
      <c r="C75" s="282" t="s">
        <v>1209</v>
      </c>
      <c r="D75" s="282" t="s">
        <v>1214</v>
      </c>
      <c r="E75" s="283"/>
      <c r="F75" s="284">
        <v>40000.0</v>
      </c>
      <c r="G75" s="313" t="s">
        <v>1212</v>
      </c>
      <c r="H75" s="286" t="s">
        <v>4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B5</f>
        <v>신한 #672</v>
      </c>
      <c r="C76" s="282" t="s">
        <v>1209</v>
      </c>
      <c r="D76" s="282" t="s">
        <v>920</v>
      </c>
      <c r="E76" s="283"/>
      <c r="F76" s="284">
        <v>77000.0</v>
      </c>
      <c r="G76" s="313" t="s">
        <v>1006</v>
      </c>
      <c r="H76" s="286" t="s">
        <v>33</v>
      </c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B12</f>
        <v>OCBC USD</v>
      </c>
      <c r="C77" s="282" t="s">
        <v>1145</v>
      </c>
      <c r="D77" s="282" t="s">
        <v>1215</v>
      </c>
      <c r="E77" s="291">
        <f>499990.12</f>
        <v>499990.12</v>
      </c>
      <c r="F77" s="284"/>
      <c r="G77" s="313" t="s">
        <v>1216</v>
      </c>
      <c r="H77" s="286" t="s">
        <v>1207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B12</f>
        <v>OCBC USD</v>
      </c>
      <c r="C78" s="282" t="s">
        <v>1145</v>
      </c>
      <c r="D78" s="282" t="s">
        <v>828</v>
      </c>
      <c r="E78" s="291"/>
      <c r="F78" s="292">
        <v>7.48</v>
      </c>
      <c r="G78" s="313" t="s">
        <v>1217</v>
      </c>
      <c r="H78" s="286" t="s">
        <v>33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B12</f>
        <v>OCBC USD</v>
      </c>
      <c r="C79" s="282" t="s">
        <v>1218</v>
      </c>
      <c r="D79" s="282" t="s">
        <v>1219</v>
      </c>
      <c r="E79" s="291">
        <v>150003.43</v>
      </c>
      <c r="F79" s="292"/>
      <c r="G79" s="313" t="s">
        <v>1216</v>
      </c>
      <c r="H79" s="286" t="s">
        <v>1207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B12</f>
        <v>OCBC USD</v>
      </c>
      <c r="C80" s="282" t="s">
        <v>1218</v>
      </c>
      <c r="D80" s="282" t="s">
        <v>828</v>
      </c>
      <c r="E80" s="291"/>
      <c r="F80" s="292">
        <v>7.46</v>
      </c>
      <c r="G80" s="313" t="s">
        <v>1217</v>
      </c>
      <c r="H80" s="286" t="s">
        <v>33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B12</f>
        <v>OCBC USD</v>
      </c>
      <c r="C81" s="282" t="s">
        <v>1183</v>
      </c>
      <c r="D81" s="282" t="s">
        <v>1220</v>
      </c>
      <c r="E81" s="291">
        <v>299996.87</v>
      </c>
      <c r="F81" s="292"/>
      <c r="G81" s="313" t="s">
        <v>1216</v>
      </c>
      <c r="H81" s="286" t="s">
        <v>1207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 t="shared" ref="B82:B83" si="6">B12</f>
        <v>OCBC USD</v>
      </c>
      <c r="C82" s="282" t="s">
        <v>1183</v>
      </c>
      <c r="D82" s="282" t="s">
        <v>828</v>
      </c>
      <c r="E82" s="291"/>
      <c r="F82" s="292">
        <v>7.45</v>
      </c>
      <c r="G82" s="313" t="s">
        <v>1217</v>
      </c>
      <c r="H82" s="286" t="s">
        <v>33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167" t="str">
        <f t="shared" si="6"/>
        <v>OCBC SGD</v>
      </c>
      <c r="C83" s="282" t="s">
        <v>1145</v>
      </c>
      <c r="D83" s="282" t="s">
        <v>828</v>
      </c>
      <c r="E83" s="283"/>
      <c r="F83" s="292">
        <v>10.0</v>
      </c>
      <c r="G83" s="313" t="s">
        <v>1079</v>
      </c>
      <c r="H83" s="286" t="s">
        <v>33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167" t="str">
        <f>B13</f>
        <v>OCBC SGD</v>
      </c>
      <c r="C84" s="282" t="s">
        <v>1221</v>
      </c>
      <c r="D84" s="282" t="s">
        <v>828</v>
      </c>
      <c r="E84" s="283"/>
      <c r="F84" s="292">
        <v>15.0</v>
      </c>
      <c r="G84" s="313" t="s">
        <v>1079</v>
      </c>
      <c r="H84" s="286" t="s">
        <v>33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91"/>
      <c r="F203" s="292"/>
      <c r="G203" s="313"/>
      <c r="H203" s="286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91"/>
      <c r="F204" s="292"/>
      <c r="G204" s="313"/>
      <c r="H204" s="286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91"/>
      <c r="F205" s="292"/>
      <c r="G205" s="313"/>
      <c r="H205" s="286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91"/>
      <c r="F206" s="292"/>
      <c r="G206" s="313"/>
      <c r="H206" s="286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B207" s="281"/>
      <c r="C207" s="282"/>
      <c r="D207" s="282"/>
      <c r="E207" s="291"/>
      <c r="F207" s="292"/>
      <c r="G207" s="313"/>
      <c r="H207" s="286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B208" s="281"/>
      <c r="C208" s="282"/>
      <c r="D208" s="282"/>
      <c r="E208" s="291"/>
      <c r="F208" s="292"/>
      <c r="G208" s="313"/>
      <c r="H208" s="286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B209" s="281"/>
      <c r="C209" s="282"/>
      <c r="D209" s="282"/>
      <c r="E209" s="291"/>
      <c r="F209" s="292"/>
      <c r="G209" s="313"/>
      <c r="H209" s="286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B210" s="281"/>
      <c r="C210" s="282"/>
      <c r="D210" s="282"/>
      <c r="E210" s="291"/>
      <c r="F210" s="292"/>
      <c r="G210" s="313"/>
      <c r="H210" s="286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B211" s="281"/>
      <c r="C211" s="282"/>
      <c r="D211" s="282"/>
      <c r="E211" s="291"/>
      <c r="F211" s="292"/>
      <c r="G211" s="313"/>
      <c r="H211" s="286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B212" s="281"/>
      <c r="C212" s="282"/>
      <c r="D212" s="282"/>
      <c r="E212" s="291"/>
      <c r="F212" s="292"/>
      <c r="G212" s="313"/>
      <c r="H212" s="286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B213" s="281"/>
      <c r="C213" s="282"/>
      <c r="D213" s="282"/>
      <c r="E213" s="291"/>
      <c r="F213" s="292"/>
      <c r="G213" s="313"/>
      <c r="H213" s="286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B214" s="281"/>
      <c r="C214" s="282"/>
      <c r="D214" s="282"/>
      <c r="E214" s="291"/>
      <c r="F214" s="292"/>
      <c r="G214" s="313"/>
      <c r="H214" s="286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B215" s="281"/>
      <c r="C215" s="282"/>
      <c r="D215" s="282"/>
      <c r="E215" s="291"/>
      <c r="F215" s="292"/>
      <c r="G215" s="313"/>
      <c r="H215" s="286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B216" s="281"/>
      <c r="C216" s="282"/>
      <c r="D216" s="282"/>
      <c r="E216" s="291"/>
      <c r="F216" s="292"/>
      <c r="G216" s="313"/>
      <c r="H216" s="286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B217" s="281"/>
      <c r="C217" s="282"/>
      <c r="D217" s="282"/>
      <c r="E217" s="291"/>
      <c r="F217" s="292"/>
      <c r="G217" s="313"/>
      <c r="H217" s="286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B218" s="281"/>
      <c r="C218" s="282"/>
      <c r="D218" s="282"/>
      <c r="E218" s="291"/>
      <c r="F218" s="292"/>
      <c r="G218" s="313"/>
      <c r="H218" s="286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B219" s="281"/>
      <c r="C219" s="282"/>
      <c r="D219" s="282"/>
      <c r="E219" s="291"/>
      <c r="F219" s="292"/>
      <c r="G219" s="313"/>
      <c r="H219" s="286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B220" s="281"/>
      <c r="C220" s="282"/>
      <c r="D220" s="282"/>
      <c r="E220" s="291"/>
      <c r="F220" s="292"/>
      <c r="G220" s="313"/>
      <c r="H220" s="286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B221" s="281"/>
      <c r="C221" s="282"/>
      <c r="D221" s="282"/>
      <c r="E221" s="291"/>
      <c r="F221" s="292"/>
      <c r="G221" s="313"/>
      <c r="H221" s="286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B222" s="281"/>
      <c r="C222" s="282"/>
      <c r="D222" s="282"/>
      <c r="E222" s="291"/>
      <c r="F222" s="292"/>
      <c r="G222" s="313"/>
      <c r="H222" s="286"/>
      <c r="I222" s="107"/>
      <c r="J222" s="141"/>
      <c r="K222" s="138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B223" s="281"/>
      <c r="C223" s="282"/>
      <c r="D223" s="282"/>
      <c r="E223" s="291"/>
      <c r="F223" s="292"/>
      <c r="G223" s="313"/>
      <c r="H223" s="286"/>
      <c r="I223" s="107"/>
      <c r="J223" s="141"/>
      <c r="K223" s="138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B224" s="281"/>
      <c r="C224" s="282"/>
      <c r="D224" s="282"/>
      <c r="E224" s="291"/>
      <c r="F224" s="292"/>
      <c r="G224" s="313"/>
      <c r="H224" s="286"/>
      <c r="I224" s="107"/>
      <c r="J224" s="141"/>
      <c r="K224" s="138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B225" s="281"/>
      <c r="C225" s="282"/>
      <c r="D225" s="282"/>
      <c r="E225" s="291"/>
      <c r="F225" s="292"/>
      <c r="G225" s="313"/>
      <c r="H225" s="286"/>
      <c r="I225" s="107"/>
      <c r="J225" s="141"/>
      <c r="K225" s="138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B226" s="281"/>
      <c r="C226" s="282"/>
      <c r="D226" s="282"/>
      <c r="E226" s="291"/>
      <c r="F226" s="292"/>
      <c r="G226" s="313"/>
      <c r="H226" s="286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B227" s="281"/>
      <c r="C227" s="282"/>
      <c r="D227" s="282"/>
      <c r="E227" s="291"/>
      <c r="F227" s="292"/>
      <c r="G227" s="313"/>
      <c r="H227" s="286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B228" s="281"/>
      <c r="C228" s="282"/>
      <c r="D228" s="282"/>
      <c r="E228" s="291"/>
      <c r="F228" s="292"/>
      <c r="G228" s="313"/>
      <c r="H228" s="286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B229" s="281"/>
      <c r="C229" s="282"/>
      <c r="D229" s="282"/>
      <c r="E229" s="291"/>
      <c r="F229" s="292"/>
      <c r="G229" s="313"/>
      <c r="H229" s="286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B230" s="281"/>
      <c r="C230" s="282"/>
      <c r="D230" s="282"/>
      <c r="E230" s="291"/>
      <c r="F230" s="292"/>
      <c r="G230" s="313"/>
      <c r="H230" s="286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B231" s="281"/>
      <c r="C231" s="282"/>
      <c r="D231" s="282"/>
      <c r="E231" s="291"/>
      <c r="F231" s="292"/>
      <c r="G231" s="313"/>
      <c r="H231" s="286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105"/>
      <c r="B232" s="281"/>
      <c r="C232" s="282"/>
      <c r="D232" s="282"/>
      <c r="E232" s="291"/>
      <c r="F232" s="292"/>
      <c r="G232" s="313"/>
      <c r="H232" s="286"/>
      <c r="I232" s="107"/>
      <c r="J232" s="141"/>
      <c r="K232" s="138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B233" s="281"/>
      <c r="C233" s="282"/>
      <c r="D233" s="282"/>
      <c r="E233" s="291"/>
      <c r="F233" s="292"/>
      <c r="G233" s="313"/>
      <c r="H233" s="286"/>
      <c r="I233" s="107"/>
      <c r="J233" s="141"/>
      <c r="K233" s="138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B234" s="281"/>
      <c r="C234" s="282"/>
      <c r="D234" s="282"/>
      <c r="E234" s="291"/>
      <c r="F234" s="292"/>
      <c r="G234" s="313"/>
      <c r="H234" s="286"/>
      <c r="I234" s="107"/>
      <c r="J234" s="141"/>
      <c r="K234" s="138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B235" s="281"/>
      <c r="C235" s="282"/>
      <c r="D235" s="282"/>
      <c r="E235" s="291"/>
      <c r="F235" s="292"/>
      <c r="G235" s="313"/>
      <c r="H235" s="286"/>
      <c r="I235" s="107"/>
      <c r="J235" s="141"/>
      <c r="K235" s="138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B236" s="281"/>
      <c r="C236" s="282"/>
      <c r="D236" s="282"/>
      <c r="E236" s="291"/>
      <c r="F236" s="292"/>
      <c r="G236" s="313"/>
      <c r="H236" s="286"/>
      <c r="I236" s="107"/>
      <c r="J236" s="141"/>
      <c r="K236" s="138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B237" s="281"/>
      <c r="C237" s="282"/>
      <c r="D237" s="282"/>
      <c r="E237" s="291"/>
      <c r="F237" s="292"/>
      <c r="G237" s="313"/>
      <c r="H237" s="286"/>
      <c r="I237" s="107"/>
      <c r="J237" s="141"/>
      <c r="K237" s="138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B238" s="281"/>
      <c r="C238" s="282"/>
      <c r="D238" s="282"/>
      <c r="E238" s="291"/>
      <c r="F238" s="292"/>
      <c r="G238" s="313"/>
      <c r="H238" s="286"/>
      <c r="I238" s="107"/>
      <c r="J238" s="141"/>
      <c r="K238" s="138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B239" s="281"/>
      <c r="C239" s="282"/>
      <c r="D239" s="282"/>
      <c r="E239" s="291"/>
      <c r="F239" s="292"/>
      <c r="G239" s="313"/>
      <c r="H239" s="286"/>
      <c r="I239" s="107"/>
      <c r="J239" s="141"/>
      <c r="K239" s="138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B240" s="281"/>
      <c r="C240" s="282"/>
      <c r="D240" s="282"/>
      <c r="E240" s="291"/>
      <c r="F240" s="292"/>
      <c r="G240" s="313"/>
      <c r="H240" s="286"/>
      <c r="I240" s="107"/>
      <c r="J240" s="141"/>
      <c r="K240" s="138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B241" s="281"/>
      <c r="C241" s="282"/>
      <c r="D241" s="282"/>
      <c r="E241" s="291"/>
      <c r="F241" s="292"/>
      <c r="G241" s="313"/>
      <c r="H241" s="286"/>
      <c r="I241" s="107"/>
      <c r="J241" s="141"/>
      <c r="K241" s="138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B242" s="281"/>
      <c r="C242" s="282"/>
      <c r="D242" s="282"/>
      <c r="E242" s="291"/>
      <c r="F242" s="292"/>
      <c r="G242" s="313"/>
      <c r="H242" s="286"/>
      <c r="I242" s="107"/>
      <c r="J242" s="141"/>
      <c r="K242" s="138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B243" s="281"/>
      <c r="C243" s="282"/>
      <c r="D243" s="282"/>
      <c r="E243" s="291"/>
      <c r="F243" s="292"/>
      <c r="G243" s="313"/>
      <c r="H243" s="286"/>
      <c r="I243" s="107"/>
      <c r="J243" s="141"/>
      <c r="K243" s="138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B244" s="281"/>
      <c r="C244" s="282"/>
      <c r="D244" s="282"/>
      <c r="E244" s="291"/>
      <c r="F244" s="292"/>
      <c r="G244" s="313"/>
      <c r="H244" s="286"/>
      <c r="I244" s="107"/>
      <c r="J244" s="141"/>
      <c r="K244" s="138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B245" s="281"/>
      <c r="C245" s="282"/>
      <c r="D245" s="282"/>
      <c r="E245" s="291"/>
      <c r="F245" s="292"/>
      <c r="G245" s="313"/>
      <c r="H245" s="286"/>
      <c r="I245" s="107"/>
      <c r="J245" s="141"/>
      <c r="K245" s="138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B246" s="281"/>
      <c r="C246" s="282"/>
      <c r="D246" s="282"/>
      <c r="E246" s="291"/>
      <c r="F246" s="292"/>
      <c r="G246" s="313"/>
      <c r="H246" s="286"/>
      <c r="I246" s="107"/>
      <c r="J246" s="141"/>
      <c r="K246" s="138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</sheetData>
  <autoFilter ref="$B$21:$H$246">
    <sortState ref="B21:H246">
      <sortCondition ref="B21:B246"/>
    </sortState>
  </autoFilter>
  <customSheetViews>
    <customSheetView guid="{CD2BF927-9D79-47FC-BBA8-927062D6B3F5}" filter="1" showAutoFilter="1">
      <autoFilter ref="$B$21:$H$246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46">
      <formula1>$L:$L</formula1>
    </dataValidation>
  </dataValidations>
  <hyperlinks>
    <hyperlink r:id="rId1" ref="I3"/>
    <hyperlink r:id="rId2" ref="I4"/>
    <hyperlink r:id="rId3" ref="D55"/>
  </hyperlinks>
  <printOptions/>
  <pageMargins bottom="0.75" footer="0.0" header="0.0" left="0.25" right="0.25" top="0.75"/>
  <pageSetup fitToHeight="0" paperSize="9" orientation="portrait"/>
  <drawing r:id="rId4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0.57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6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1222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'23.04월'!G5</f>
        <v>16701926</v>
      </c>
      <c r="E5" s="227">
        <f>sumif(B22:B180,B5,E22:E182)</f>
        <v>34000000</v>
      </c>
      <c r="F5" s="228">
        <f>sumif(B22:B122,B5,F22:F122)</f>
        <v>29151834</v>
      </c>
      <c r="G5" s="229">
        <f t="shared" ref="G5:G13" si="1">D5+E5-F5</f>
        <v>21550092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'23.04월'!G6</f>
        <v>2.31</v>
      </c>
      <c r="E6" s="233">
        <f>sumif(B22:B182,B6,E22:E182)</f>
        <v>0</v>
      </c>
      <c r="F6" s="234">
        <f>sumif(B22:B122,B6,F22:F122)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'23.04월'!G7</f>
        <v>45610896</v>
      </c>
      <c r="E7" s="237">
        <f>sumif(B22:B182,B7,E22:E182)</f>
        <v>196646017</v>
      </c>
      <c r="F7" s="238">
        <f>sumif(B22:B122,B7,F22:F122)</f>
        <v>221721127</v>
      </c>
      <c r="G7" s="239">
        <f t="shared" si="1"/>
        <v>20535786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'23.04월'!G8</f>
        <v>0.89</v>
      </c>
      <c r="E8" s="240">
        <f>sumif(B22:B182,B8,E22:E182)</f>
        <v>149990</v>
      </c>
      <c r="F8" s="234">
        <f>sumif(B22:B122,B8,F22:F122)</f>
        <v>149990.89</v>
      </c>
      <c r="G8" s="235">
        <f t="shared" si="1"/>
        <v>0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'23.04월'!G9</f>
        <v>63773.59</v>
      </c>
      <c r="E9" s="240">
        <f>sumif(B22:B122,B9,E22:E182)</f>
        <v>1995.86</v>
      </c>
      <c r="F9" s="329">
        <f>sumif(B22:B122,B9,F22:F122)</f>
        <v>53684.89</v>
      </c>
      <c r="G9" s="329">
        <f t="shared" si="1"/>
        <v>12084.56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'23.04월'!G10</f>
        <v>200</v>
      </c>
      <c r="E10" s="242">
        <f>sumif(B22:B180,B10,E22:E122)</f>
        <v>10564</v>
      </c>
      <c r="F10" s="319">
        <f>sumif(B22:B122,B10,F22:F122)</f>
        <v>10764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'23.04월'!G11</f>
        <v>0</v>
      </c>
      <c r="E11" s="245">
        <f>sumif(B22:B182,B11,E22:E182)</f>
        <v>1569941</v>
      </c>
      <c r="F11" s="238">
        <f>sumif(B22:B122,B11,F22:F122)</f>
        <v>1569941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'23.04월'!G12</f>
        <v>957089.27</v>
      </c>
      <c r="E12" s="240">
        <f>sumif(B25:B125,B12,E25:E183)</f>
        <v>1000</v>
      </c>
      <c r="F12" s="234">
        <f>sumif(B22:B121,B12,F22:F121)</f>
        <v>123196.42</v>
      </c>
      <c r="G12" s="235">
        <f t="shared" si="1"/>
        <v>834892.85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'23.04월'!G13</f>
        <v>780</v>
      </c>
      <c r="E13" s="308">
        <f>sumif(B22:B182,B13,E22:E122)</f>
        <v>0</v>
      </c>
      <c r="F13" s="309">
        <f>sumif(B22:B121,B13,F22:F121)</f>
        <v>25</v>
      </c>
      <c r="G13" s="310">
        <f t="shared" si="1"/>
        <v>755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62312822</v>
      </c>
      <c r="E15" s="262">
        <f t="shared" si="2"/>
        <v>232215958</v>
      </c>
      <c r="F15" s="263">
        <f t="shared" si="2"/>
        <v>252442902</v>
      </c>
      <c r="G15" s="264">
        <f>G5+G11+G7</f>
        <v>42085878</v>
      </c>
      <c r="H15" s="265">
        <f>G15</f>
        <v>42085878</v>
      </c>
      <c r="I15" s="265">
        <f>D15</f>
        <v>62312822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1020866.06</v>
      </c>
      <c r="E16" s="269">
        <f t="shared" si="3"/>
        <v>152985.86</v>
      </c>
      <c r="F16" s="270">
        <f t="shared" si="3"/>
        <v>326872.2</v>
      </c>
      <c r="G16" s="271">
        <f>G9+G6+G8+G12</f>
        <v>846979.72</v>
      </c>
      <c r="H16" s="265">
        <f>rounddown(G16*$J$3,0)</f>
        <v>1247368208</v>
      </c>
      <c r="I16" s="265">
        <f>rounddown(D16*$J$3,0)</f>
        <v>1503454968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980</v>
      </c>
      <c r="E17" s="274">
        <f t="shared" si="4"/>
        <v>10564</v>
      </c>
      <c r="F17" s="275">
        <f t="shared" si="4"/>
        <v>10789</v>
      </c>
      <c r="G17" s="276">
        <f t="shared" si="4"/>
        <v>755</v>
      </c>
      <c r="H17" s="277">
        <f>rounddown(G17*$J$4,0)</f>
        <v>863633</v>
      </c>
      <c r="I17" s="277">
        <f>rounddown(D17*$J$4,0)</f>
        <v>1121007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1290317719</v>
      </c>
      <c r="I18" s="279">
        <f t="shared" si="5"/>
        <v>1566888797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12"/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B9</f>
        <v>WISE USD</v>
      </c>
      <c r="C22" s="282" t="s">
        <v>1223</v>
      </c>
      <c r="D22" s="282" t="s">
        <v>740</v>
      </c>
      <c r="E22" s="283"/>
      <c r="F22" s="292">
        <v>10422.68</v>
      </c>
      <c r="G22" s="313" t="s">
        <v>1224</v>
      </c>
      <c r="H22" s="286" t="s">
        <v>41</v>
      </c>
      <c r="I22" s="107"/>
      <c r="J22" s="141"/>
      <c r="K22" s="138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B9</f>
        <v>WISE USD</v>
      </c>
      <c r="C23" s="282" t="s">
        <v>1223</v>
      </c>
      <c r="D23" s="282" t="s">
        <v>1061</v>
      </c>
      <c r="E23" s="283"/>
      <c r="F23" s="292">
        <v>0.39</v>
      </c>
      <c r="G23" s="313" t="s">
        <v>1225</v>
      </c>
      <c r="H23" s="286" t="s">
        <v>33</v>
      </c>
      <c r="I23" s="107"/>
      <c r="J23" s="141"/>
      <c r="K23" s="13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B7</f>
        <v>하나 #304</v>
      </c>
      <c r="C24" s="282" t="s">
        <v>1223</v>
      </c>
      <c r="D24" s="282" t="s">
        <v>115</v>
      </c>
      <c r="E24" s="283"/>
      <c r="F24" s="284">
        <v>3.00005E7</v>
      </c>
      <c r="G24" s="313" t="s">
        <v>945</v>
      </c>
      <c r="H24" s="286" t="s">
        <v>945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B7</f>
        <v>하나 #304</v>
      </c>
      <c r="C25" s="282" t="s">
        <v>1226</v>
      </c>
      <c r="D25" s="282" t="s">
        <v>1227</v>
      </c>
      <c r="E25" s="283"/>
      <c r="F25" s="284">
        <v>3842800.0</v>
      </c>
      <c r="G25" s="313" t="s">
        <v>1228</v>
      </c>
      <c r="H25" s="286" t="s">
        <v>930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B7</f>
        <v>하나 #304</v>
      </c>
      <c r="C26" s="282" t="s">
        <v>1226</v>
      </c>
      <c r="D26" s="282" t="s">
        <v>789</v>
      </c>
      <c r="E26" s="283"/>
      <c r="F26" s="284">
        <v>6029820.0</v>
      </c>
      <c r="G26" s="313" t="s">
        <v>1229</v>
      </c>
      <c r="H26" s="286" t="s">
        <v>33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B7</f>
        <v>하나 #304</v>
      </c>
      <c r="C27" s="282" t="s">
        <v>1226</v>
      </c>
      <c r="D27" s="282" t="s">
        <v>1230</v>
      </c>
      <c r="E27" s="283"/>
      <c r="F27" s="284">
        <v>825500.0</v>
      </c>
      <c r="G27" s="313" t="s">
        <v>1231</v>
      </c>
      <c r="H27" s="286" t="s">
        <v>33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B7</f>
        <v>하나 #304</v>
      </c>
      <c r="C28" s="282" t="s">
        <v>1226</v>
      </c>
      <c r="D28" s="282" t="s">
        <v>1232</v>
      </c>
      <c r="E28" s="283"/>
      <c r="F28" s="284">
        <v>90500.0</v>
      </c>
      <c r="G28" s="313" t="s">
        <v>1233</v>
      </c>
      <c r="H28" s="286" t="s">
        <v>930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B7</f>
        <v>하나 #304</v>
      </c>
      <c r="C29" s="282" t="s">
        <v>1226</v>
      </c>
      <c r="D29" s="282" t="s">
        <v>113</v>
      </c>
      <c r="E29" s="283"/>
      <c r="F29" s="284">
        <v>40500.0</v>
      </c>
      <c r="G29" s="313" t="s">
        <v>1212</v>
      </c>
      <c r="H29" s="286" t="s">
        <v>4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B7</f>
        <v>하나 #304</v>
      </c>
      <c r="C30" s="282" t="s">
        <v>1226</v>
      </c>
      <c r="D30" s="282" t="s">
        <v>119</v>
      </c>
      <c r="E30" s="291"/>
      <c r="F30" s="284">
        <v>20500.0</v>
      </c>
      <c r="G30" s="313" t="s">
        <v>1234</v>
      </c>
      <c r="H30" s="286" t="s">
        <v>4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B7</f>
        <v>하나 #304</v>
      </c>
      <c r="C31" s="282" t="s">
        <v>1226</v>
      </c>
      <c r="D31" s="282" t="s">
        <v>991</v>
      </c>
      <c r="E31" s="291"/>
      <c r="F31" s="284">
        <v>20500.0</v>
      </c>
      <c r="G31" s="313" t="s">
        <v>1234</v>
      </c>
      <c r="H31" s="286" t="s">
        <v>4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B7</f>
        <v>하나 #304</v>
      </c>
      <c r="C32" s="282" t="s">
        <v>1226</v>
      </c>
      <c r="D32" s="282" t="s">
        <v>637</v>
      </c>
      <c r="E32" s="291"/>
      <c r="F32" s="284">
        <v>100480.0</v>
      </c>
      <c r="G32" s="313" t="s">
        <v>1235</v>
      </c>
      <c r="H32" s="286" t="s">
        <v>4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B7</f>
        <v>하나 #304</v>
      </c>
      <c r="C33" s="282" t="s">
        <v>1236</v>
      </c>
      <c r="D33" s="285" t="s">
        <v>1188</v>
      </c>
      <c r="F33" s="284">
        <v>4000500.0</v>
      </c>
      <c r="G33" s="313" t="s">
        <v>1035</v>
      </c>
      <c r="H33" s="286" t="s">
        <v>556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B5</f>
        <v>신한 #672</v>
      </c>
      <c r="C34" s="282" t="s">
        <v>1236</v>
      </c>
      <c r="D34" s="285" t="s">
        <v>1188</v>
      </c>
      <c r="E34" s="284">
        <v>4000000.0</v>
      </c>
      <c r="F34" s="284"/>
      <c r="G34" s="313" t="s">
        <v>1035</v>
      </c>
      <c r="H34" s="286" t="s">
        <v>556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B9</f>
        <v>WISE USD</v>
      </c>
      <c r="C35" s="282" t="s">
        <v>1236</v>
      </c>
      <c r="D35" s="285" t="s">
        <v>899</v>
      </c>
      <c r="E35" s="332"/>
      <c r="F35" s="332">
        <v>30014.39</v>
      </c>
      <c r="G35" s="313" t="s">
        <v>1118</v>
      </c>
      <c r="H35" s="286" t="s">
        <v>556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B9</f>
        <v>WISE USD</v>
      </c>
      <c r="C36" s="282" t="s">
        <v>1236</v>
      </c>
      <c r="D36" s="282" t="s">
        <v>740</v>
      </c>
      <c r="E36" s="283"/>
      <c r="F36" s="292">
        <f>1735.02+0.39</f>
        <v>1735.41</v>
      </c>
      <c r="G36" s="313" t="s">
        <v>1237</v>
      </c>
      <c r="H36" s="286" t="s">
        <v>4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WISE USD</v>
      </c>
      <c r="C37" s="282" t="s">
        <v>1236</v>
      </c>
      <c r="D37" s="285" t="s">
        <v>899</v>
      </c>
      <c r="E37" s="283"/>
      <c r="F37" s="292">
        <v>1200.0</v>
      </c>
      <c r="G37" s="313" t="s">
        <v>679</v>
      </c>
      <c r="H37" s="286" t="s">
        <v>556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B11</f>
        <v>WISE KRW</v>
      </c>
      <c r="C38" s="282" t="s">
        <v>1236</v>
      </c>
      <c r="D38" s="282" t="s">
        <v>899</v>
      </c>
      <c r="E38" s="283">
        <v>1569941.0</v>
      </c>
      <c r="F38" s="292"/>
      <c r="G38" s="313" t="s">
        <v>679</v>
      </c>
      <c r="H38" s="286" t="s">
        <v>556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B11</f>
        <v>WISE KRW</v>
      </c>
      <c r="C39" s="282" t="s">
        <v>1236</v>
      </c>
      <c r="D39" s="282" t="s">
        <v>1238</v>
      </c>
      <c r="E39" s="284"/>
      <c r="F39" s="284">
        <v>1531450.0</v>
      </c>
      <c r="G39" s="313" t="s">
        <v>1239</v>
      </c>
      <c r="H39" s="286" t="s">
        <v>4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282" t="s">
        <v>1240</v>
      </c>
      <c r="D40" s="282" t="s">
        <v>1241</v>
      </c>
      <c r="E40" s="284"/>
      <c r="F40" s="284">
        <v>4894740.0</v>
      </c>
      <c r="G40" s="313" t="s">
        <v>1241</v>
      </c>
      <c r="H40" s="286" t="s">
        <v>31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16" t="str">
        <f>B5</f>
        <v>신한 #672</v>
      </c>
      <c r="C41" s="282" t="s">
        <v>1240</v>
      </c>
      <c r="D41" s="282" t="s">
        <v>1242</v>
      </c>
      <c r="E41" s="283"/>
      <c r="F41" s="284">
        <v>5781560.0</v>
      </c>
      <c r="G41" s="313" t="s">
        <v>1242</v>
      </c>
      <c r="H41" s="286" t="s">
        <v>31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16" t="str">
        <f>B5</f>
        <v>신한 #672</v>
      </c>
      <c r="C42" s="282" t="s">
        <v>1240</v>
      </c>
      <c r="D42" s="282" t="s">
        <v>1243</v>
      </c>
      <c r="E42" s="291"/>
      <c r="F42" s="284">
        <v>1423710.0</v>
      </c>
      <c r="G42" s="313" t="s">
        <v>1243</v>
      </c>
      <c r="H42" s="286" t="s">
        <v>31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282" t="s">
        <v>1240</v>
      </c>
      <c r="D43" s="282" t="s">
        <v>1244</v>
      </c>
      <c r="E43" s="283"/>
      <c r="F43" s="284">
        <v>527580.0</v>
      </c>
      <c r="G43" s="313" t="s">
        <v>1244</v>
      </c>
      <c r="H43" s="286" t="s">
        <v>31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B8</f>
        <v>하나 #138</v>
      </c>
      <c r="C44" s="282" t="s">
        <v>1240</v>
      </c>
      <c r="D44" s="282" t="s">
        <v>899</v>
      </c>
      <c r="E44" s="332">
        <v>30000.0</v>
      </c>
      <c r="F44" s="332"/>
      <c r="G44" s="313" t="s">
        <v>1118</v>
      </c>
      <c r="H44" s="286" t="s">
        <v>556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B8</f>
        <v>하나 #138</v>
      </c>
      <c r="C45" s="282" t="s">
        <v>1240</v>
      </c>
      <c r="D45" s="282" t="s">
        <v>632</v>
      </c>
      <c r="E45" s="284"/>
      <c r="F45" s="332">
        <v>30000.0</v>
      </c>
      <c r="G45" s="313" t="s">
        <v>679</v>
      </c>
      <c r="H45" s="286" t="s">
        <v>556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B7</f>
        <v>하나 #304</v>
      </c>
      <c r="C46" s="282" t="s">
        <v>1240</v>
      </c>
      <c r="D46" s="282" t="s">
        <v>632</v>
      </c>
      <c r="E46" s="284">
        <v>3.94017E7</v>
      </c>
      <c r="F46" s="284"/>
      <c r="G46" s="313" t="s">
        <v>679</v>
      </c>
      <c r="H46" s="286" t="s">
        <v>556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B7</f>
        <v>하나 #304</v>
      </c>
      <c r="C47" s="282" t="s">
        <v>1240</v>
      </c>
      <c r="D47" s="282" t="s">
        <v>1089</v>
      </c>
      <c r="E47" s="284"/>
      <c r="F47" s="284">
        <v>7918280.0</v>
      </c>
      <c r="G47" s="313" t="s">
        <v>1245</v>
      </c>
      <c r="H47" s="286" t="s">
        <v>31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B7</f>
        <v>하나 #304</v>
      </c>
      <c r="C48" s="282" t="s">
        <v>1240</v>
      </c>
      <c r="D48" s="282" t="s">
        <v>1017</v>
      </c>
      <c r="E48" s="284"/>
      <c r="F48" s="284">
        <v>794790.0</v>
      </c>
      <c r="G48" s="313" t="s">
        <v>1246</v>
      </c>
      <c r="H48" s="286" t="s">
        <v>31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B7</f>
        <v>하나 #304</v>
      </c>
      <c r="C49" s="282" t="s">
        <v>1240</v>
      </c>
      <c r="D49" s="282" t="s">
        <v>1089</v>
      </c>
      <c r="E49" s="284"/>
      <c r="F49" s="284">
        <v>30000.0</v>
      </c>
      <c r="G49" s="313" t="s">
        <v>1247</v>
      </c>
      <c r="H49" s="286" t="s">
        <v>31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B7</f>
        <v>하나 #304</v>
      </c>
      <c r="C50" s="282" t="s">
        <v>1240</v>
      </c>
      <c r="D50" s="282" t="s">
        <v>1094</v>
      </c>
      <c r="E50" s="284"/>
      <c r="F50" s="284">
        <v>4600317.0</v>
      </c>
      <c r="G50" s="313" t="s">
        <v>1248</v>
      </c>
      <c r="H50" s="286" t="s">
        <v>33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 t="shared" ref="B51:B52" si="6">B9</f>
        <v>WISE USD</v>
      </c>
      <c r="C51" s="282" t="s">
        <v>1249</v>
      </c>
      <c r="D51" s="282" t="s">
        <v>899</v>
      </c>
      <c r="E51" s="291"/>
      <c r="F51" s="292">
        <v>8001.67</v>
      </c>
      <c r="G51" s="313" t="s">
        <v>679</v>
      </c>
      <c r="H51" s="286" t="s">
        <v>556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 t="shared" si="6"/>
        <v>WISE SGD</v>
      </c>
      <c r="C52" s="282" t="s">
        <v>1249</v>
      </c>
      <c r="D52" s="282" t="s">
        <v>899</v>
      </c>
      <c r="E52" s="291">
        <v>10564.0</v>
      </c>
      <c r="F52" s="292"/>
      <c r="G52" s="313" t="s">
        <v>679</v>
      </c>
      <c r="H52" s="286" t="s">
        <v>556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B10</f>
        <v>WISE SGD</v>
      </c>
      <c r="C53" s="282" t="s">
        <v>1249</v>
      </c>
      <c r="D53" s="282" t="s">
        <v>894</v>
      </c>
      <c r="E53" s="291"/>
      <c r="F53" s="291">
        <v>10564.0</v>
      </c>
      <c r="G53" s="313" t="s">
        <v>1250</v>
      </c>
      <c r="H53" s="286" t="s">
        <v>33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B10</f>
        <v>WISE SGD</v>
      </c>
      <c r="C54" s="282" t="s">
        <v>1251</v>
      </c>
      <c r="D54" s="282" t="s">
        <v>894</v>
      </c>
      <c r="E54" s="291"/>
      <c r="F54" s="292">
        <v>10.0</v>
      </c>
      <c r="G54" s="313" t="s">
        <v>1250</v>
      </c>
      <c r="H54" s="286" t="s">
        <v>33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B9</f>
        <v>WISE USD</v>
      </c>
      <c r="C55" s="282" t="s">
        <v>1252</v>
      </c>
      <c r="D55" s="296" t="s">
        <v>542</v>
      </c>
      <c r="E55" s="283"/>
      <c r="F55" s="291">
        <v>10.0</v>
      </c>
      <c r="G55" s="313" t="s">
        <v>1068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WISE USD</v>
      </c>
      <c r="C56" s="282" t="s">
        <v>1253</v>
      </c>
      <c r="D56" s="282" t="s">
        <v>1254</v>
      </c>
      <c r="E56" s="291"/>
      <c r="F56" s="292">
        <v>1055.0</v>
      </c>
      <c r="G56" s="313" t="s">
        <v>1068</v>
      </c>
      <c r="H56" s="286" t="s">
        <v>33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</f>
        <v>신한 #672</v>
      </c>
      <c r="C57" s="282" t="s">
        <v>1255</v>
      </c>
      <c r="D57" s="282" t="s">
        <v>1120</v>
      </c>
      <c r="E57" s="291"/>
      <c r="F57" s="284">
        <v>4400.0</v>
      </c>
      <c r="G57" s="313" t="s">
        <v>1256</v>
      </c>
      <c r="H57" s="286" t="s">
        <v>33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282" t="s">
        <v>1255</v>
      </c>
      <c r="D58" s="282" t="s">
        <v>1049</v>
      </c>
      <c r="E58" s="291"/>
      <c r="F58" s="284">
        <v>220000.0</v>
      </c>
      <c r="G58" s="313" t="s">
        <v>1257</v>
      </c>
      <c r="H58" s="286" t="s">
        <v>20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B7</f>
        <v>하나 #304</v>
      </c>
      <c r="C59" s="282" t="s">
        <v>1255</v>
      </c>
      <c r="D59" s="282" t="s">
        <v>1258</v>
      </c>
      <c r="E59" s="291"/>
      <c r="F59" s="284">
        <f>2860000+500</f>
        <v>2860500</v>
      </c>
      <c r="G59" s="313" t="s">
        <v>1259</v>
      </c>
      <c r="H59" s="286" t="s">
        <v>33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B7</f>
        <v>하나 #304</v>
      </c>
      <c r="C60" s="282" t="s">
        <v>1255</v>
      </c>
      <c r="D60" s="282" t="s">
        <v>1094</v>
      </c>
      <c r="E60" s="291"/>
      <c r="F60" s="284">
        <f>113049+500</f>
        <v>113549</v>
      </c>
      <c r="G60" s="313" t="s">
        <v>1191</v>
      </c>
      <c r="H60" s="286" t="s">
        <v>33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B7</f>
        <v>하나 #304</v>
      </c>
      <c r="C61" s="282" t="s">
        <v>1255</v>
      </c>
      <c r="D61" s="282" t="s">
        <v>1260</v>
      </c>
      <c r="E61" s="291"/>
      <c r="F61" s="284">
        <f>917400+500</f>
        <v>917900</v>
      </c>
      <c r="G61" s="313" t="s">
        <v>1107</v>
      </c>
      <c r="H61" s="286" t="s">
        <v>930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282" t="s">
        <v>1261</v>
      </c>
      <c r="D62" s="282" t="s">
        <v>982</v>
      </c>
      <c r="E62" s="291"/>
      <c r="F62" s="326">
        <v>110000.0</v>
      </c>
      <c r="G62" s="313" t="s">
        <v>1033</v>
      </c>
      <c r="H62" s="286" t="s">
        <v>33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B8</f>
        <v>하나 #138</v>
      </c>
      <c r="C63" s="282" t="s">
        <v>1261</v>
      </c>
      <c r="D63" s="282" t="s">
        <v>899</v>
      </c>
      <c r="E63" s="332">
        <v>69995.0</v>
      </c>
      <c r="F63" s="332"/>
      <c r="G63" s="313" t="s">
        <v>1118</v>
      </c>
      <c r="H63" s="286" t="s">
        <v>556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B10</f>
        <v>WISE SGD</v>
      </c>
      <c r="C64" s="282" t="s">
        <v>1262</v>
      </c>
      <c r="D64" s="282" t="s">
        <v>1254</v>
      </c>
      <c r="E64" s="291"/>
      <c r="F64" s="292">
        <v>190.0</v>
      </c>
      <c r="G64" s="313" t="s">
        <v>1068</v>
      </c>
      <c r="H64" s="286" t="s">
        <v>33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B9</f>
        <v>WISE USD</v>
      </c>
      <c r="C65" s="282" t="s">
        <v>1262</v>
      </c>
      <c r="D65" s="282" t="s">
        <v>1254</v>
      </c>
      <c r="F65" s="292">
        <v>942.47</v>
      </c>
      <c r="G65" s="313" t="s">
        <v>1068</v>
      </c>
      <c r="H65" s="286" t="s">
        <v>33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B11</f>
        <v>WISE KRW</v>
      </c>
      <c r="C66" s="282" t="s">
        <v>1262</v>
      </c>
      <c r="D66" s="282" t="s">
        <v>1254</v>
      </c>
      <c r="E66" s="291"/>
      <c r="F66" s="292">
        <v>38491.0</v>
      </c>
      <c r="G66" s="313" t="s">
        <v>1068</v>
      </c>
      <c r="H66" s="286" t="s">
        <v>33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B9</f>
        <v>WISE USD</v>
      </c>
      <c r="C67" s="282" t="s">
        <v>1263</v>
      </c>
      <c r="D67" s="282" t="s">
        <v>894</v>
      </c>
      <c r="E67" s="291"/>
      <c r="F67" s="292">
        <v>302.88</v>
      </c>
      <c r="G67" s="313" t="s">
        <v>1264</v>
      </c>
      <c r="H67" s="286" t="s">
        <v>33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B8</f>
        <v>하나 #138</v>
      </c>
      <c r="C68" s="282" t="s">
        <v>1263</v>
      </c>
      <c r="D68" s="282" t="s">
        <v>899</v>
      </c>
      <c r="E68" s="332"/>
      <c r="F68" s="335">
        <v>69995.89</v>
      </c>
      <c r="G68" s="313" t="s">
        <v>679</v>
      </c>
      <c r="H68" s="286" t="s">
        <v>556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B7</f>
        <v>하나 #304</v>
      </c>
      <c r="C69" s="282" t="s">
        <v>1263</v>
      </c>
      <c r="D69" s="282" t="s">
        <v>899</v>
      </c>
      <c r="E69" s="326">
        <v>9.1371934E7</v>
      </c>
      <c r="F69" s="326"/>
      <c r="G69" s="313" t="s">
        <v>679</v>
      </c>
      <c r="H69" s="286" t="s">
        <v>556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B7</f>
        <v>하나 #304</v>
      </c>
      <c r="C70" s="282" t="s">
        <v>1263</v>
      </c>
      <c r="D70" s="282" t="s">
        <v>1265</v>
      </c>
      <c r="E70" s="291"/>
      <c r="F70" s="326">
        <v>200000.0</v>
      </c>
      <c r="G70" s="313" t="s">
        <v>1266</v>
      </c>
      <c r="H70" s="286" t="s">
        <v>29</v>
      </c>
      <c r="I70" s="107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B5</f>
        <v>신한 #672</v>
      </c>
      <c r="C71" s="282" t="s">
        <v>1267</v>
      </c>
      <c r="D71" s="282" t="s">
        <v>632</v>
      </c>
      <c r="E71" s="284">
        <v>2.0E7</v>
      </c>
      <c r="F71" s="284"/>
      <c r="G71" s="313" t="s">
        <v>1268</v>
      </c>
      <c r="H71" s="286" t="s">
        <v>556</v>
      </c>
      <c r="I71" s="107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B5</f>
        <v>신한 #672</v>
      </c>
      <c r="C72" s="282" t="s">
        <v>1267</v>
      </c>
      <c r="D72" s="282" t="s">
        <v>1269</v>
      </c>
      <c r="E72" s="291"/>
      <c r="F72" s="284">
        <v>57360.0</v>
      </c>
      <c r="G72" s="313" t="s">
        <v>1044</v>
      </c>
      <c r="H72" s="286" t="s">
        <v>4</v>
      </c>
      <c r="I72" s="107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B5</f>
        <v>신한 #672</v>
      </c>
      <c r="C73" s="282" t="s">
        <v>1267</v>
      </c>
      <c r="D73" s="282" t="s">
        <v>604</v>
      </c>
      <c r="E73" s="291"/>
      <c r="F73" s="284">
        <v>110000.0</v>
      </c>
      <c r="G73" s="313" t="s">
        <v>1041</v>
      </c>
      <c r="H73" s="286" t="s">
        <v>33</v>
      </c>
      <c r="I73" s="107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B5</f>
        <v>신한 #672</v>
      </c>
      <c r="C74" s="282" t="s">
        <v>1267</v>
      </c>
      <c r="D74" s="282" t="s">
        <v>497</v>
      </c>
      <c r="E74" s="291"/>
      <c r="F74" s="284">
        <v>330000.0</v>
      </c>
      <c r="G74" s="313" t="s">
        <v>1042</v>
      </c>
      <c r="H74" s="286" t="s">
        <v>33</v>
      </c>
      <c r="I74" s="107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281" t="str">
        <f>B5</f>
        <v>신한 #672</v>
      </c>
      <c r="C75" s="282" t="s">
        <v>1267</v>
      </c>
      <c r="D75" s="282" t="s">
        <v>1270</v>
      </c>
      <c r="E75" s="291"/>
      <c r="F75" s="284">
        <v>50250.0</v>
      </c>
      <c r="G75" s="313" t="s">
        <v>1040</v>
      </c>
      <c r="H75" s="286" t="s">
        <v>4</v>
      </c>
      <c r="I75" s="107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281" t="str">
        <f>B5</f>
        <v>신한 #672</v>
      </c>
      <c r="C76" s="282" t="s">
        <v>1267</v>
      </c>
      <c r="D76" s="282" t="s">
        <v>1270</v>
      </c>
      <c r="E76" s="291"/>
      <c r="F76" s="284">
        <v>37430.0</v>
      </c>
      <c r="G76" s="313" t="s">
        <v>1038</v>
      </c>
      <c r="H76" s="286" t="s">
        <v>4</v>
      </c>
      <c r="I76" s="107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 t="str">
        <f>B5</f>
        <v>신한 #672</v>
      </c>
      <c r="C77" s="282" t="s">
        <v>1267</v>
      </c>
      <c r="D77" s="282" t="s">
        <v>1270</v>
      </c>
      <c r="E77" s="291"/>
      <c r="F77" s="284">
        <v>37430.0</v>
      </c>
      <c r="G77" s="313" t="s">
        <v>1038</v>
      </c>
      <c r="H77" s="286" t="s">
        <v>4</v>
      </c>
      <c r="I77" s="107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 t="str">
        <f>B5</f>
        <v>신한 #672</v>
      </c>
      <c r="C78" s="282" t="s">
        <v>1267</v>
      </c>
      <c r="D78" s="282" t="s">
        <v>1270</v>
      </c>
      <c r="E78" s="291"/>
      <c r="F78" s="284">
        <v>20660.0</v>
      </c>
      <c r="G78" s="313" t="s">
        <v>1039</v>
      </c>
      <c r="H78" s="286" t="s">
        <v>4</v>
      </c>
      <c r="I78" s="107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 t="str">
        <f>B5</f>
        <v>신한 #672</v>
      </c>
      <c r="C79" s="282" t="s">
        <v>1267</v>
      </c>
      <c r="D79" s="282" t="s">
        <v>1270</v>
      </c>
      <c r="E79" s="291"/>
      <c r="F79" s="284">
        <v>20660.0</v>
      </c>
      <c r="G79" s="313" t="s">
        <v>1039</v>
      </c>
      <c r="H79" s="286" t="s">
        <v>4</v>
      </c>
      <c r="I79" s="107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</row>
    <row r="80" ht="15.0" customHeight="1">
      <c r="A80" s="105"/>
      <c r="B80" s="281" t="str">
        <f>B5</f>
        <v>신한 #672</v>
      </c>
      <c r="C80" s="282" t="s">
        <v>1267</v>
      </c>
      <c r="D80" s="282" t="s">
        <v>623</v>
      </c>
      <c r="E80" s="291"/>
      <c r="F80" s="284">
        <v>4428054.0</v>
      </c>
      <c r="G80" s="313" t="s">
        <v>1045</v>
      </c>
      <c r="H80" s="286" t="s">
        <v>33</v>
      </c>
      <c r="I80" s="107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</row>
    <row r="81" ht="15.0" customHeight="1">
      <c r="A81" s="105"/>
      <c r="B81" s="281" t="str">
        <f>B5</f>
        <v>신한 #672</v>
      </c>
      <c r="C81" s="282" t="s">
        <v>1267</v>
      </c>
      <c r="D81" s="282" t="s">
        <v>1206</v>
      </c>
      <c r="E81" s="283"/>
      <c r="F81" s="284">
        <v>98000.0</v>
      </c>
      <c r="G81" s="313" t="s">
        <v>1047</v>
      </c>
      <c r="H81" s="286" t="s">
        <v>4</v>
      </c>
      <c r="I81" s="107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</row>
    <row r="82" ht="15.0" customHeight="1">
      <c r="A82" s="105"/>
      <c r="B82" s="281" t="str">
        <f>B7</f>
        <v>하나 #304</v>
      </c>
      <c r="C82" s="282" t="s">
        <v>1267</v>
      </c>
      <c r="D82" s="282" t="s">
        <v>1056</v>
      </c>
      <c r="E82" s="291"/>
      <c r="F82" s="326">
        <v>7809143.0</v>
      </c>
      <c r="G82" s="313" t="s">
        <v>1045</v>
      </c>
      <c r="H82" s="286" t="s">
        <v>33</v>
      </c>
      <c r="I82" s="107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ht="15.0" customHeight="1">
      <c r="A83" s="105"/>
      <c r="B83" s="281" t="str">
        <f>B7</f>
        <v>하나 #304</v>
      </c>
      <c r="C83" s="282" t="s">
        <v>1267</v>
      </c>
      <c r="D83" s="282" t="s">
        <v>41</v>
      </c>
      <c r="E83" s="291"/>
      <c r="F83" s="326">
        <v>7.5097288E7</v>
      </c>
      <c r="G83" s="313" t="s">
        <v>1271</v>
      </c>
      <c r="H83" s="286" t="s">
        <v>39</v>
      </c>
      <c r="I83" s="107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</row>
    <row r="84" ht="15.0" customHeight="1">
      <c r="A84" s="105"/>
      <c r="B84" s="281" t="str">
        <f>B7</f>
        <v>하나 #304</v>
      </c>
      <c r="C84" s="282" t="s">
        <v>1267</v>
      </c>
      <c r="D84" s="282" t="s">
        <v>1272</v>
      </c>
      <c r="E84" s="291"/>
      <c r="F84" s="326">
        <v>150500.0</v>
      </c>
      <c r="G84" s="313" t="s">
        <v>1273</v>
      </c>
      <c r="H84" s="286" t="s">
        <v>39</v>
      </c>
      <c r="I84" s="107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</row>
    <row r="85" ht="15.0" customHeight="1">
      <c r="A85" s="105"/>
      <c r="B85" s="281" t="str">
        <f>B7</f>
        <v>하나 #304</v>
      </c>
      <c r="C85" s="282" t="s">
        <v>1267</v>
      </c>
      <c r="D85" s="282" t="s">
        <v>1052</v>
      </c>
      <c r="E85" s="291"/>
      <c r="F85" s="326">
        <v>2.00005E7</v>
      </c>
      <c r="G85" s="313" t="s">
        <v>1268</v>
      </c>
      <c r="H85" s="286" t="s">
        <v>556</v>
      </c>
      <c r="I85" s="107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</row>
    <row r="86" ht="15.0" customHeight="1">
      <c r="A86" s="105"/>
      <c r="B86" s="281" t="str">
        <f>B7</f>
        <v>하나 #304</v>
      </c>
      <c r="C86" s="282" t="s">
        <v>1267</v>
      </c>
      <c r="D86" s="282" t="s">
        <v>1274</v>
      </c>
      <c r="E86" s="291"/>
      <c r="F86" s="326">
        <v>309940.0</v>
      </c>
      <c r="G86" s="313" t="s">
        <v>1275</v>
      </c>
      <c r="H86" s="286" t="s">
        <v>39</v>
      </c>
      <c r="I86" s="107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</row>
    <row r="87" ht="15.0" customHeight="1">
      <c r="A87" s="105"/>
      <c r="B87" s="281" t="str">
        <f>B7</f>
        <v>하나 #304</v>
      </c>
      <c r="C87" s="282" t="s">
        <v>1276</v>
      </c>
      <c r="D87" s="282" t="s">
        <v>1274</v>
      </c>
      <c r="E87" s="326">
        <v>309440.0</v>
      </c>
      <c r="F87" s="326"/>
      <c r="G87" s="313" t="s">
        <v>1275</v>
      </c>
      <c r="H87" s="286" t="s">
        <v>39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B7</f>
        <v>하나 #304</v>
      </c>
      <c r="C88" s="282" t="s">
        <v>1276</v>
      </c>
      <c r="D88" s="282" t="s">
        <v>1131</v>
      </c>
      <c r="E88" s="291"/>
      <c r="F88" s="326">
        <v>309940.0</v>
      </c>
      <c r="G88" s="313" t="s">
        <v>1275</v>
      </c>
      <c r="H88" s="286" t="s">
        <v>39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B5</f>
        <v>신한 #672</v>
      </c>
      <c r="C89" s="282" t="s">
        <v>1277</v>
      </c>
      <c r="D89" s="282" t="s">
        <v>1210</v>
      </c>
      <c r="E89" s="283"/>
      <c r="F89" s="284">
        <v>1.1E7</v>
      </c>
      <c r="G89" s="313" t="s">
        <v>1211</v>
      </c>
      <c r="H89" s="286" t="s">
        <v>930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B8</f>
        <v>하나 #138</v>
      </c>
      <c r="C90" s="282" t="s">
        <v>1277</v>
      </c>
      <c r="D90" s="282" t="s">
        <v>899</v>
      </c>
      <c r="E90" s="332">
        <v>49995.0</v>
      </c>
      <c r="F90" s="332"/>
      <c r="G90" s="313" t="s">
        <v>1118</v>
      </c>
      <c r="H90" s="286" t="s">
        <v>556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B8</f>
        <v>하나 #138</v>
      </c>
      <c r="C91" s="282" t="s">
        <v>1278</v>
      </c>
      <c r="D91" s="282" t="s">
        <v>899</v>
      </c>
      <c r="E91" s="332"/>
      <c r="F91" s="332">
        <v>49995.0</v>
      </c>
      <c r="G91" s="313" t="s">
        <v>679</v>
      </c>
      <c r="H91" s="286" t="s">
        <v>556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B7</f>
        <v>하나 #304</v>
      </c>
      <c r="C92" s="282" t="s">
        <v>1278</v>
      </c>
      <c r="D92" s="282" t="s">
        <v>899</v>
      </c>
      <c r="E92" s="326">
        <v>6.5562943E7</v>
      </c>
      <c r="F92" s="326"/>
      <c r="G92" s="313" t="s">
        <v>679</v>
      </c>
      <c r="H92" s="286" t="s">
        <v>556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B7</f>
        <v>하나 #304</v>
      </c>
      <c r="C93" s="282" t="s">
        <v>1278</v>
      </c>
      <c r="D93" s="282" t="s">
        <v>1279</v>
      </c>
      <c r="E93" s="326"/>
      <c r="F93" s="326">
        <v>4.563638E7</v>
      </c>
      <c r="G93" s="313" t="s">
        <v>1280</v>
      </c>
      <c r="H93" s="286" t="s">
        <v>41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B7</f>
        <v>하나 #304</v>
      </c>
      <c r="C94" s="282" t="s">
        <v>1278</v>
      </c>
      <c r="D94" s="282" t="s">
        <v>899</v>
      </c>
      <c r="E94" s="326"/>
      <c r="F94" s="326">
        <v>1.00005E7</v>
      </c>
      <c r="G94" s="313" t="s">
        <v>1268</v>
      </c>
      <c r="H94" s="286" t="s">
        <v>556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B5</f>
        <v>신한 #672</v>
      </c>
      <c r="C95" s="282" t="s">
        <v>1278</v>
      </c>
      <c r="D95" s="282" t="s">
        <v>899</v>
      </c>
      <c r="E95" s="326">
        <v>1.0E7</v>
      </c>
      <c r="F95" s="326"/>
      <c r="G95" s="313" t="s">
        <v>1268</v>
      </c>
      <c r="H95" s="286" t="s">
        <v>556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B9</f>
        <v>WISE USD</v>
      </c>
      <c r="C96" s="282" t="s">
        <v>1278</v>
      </c>
      <c r="D96" s="282" t="s">
        <v>899</v>
      </c>
      <c r="E96" s="291">
        <v>1995.86</v>
      </c>
      <c r="F96" s="292"/>
      <c r="G96" s="313" t="s">
        <v>1268</v>
      </c>
      <c r="H96" s="286" t="s">
        <v>556</v>
      </c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B12</f>
        <v>OCBC USD</v>
      </c>
      <c r="C97" s="282" t="s">
        <v>1255</v>
      </c>
      <c r="D97" s="282" t="s">
        <v>899</v>
      </c>
      <c r="E97" s="291"/>
      <c r="F97" s="292">
        <v>1000.0</v>
      </c>
      <c r="G97" s="313" t="s">
        <v>1281</v>
      </c>
      <c r="H97" s="286" t="s">
        <v>556</v>
      </c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B12</f>
        <v>OCBC USD</v>
      </c>
      <c r="C98" s="282" t="s">
        <v>1255</v>
      </c>
      <c r="D98" s="282" t="s">
        <v>828</v>
      </c>
      <c r="E98" s="291"/>
      <c r="F98" s="292">
        <v>22.42</v>
      </c>
      <c r="G98" s="313" t="s">
        <v>1079</v>
      </c>
      <c r="H98" s="286" t="s">
        <v>33</v>
      </c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B12</f>
        <v>OCBC USD</v>
      </c>
      <c r="C99" s="282" t="s">
        <v>1255</v>
      </c>
      <c r="D99" s="282" t="s">
        <v>899</v>
      </c>
      <c r="E99" s="291"/>
      <c r="F99" s="292">
        <v>70000.0</v>
      </c>
      <c r="G99" s="313" t="s">
        <v>1118</v>
      </c>
      <c r="H99" s="286" t="s">
        <v>556</v>
      </c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B12</f>
        <v>OCBC USD</v>
      </c>
      <c r="C100" s="282" t="s">
        <v>1255</v>
      </c>
      <c r="D100" s="282" t="s">
        <v>828</v>
      </c>
      <c r="E100" s="291"/>
      <c r="F100" s="292">
        <v>43.0</v>
      </c>
      <c r="G100" s="313" t="s">
        <v>1079</v>
      </c>
      <c r="H100" s="286" t="s">
        <v>33</v>
      </c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B12</f>
        <v>OCBC USD</v>
      </c>
      <c r="C101" s="282" t="s">
        <v>1255</v>
      </c>
      <c r="D101" s="282" t="s">
        <v>828</v>
      </c>
      <c r="E101" s="291"/>
      <c r="F101" s="292">
        <v>15.0</v>
      </c>
      <c r="G101" s="313" t="s">
        <v>1079</v>
      </c>
      <c r="H101" s="286" t="s">
        <v>33</v>
      </c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B12</f>
        <v>OCBC USD</v>
      </c>
      <c r="C102" s="282" t="s">
        <v>1277</v>
      </c>
      <c r="D102" s="282" t="s">
        <v>899</v>
      </c>
      <c r="E102" s="291"/>
      <c r="F102" s="292">
        <v>2000.0</v>
      </c>
      <c r="G102" s="313" t="s">
        <v>1268</v>
      </c>
      <c r="H102" s="286" t="s">
        <v>556</v>
      </c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B12</f>
        <v>OCBC USD</v>
      </c>
      <c r="C103" s="282" t="s">
        <v>1277</v>
      </c>
      <c r="D103" s="282" t="s">
        <v>828</v>
      </c>
      <c r="E103" s="291"/>
      <c r="F103" s="292">
        <v>43.0</v>
      </c>
      <c r="G103" s="313" t="s">
        <v>1079</v>
      </c>
      <c r="H103" s="286" t="s">
        <v>33</v>
      </c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B12</f>
        <v>OCBC USD</v>
      </c>
      <c r="C104" s="282" t="s">
        <v>1277</v>
      </c>
      <c r="D104" s="282" t="s">
        <v>828</v>
      </c>
      <c r="E104" s="291"/>
      <c r="F104" s="292">
        <v>15.0</v>
      </c>
      <c r="G104" s="313" t="s">
        <v>1079</v>
      </c>
      <c r="H104" s="286" t="s">
        <v>33</v>
      </c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B12</f>
        <v>OCBC USD</v>
      </c>
      <c r="C105" s="282" t="s">
        <v>1277</v>
      </c>
      <c r="D105" s="282" t="s">
        <v>899</v>
      </c>
      <c r="E105" s="291"/>
      <c r="F105" s="292">
        <v>50000.0</v>
      </c>
      <c r="G105" s="313" t="s">
        <v>1118</v>
      </c>
      <c r="H105" s="286" t="s">
        <v>556</v>
      </c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>B12</f>
        <v>OCBC USD</v>
      </c>
      <c r="C106" s="282" t="s">
        <v>1277</v>
      </c>
      <c r="D106" s="282" t="s">
        <v>828</v>
      </c>
      <c r="E106" s="291"/>
      <c r="F106" s="292">
        <v>43.0</v>
      </c>
      <c r="G106" s="313" t="s">
        <v>1079</v>
      </c>
      <c r="H106" s="286" t="s">
        <v>33</v>
      </c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>B12</f>
        <v>OCBC USD</v>
      </c>
      <c r="C107" s="282" t="s">
        <v>1277</v>
      </c>
      <c r="D107" s="282" t="s">
        <v>828</v>
      </c>
      <c r="E107" s="291"/>
      <c r="F107" s="292">
        <v>15.0</v>
      </c>
      <c r="G107" s="313" t="s">
        <v>1079</v>
      </c>
      <c r="H107" s="286" t="s">
        <v>33</v>
      </c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 t="shared" ref="B108:B109" si="7">B12</f>
        <v>OCBC USD</v>
      </c>
      <c r="C108" s="282" t="s">
        <v>1277</v>
      </c>
      <c r="D108" s="282" t="s">
        <v>899</v>
      </c>
      <c r="E108" s="291">
        <v>1000.0</v>
      </c>
      <c r="F108" s="292"/>
      <c r="G108" s="313" t="s">
        <v>1282</v>
      </c>
      <c r="H108" s="286" t="s">
        <v>556</v>
      </c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167" t="str">
        <f t="shared" si="7"/>
        <v>OCBC SGD</v>
      </c>
      <c r="C109" s="282" t="s">
        <v>1283</v>
      </c>
      <c r="D109" s="282" t="s">
        <v>828</v>
      </c>
      <c r="E109" s="283"/>
      <c r="F109" s="292">
        <v>10.0</v>
      </c>
      <c r="G109" s="313" t="s">
        <v>1079</v>
      </c>
      <c r="H109" s="286" t="s">
        <v>33</v>
      </c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167" t="str">
        <f>B13</f>
        <v>OCBC SGD</v>
      </c>
      <c r="C110" s="282" t="s">
        <v>1278</v>
      </c>
      <c r="D110" s="282" t="s">
        <v>828</v>
      </c>
      <c r="E110" s="283"/>
      <c r="F110" s="292">
        <v>15.0</v>
      </c>
      <c r="G110" s="313" t="s">
        <v>1079</v>
      </c>
      <c r="H110" s="286" t="s">
        <v>33</v>
      </c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</sheetData>
  <autoFilter ref="$B$21:$H$202">
    <sortState ref="B21:H202">
      <sortCondition ref="B21:B202"/>
    </sortState>
  </autoFilter>
  <customSheetViews>
    <customSheetView guid="{CD2BF927-9D79-47FC-BBA8-927062D6B3F5}" filter="1" showAutoFilter="1">
      <autoFilter ref="$B$21:$H$202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02">
      <formula1>$L:$L</formula1>
    </dataValidation>
  </dataValidations>
  <hyperlinks>
    <hyperlink r:id="rId1" ref="I3"/>
    <hyperlink r:id="rId2" ref="I4"/>
    <hyperlink r:id="rId3" ref="D55"/>
  </hyperlinks>
  <printOptions/>
  <pageMargins bottom="0.75" footer="0.0" header="0.0" left="0.25" right="0.25" top="0.75"/>
  <pageSetup fitToHeight="0" paperSize="9" orientation="portrait"/>
  <drawing r:id="rId4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6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1284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'23.05월'!G5</f>
        <v>21550092</v>
      </c>
      <c r="E5" s="227">
        <f>sumif(B22:B184,B5,E22:E186)</f>
        <v>30004999</v>
      </c>
      <c r="F5" s="228">
        <f>sumif(B22:B126,B5,F22:F187)</f>
        <v>30841057</v>
      </c>
      <c r="G5" s="229">
        <f t="shared" ref="G5:G13" si="1">D5+E5-F5</f>
        <v>20714034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'23.05월'!G6</f>
        <v>2.31</v>
      </c>
      <c r="E6" s="233">
        <f>sumif(B22:B186,B6,E22:E186)</f>
        <v>0</v>
      </c>
      <c r="F6" s="234">
        <f>sumif(B22:B126,B6,F22:F186)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'23.05월'!G7</f>
        <v>20535786</v>
      </c>
      <c r="E7" s="237">
        <f>sumif(B22:B186,B7,E22:E186)</f>
        <v>129556871</v>
      </c>
      <c r="F7" s="238">
        <f>sumif(B22:B126,B7,F22:F186)</f>
        <v>146820392</v>
      </c>
      <c r="G7" s="239">
        <f t="shared" si="1"/>
        <v>3272265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'23.05월'!G8</f>
        <v>0</v>
      </c>
      <c r="E8" s="240">
        <f>sumif(B22:B186,B8,E22:E186)</f>
        <v>100000.12</v>
      </c>
      <c r="F8" s="234">
        <f>sumif(B22:B126,B8,F22:F186)</f>
        <v>100000</v>
      </c>
      <c r="G8" s="235">
        <f t="shared" si="1"/>
        <v>0.12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'23.05월'!G9</f>
        <v>12084.56</v>
      </c>
      <c r="E9" s="240">
        <f>sumif(B22:B126,B9,E22:E186)</f>
        <v>447995.98</v>
      </c>
      <c r="F9" s="329">
        <f>sumif(B22:B126,B9,F22:F186)</f>
        <v>139469.69</v>
      </c>
      <c r="G9" s="329">
        <f t="shared" si="1"/>
        <v>320610.85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'23.05월'!G10</f>
        <v>0</v>
      </c>
      <c r="E10" s="242">
        <f>sumif(B22:B184,B10,E22:E126)</f>
        <v>0</v>
      </c>
      <c r="F10" s="319">
        <f>sumif(B22:B126,B10,F22:F186)</f>
        <v>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'23.05월'!G11</f>
        <v>0</v>
      </c>
      <c r="E11" s="245">
        <f>sumif(B22:B186,B11,E22:E186)</f>
        <v>0</v>
      </c>
      <c r="F11" s="238">
        <f>sumif(B22:B126,B11,F22:F186)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'23.05월'!G12</f>
        <v>834892.85</v>
      </c>
      <c r="E12" s="240">
        <f>sumif(B22:B129,B12,E22:E129)</f>
        <v>0</v>
      </c>
      <c r="F12" s="234">
        <f>sumif(B22:B125,B12,F22:F187)</f>
        <v>448058.12</v>
      </c>
      <c r="G12" s="235">
        <f t="shared" si="1"/>
        <v>386834.73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'23.05월'!G13</f>
        <v>755</v>
      </c>
      <c r="E13" s="308">
        <f>sumif(B22:B186,B13,E22:E187)</f>
        <v>0</v>
      </c>
      <c r="F13" s="309">
        <f>sumif(B22:B125,B13,F22:F187)</f>
        <v>25</v>
      </c>
      <c r="G13" s="310">
        <f t="shared" si="1"/>
        <v>730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42085878</v>
      </c>
      <c r="E15" s="262">
        <f t="shared" si="2"/>
        <v>159561870</v>
      </c>
      <c r="F15" s="263">
        <f t="shared" si="2"/>
        <v>177661449</v>
      </c>
      <c r="G15" s="264">
        <f>G5+G11+G7</f>
        <v>23986299</v>
      </c>
      <c r="H15" s="265">
        <f>G15</f>
        <v>23986299</v>
      </c>
      <c r="I15" s="265">
        <f>D15</f>
        <v>42085878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846979.72</v>
      </c>
      <c r="E16" s="269">
        <f t="shared" si="3"/>
        <v>547996.1</v>
      </c>
      <c r="F16" s="270">
        <f t="shared" si="3"/>
        <v>687527.81</v>
      </c>
      <c r="G16" s="271">
        <f>G9+G6+G8+G12</f>
        <v>707448.01</v>
      </c>
      <c r="H16" s="265">
        <f>rounddown(G16*$J$3,0)</f>
        <v>1041876370</v>
      </c>
      <c r="I16" s="265">
        <f>rounddown(D16*$J$3,0)</f>
        <v>1247368208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755</v>
      </c>
      <c r="E17" s="274">
        <f t="shared" si="4"/>
        <v>0</v>
      </c>
      <c r="F17" s="275">
        <f t="shared" si="4"/>
        <v>25</v>
      </c>
      <c r="G17" s="276">
        <f t="shared" si="4"/>
        <v>730</v>
      </c>
      <c r="H17" s="277">
        <f>rounddown(G17*$J$4,0)</f>
        <v>835036</v>
      </c>
      <c r="I17" s="277">
        <f>rounddown(D17*$J$4,0)</f>
        <v>863633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1066697705</v>
      </c>
      <c r="I18" s="279">
        <f t="shared" si="5"/>
        <v>1290317719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-223620014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B9</f>
        <v>WISE USD</v>
      </c>
      <c r="C22" s="323" t="s">
        <v>1285</v>
      </c>
      <c r="D22" s="323" t="s">
        <v>740</v>
      </c>
      <c r="E22" s="325"/>
      <c r="F22" s="337">
        <v>10422.68</v>
      </c>
      <c r="G22" s="327" t="s">
        <v>1286</v>
      </c>
      <c r="H22" s="328" t="s">
        <v>41</v>
      </c>
      <c r="I22" s="107"/>
      <c r="J22" s="141"/>
      <c r="K22" s="138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B9</f>
        <v>WISE USD</v>
      </c>
      <c r="C23" s="323" t="s">
        <v>1285</v>
      </c>
      <c r="D23" s="323" t="s">
        <v>740</v>
      </c>
      <c r="E23" s="325"/>
      <c r="F23" s="337">
        <v>90.92</v>
      </c>
      <c r="G23" s="327" t="s">
        <v>1287</v>
      </c>
      <c r="H23" s="328" t="s">
        <v>4</v>
      </c>
      <c r="I23" s="107"/>
      <c r="J23" s="141"/>
      <c r="K23" s="13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B9</f>
        <v>WISE USD</v>
      </c>
      <c r="C24" s="323" t="s">
        <v>1285</v>
      </c>
      <c r="D24" s="323" t="s">
        <v>1061</v>
      </c>
      <c r="E24" s="325"/>
      <c r="F24" s="337">
        <v>0.39</v>
      </c>
      <c r="G24" s="327" t="s">
        <v>1288</v>
      </c>
      <c r="H24" s="328" t="s">
        <v>33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B12</f>
        <v>OCBC USD</v>
      </c>
      <c r="C25" s="323" t="s">
        <v>1285</v>
      </c>
      <c r="D25" s="323" t="s">
        <v>899</v>
      </c>
      <c r="E25" s="337"/>
      <c r="F25" s="337">
        <v>448000.12</v>
      </c>
      <c r="G25" s="327" t="s">
        <v>1268</v>
      </c>
      <c r="H25" s="328" t="s">
        <v>556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OCBC USD</v>
      </c>
      <c r="C26" s="323" t="s">
        <v>1285</v>
      </c>
      <c r="D26" s="282" t="s">
        <v>828</v>
      </c>
      <c r="E26" s="337"/>
      <c r="F26" s="337">
        <v>43.0</v>
      </c>
      <c r="G26" s="313" t="s">
        <v>1079</v>
      </c>
      <c r="H26" s="286" t="s">
        <v>33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B12</f>
        <v>OCBC USD</v>
      </c>
      <c r="C27" s="323" t="s">
        <v>1285</v>
      </c>
      <c r="D27" s="282" t="s">
        <v>828</v>
      </c>
      <c r="E27" s="337"/>
      <c r="F27" s="337">
        <v>15.0</v>
      </c>
      <c r="G27" s="313" t="s">
        <v>1079</v>
      </c>
      <c r="H27" s="286" t="s">
        <v>33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B9</f>
        <v>WISE USD</v>
      </c>
      <c r="C28" s="323" t="s">
        <v>1289</v>
      </c>
      <c r="D28" s="323" t="s">
        <v>899</v>
      </c>
      <c r="E28" s="337">
        <v>447995.98</v>
      </c>
      <c r="F28" s="325"/>
      <c r="G28" s="327" t="s">
        <v>1268</v>
      </c>
      <c r="H28" s="328" t="s">
        <v>556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>
      <c r="A29" s="338"/>
      <c r="B29" s="281" t="str">
        <f>B9</f>
        <v>WISE USD</v>
      </c>
      <c r="C29" s="323" t="s">
        <v>1289</v>
      </c>
      <c r="D29" s="323" t="s">
        <v>1290</v>
      </c>
      <c r="E29" s="339"/>
      <c r="F29" s="340">
        <v>393.75</v>
      </c>
      <c r="G29" s="340" t="s">
        <v>1291</v>
      </c>
      <c r="H29" s="328" t="s">
        <v>39</v>
      </c>
      <c r="I29" s="338"/>
      <c r="J29" s="338"/>
      <c r="K29" s="338"/>
      <c r="L29" s="338"/>
      <c r="M29" s="338"/>
      <c r="N29" s="338"/>
      <c r="O29" s="338"/>
      <c r="P29" s="338"/>
      <c r="Q29" s="338"/>
      <c r="R29" s="338"/>
      <c r="S29" s="338"/>
      <c r="T29" s="338"/>
      <c r="U29" s="338"/>
      <c r="V29" s="338"/>
      <c r="W29" s="338"/>
      <c r="X29" s="338"/>
      <c r="Y29" s="338"/>
    </row>
    <row r="30" ht="15.0" customHeight="1">
      <c r="A30" s="341"/>
      <c r="B30" s="281" t="str">
        <f>B9</f>
        <v>WISE USD</v>
      </c>
      <c r="C30" s="323" t="s">
        <v>1289</v>
      </c>
      <c r="D30" s="323" t="s">
        <v>1292</v>
      </c>
      <c r="E30" s="325"/>
      <c r="F30" s="337">
        <v>14.39</v>
      </c>
      <c r="G30" s="327" t="s">
        <v>1292</v>
      </c>
      <c r="H30" s="328" t="s">
        <v>33</v>
      </c>
      <c r="I30" s="341"/>
      <c r="J30" s="342"/>
      <c r="K30" s="342"/>
      <c r="L30" s="341"/>
      <c r="M30" s="341"/>
      <c r="N30" s="341"/>
      <c r="O30" s="341"/>
      <c r="P30" s="341"/>
      <c r="Q30" s="341"/>
      <c r="R30" s="341"/>
      <c r="S30" s="341"/>
      <c r="T30" s="341"/>
      <c r="U30" s="341"/>
      <c r="V30" s="341"/>
      <c r="W30" s="341"/>
      <c r="X30" s="341"/>
      <c r="Y30" s="341"/>
    </row>
    <row r="31" ht="15.0" customHeight="1">
      <c r="A31" s="105"/>
      <c r="B31" s="281" t="str">
        <f>B7</f>
        <v>하나 #304</v>
      </c>
      <c r="C31" s="323" t="s">
        <v>1289</v>
      </c>
      <c r="D31" s="323" t="s">
        <v>789</v>
      </c>
      <c r="E31" s="325"/>
      <c r="F31" s="325">
        <f>6123810+500</f>
        <v>6124310</v>
      </c>
      <c r="G31" s="327" t="s">
        <v>1293</v>
      </c>
      <c r="H31" s="328" t="s">
        <v>33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B7</f>
        <v>하나 #304</v>
      </c>
      <c r="C32" s="323" t="s">
        <v>1289</v>
      </c>
      <c r="D32" s="323" t="s">
        <v>1230</v>
      </c>
      <c r="E32" s="325"/>
      <c r="F32" s="325">
        <f>825000+500</f>
        <v>825500</v>
      </c>
      <c r="G32" s="327" t="s">
        <v>1294</v>
      </c>
      <c r="H32" s="328" t="s">
        <v>33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B5</f>
        <v>신한 #672</v>
      </c>
      <c r="C33" s="323" t="s">
        <v>1285</v>
      </c>
      <c r="D33" s="323" t="s">
        <v>920</v>
      </c>
      <c r="E33" s="325"/>
      <c r="F33" s="325">
        <v>77000.0</v>
      </c>
      <c r="G33" s="327" t="s">
        <v>1006</v>
      </c>
      <c r="H33" s="328" t="s">
        <v>33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B8</f>
        <v>하나 #138</v>
      </c>
      <c r="C34" s="323" t="s">
        <v>1295</v>
      </c>
      <c r="D34" s="323" t="s">
        <v>899</v>
      </c>
      <c r="E34" s="337">
        <v>100000.0</v>
      </c>
      <c r="F34" s="325"/>
      <c r="G34" s="327" t="s">
        <v>1268</v>
      </c>
      <c r="H34" s="328" t="s">
        <v>556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B8</f>
        <v>하나 #138</v>
      </c>
      <c r="C35" s="323" t="s">
        <v>1295</v>
      </c>
      <c r="D35" s="323" t="s">
        <v>899</v>
      </c>
      <c r="E35" s="337"/>
      <c r="F35" s="337">
        <v>100000.0</v>
      </c>
      <c r="G35" s="327" t="s">
        <v>1268</v>
      </c>
      <c r="H35" s="328" t="s">
        <v>556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B7</f>
        <v>하나 #304</v>
      </c>
      <c r="C36" s="323" t="s">
        <v>1295</v>
      </c>
      <c r="D36" s="323" t="s">
        <v>1296</v>
      </c>
      <c r="E36" s="325">
        <v>1.29548E8</v>
      </c>
      <c r="F36" s="325"/>
      <c r="G36" s="327" t="s">
        <v>679</v>
      </c>
      <c r="H36" s="328" t="s">
        <v>556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B7</f>
        <v>하나 #304</v>
      </c>
      <c r="C37" s="323" t="s">
        <v>1295</v>
      </c>
      <c r="D37" s="323" t="s">
        <v>1297</v>
      </c>
      <c r="E37" s="337"/>
      <c r="F37" s="325">
        <v>1.975505E7</v>
      </c>
      <c r="G37" s="327" t="s">
        <v>1298</v>
      </c>
      <c r="H37" s="328" t="s">
        <v>31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B7</f>
        <v>하나 #304</v>
      </c>
      <c r="C38" s="323" t="s">
        <v>1295</v>
      </c>
      <c r="D38" s="323" t="s">
        <v>1299</v>
      </c>
      <c r="E38" s="339"/>
      <c r="F38" s="325">
        <v>1976350.0</v>
      </c>
      <c r="G38" s="327" t="s">
        <v>1300</v>
      </c>
      <c r="H38" s="328" t="s">
        <v>31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B7</f>
        <v>하나 #304</v>
      </c>
      <c r="C39" s="323" t="s">
        <v>1295</v>
      </c>
      <c r="D39" s="323" t="s">
        <v>1297</v>
      </c>
      <c r="E39" s="325"/>
      <c r="F39" s="325">
        <v>9450.0</v>
      </c>
      <c r="G39" s="327" t="s">
        <v>1301</v>
      </c>
      <c r="H39" s="328" t="s">
        <v>31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B7</f>
        <v>하나 #304</v>
      </c>
      <c r="C40" s="323" t="s">
        <v>1295</v>
      </c>
      <c r="D40" s="323" t="s">
        <v>1094</v>
      </c>
      <c r="E40" s="343"/>
      <c r="F40" s="325">
        <v>4244500.0</v>
      </c>
      <c r="G40" s="327" t="s">
        <v>1248</v>
      </c>
      <c r="H40" s="328" t="s">
        <v>33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B7</f>
        <v>하나 #304</v>
      </c>
      <c r="C41" s="323" t="s">
        <v>1295</v>
      </c>
      <c r="D41" s="323" t="s">
        <v>1296</v>
      </c>
      <c r="E41" s="325"/>
      <c r="F41" s="325">
        <v>3.00005E7</v>
      </c>
      <c r="G41" s="327" t="s">
        <v>1035</v>
      </c>
      <c r="H41" s="328" t="s">
        <v>556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323" t="s">
        <v>1295</v>
      </c>
      <c r="D42" s="323" t="s">
        <v>1296</v>
      </c>
      <c r="E42" s="325">
        <v>3.0E7</v>
      </c>
      <c r="F42" s="337"/>
      <c r="G42" s="327" t="s">
        <v>1035</v>
      </c>
      <c r="H42" s="328" t="s">
        <v>556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WISE USD</v>
      </c>
      <c r="C43" s="323" t="s">
        <v>1302</v>
      </c>
      <c r="D43" s="323" t="s">
        <v>1303</v>
      </c>
      <c r="E43" s="325"/>
      <c r="F43" s="337">
        <v>27395.0</v>
      </c>
      <c r="G43" s="327" t="s">
        <v>1304</v>
      </c>
      <c r="H43" s="328" t="s">
        <v>930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B9</f>
        <v>WISE USD</v>
      </c>
      <c r="C44" s="323" t="s">
        <v>1302</v>
      </c>
      <c r="D44" s="323" t="s">
        <v>1061</v>
      </c>
      <c r="E44" s="337"/>
      <c r="F44" s="337">
        <v>14.39</v>
      </c>
      <c r="G44" s="327" t="s">
        <v>1305</v>
      </c>
      <c r="H44" s="328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WISE USD</v>
      </c>
      <c r="C45" s="323" t="s">
        <v>1302</v>
      </c>
      <c r="D45" s="323" t="s">
        <v>899</v>
      </c>
      <c r="E45" s="337"/>
      <c r="F45" s="337">
        <v>100000.0</v>
      </c>
      <c r="G45" s="327" t="s">
        <v>1118</v>
      </c>
      <c r="H45" s="328" t="s">
        <v>556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WISE USD</v>
      </c>
      <c r="C46" s="323" t="s">
        <v>1302</v>
      </c>
      <c r="D46" s="323" t="s">
        <v>1061</v>
      </c>
      <c r="E46" s="337"/>
      <c r="F46" s="337">
        <v>14.39</v>
      </c>
      <c r="G46" s="327" t="s">
        <v>1305</v>
      </c>
      <c r="H46" s="328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WISE USD</v>
      </c>
      <c r="C47" s="323" t="s">
        <v>1306</v>
      </c>
      <c r="D47" s="323" t="s">
        <v>1254</v>
      </c>
      <c r="E47" s="337"/>
      <c r="F47" s="337">
        <v>1113.78</v>
      </c>
      <c r="G47" s="327" t="s">
        <v>1068</v>
      </c>
      <c r="H47" s="328" t="s">
        <v>33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B5</f>
        <v>신한 #672</v>
      </c>
      <c r="C48" s="323" t="s">
        <v>1306</v>
      </c>
      <c r="D48" s="323" t="s">
        <v>1307</v>
      </c>
      <c r="E48" s="325"/>
      <c r="F48" s="325">
        <v>6056380.0</v>
      </c>
      <c r="G48" s="327" t="s">
        <v>1307</v>
      </c>
      <c r="H48" s="328" t="s">
        <v>31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44" t="str">
        <f>B5</f>
        <v>신한 #672</v>
      </c>
      <c r="C49" s="323" t="s">
        <v>1306</v>
      </c>
      <c r="D49" s="323" t="s">
        <v>1308</v>
      </c>
      <c r="E49" s="325"/>
      <c r="F49" s="325">
        <v>6279260.0</v>
      </c>
      <c r="G49" s="327" t="s">
        <v>1308</v>
      </c>
      <c r="H49" s="328" t="s">
        <v>31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44" t="str">
        <f>B5</f>
        <v>신한 #672</v>
      </c>
      <c r="C50" s="323" t="s">
        <v>1306</v>
      </c>
      <c r="D50" s="323" t="s">
        <v>1309</v>
      </c>
      <c r="E50" s="337"/>
      <c r="F50" s="325">
        <v>1200510.0</v>
      </c>
      <c r="G50" s="327" t="s">
        <v>1309</v>
      </c>
      <c r="H50" s="328" t="s">
        <v>31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B5</f>
        <v>신한 #672</v>
      </c>
      <c r="C51" s="323" t="s">
        <v>1306</v>
      </c>
      <c r="D51" s="323" t="s">
        <v>1310</v>
      </c>
      <c r="E51" s="325"/>
      <c r="F51" s="325">
        <v>444900.0</v>
      </c>
      <c r="G51" s="327" t="s">
        <v>1310</v>
      </c>
      <c r="H51" s="328" t="s">
        <v>31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167" t="str">
        <f>B13</f>
        <v>OCBC SGD</v>
      </c>
      <c r="C52" s="282" t="s">
        <v>1289</v>
      </c>
      <c r="D52" s="282" t="s">
        <v>828</v>
      </c>
      <c r="E52" s="283"/>
      <c r="F52" s="292">
        <v>10.0</v>
      </c>
      <c r="G52" s="313" t="s">
        <v>1079</v>
      </c>
      <c r="H52" s="286" t="s">
        <v>33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167" t="str">
        <f>B13</f>
        <v>OCBC SGD</v>
      </c>
      <c r="C53" s="282" t="s">
        <v>1311</v>
      </c>
      <c r="D53" s="282" t="s">
        <v>828</v>
      </c>
      <c r="E53" s="283"/>
      <c r="F53" s="292">
        <v>15.0</v>
      </c>
      <c r="G53" s="313" t="s">
        <v>1079</v>
      </c>
      <c r="H53" s="286" t="s">
        <v>33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B5</f>
        <v>신한 #672</v>
      </c>
      <c r="C54" s="282" t="s">
        <v>1312</v>
      </c>
      <c r="D54" s="282" t="s">
        <v>1120</v>
      </c>
      <c r="E54" s="284">
        <v>4999.0</v>
      </c>
      <c r="F54" s="332"/>
      <c r="G54" s="313" t="s">
        <v>906</v>
      </c>
      <c r="H54" s="286" t="s">
        <v>75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 t="shared" ref="B55:B56" si="6">B7</f>
        <v>하나 #304</v>
      </c>
      <c r="C55" s="282" t="s">
        <v>1312</v>
      </c>
      <c r="D55" s="282" t="s">
        <v>1115</v>
      </c>
      <c r="E55" s="284">
        <v>8871.0</v>
      </c>
      <c r="F55" s="332"/>
      <c r="G55" s="313" t="s">
        <v>906</v>
      </c>
      <c r="H55" s="286" t="s">
        <v>75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 t="shared" si="6"/>
        <v>하나 #138</v>
      </c>
      <c r="C56" s="282" t="s">
        <v>1312</v>
      </c>
      <c r="D56" s="282" t="s">
        <v>1115</v>
      </c>
      <c r="E56" s="337">
        <v>0.12</v>
      </c>
      <c r="F56" s="284"/>
      <c r="G56" s="313" t="s">
        <v>906</v>
      </c>
      <c r="H56" s="286" t="s">
        <v>75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</f>
        <v>신한 #672</v>
      </c>
      <c r="C57" s="282" t="s">
        <v>1313</v>
      </c>
      <c r="D57" s="282" t="s">
        <v>982</v>
      </c>
      <c r="E57" s="284"/>
      <c r="F57" s="284">
        <v>110000.0</v>
      </c>
      <c r="G57" s="313" t="s">
        <v>1033</v>
      </c>
      <c r="H57" s="286" t="s">
        <v>33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282" t="s">
        <v>1314</v>
      </c>
      <c r="D58" s="282" t="s">
        <v>1315</v>
      </c>
      <c r="E58" s="284"/>
      <c r="F58" s="284">
        <v>572000.0</v>
      </c>
      <c r="G58" s="313" t="s">
        <v>1316</v>
      </c>
      <c r="H58" s="286" t="s">
        <v>930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B7</f>
        <v>하나 #304</v>
      </c>
      <c r="C59" s="282" t="s">
        <v>1314</v>
      </c>
      <c r="D59" s="282" t="s">
        <v>41</v>
      </c>
      <c r="E59" s="284"/>
      <c r="F59" s="284">
        <v>7.8738716E7</v>
      </c>
      <c r="G59" s="313" t="s">
        <v>1317</v>
      </c>
      <c r="H59" s="286" t="s">
        <v>41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B9</f>
        <v>WISE USD</v>
      </c>
      <c r="C60" s="282" t="s">
        <v>1318</v>
      </c>
      <c r="D60" s="296" t="s">
        <v>542</v>
      </c>
      <c r="E60" s="283"/>
      <c r="F60" s="291">
        <v>10.0</v>
      </c>
      <c r="G60" s="313" t="s">
        <v>1068</v>
      </c>
      <c r="H60" s="286" t="s">
        <v>33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B7</f>
        <v>하나 #304</v>
      </c>
      <c r="C61" s="282" t="s">
        <v>1319</v>
      </c>
      <c r="D61" s="282" t="s">
        <v>1056</v>
      </c>
      <c r="E61" s="291"/>
      <c r="F61" s="326">
        <v>5146016.0</v>
      </c>
      <c r="G61" s="313" t="s">
        <v>1045</v>
      </c>
      <c r="H61" s="286" t="s">
        <v>33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282" t="s">
        <v>1319</v>
      </c>
      <c r="D62" s="282" t="s">
        <v>1320</v>
      </c>
      <c r="E62" s="291"/>
      <c r="F62" s="284">
        <v>55770.0</v>
      </c>
      <c r="G62" s="313" t="s">
        <v>1044</v>
      </c>
      <c r="H62" s="286" t="s">
        <v>4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B5</f>
        <v>신한 #672</v>
      </c>
      <c r="C63" s="282" t="s">
        <v>1319</v>
      </c>
      <c r="D63" s="282" t="s">
        <v>604</v>
      </c>
      <c r="E63" s="291"/>
      <c r="F63" s="284">
        <v>110000.0</v>
      </c>
      <c r="G63" s="313" t="s">
        <v>1041</v>
      </c>
      <c r="H63" s="286" t="s">
        <v>33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B5</f>
        <v>신한 #672</v>
      </c>
      <c r="C64" s="282" t="s">
        <v>1319</v>
      </c>
      <c r="D64" s="282" t="s">
        <v>497</v>
      </c>
      <c r="E64" s="283"/>
      <c r="F64" s="284">
        <v>330000.0</v>
      </c>
      <c r="G64" s="313" t="s">
        <v>1042</v>
      </c>
      <c r="H64" s="286" t="s">
        <v>33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B5</f>
        <v>신한 #672</v>
      </c>
      <c r="C65" s="282" t="s">
        <v>1319</v>
      </c>
      <c r="D65" s="282" t="s">
        <v>1321</v>
      </c>
      <c r="E65" s="291"/>
      <c r="F65" s="284">
        <v>20660.0</v>
      </c>
      <c r="G65" s="313" t="s">
        <v>1038</v>
      </c>
      <c r="H65" s="286" t="s">
        <v>4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B5</f>
        <v>신한 #672</v>
      </c>
      <c r="C66" s="282" t="s">
        <v>1319</v>
      </c>
      <c r="D66" s="282" t="s">
        <v>1321</v>
      </c>
      <c r="E66" s="291"/>
      <c r="F66" s="284">
        <v>20660.0</v>
      </c>
      <c r="G66" s="313" t="s">
        <v>1038</v>
      </c>
      <c r="H66" s="286" t="s">
        <v>4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B5</f>
        <v>신한 #672</v>
      </c>
      <c r="C67" s="282" t="s">
        <v>1319</v>
      </c>
      <c r="D67" s="282" t="s">
        <v>1321</v>
      </c>
      <c r="E67" s="291"/>
      <c r="F67" s="284">
        <v>37430.0</v>
      </c>
      <c r="G67" s="313" t="s">
        <v>1039</v>
      </c>
      <c r="H67" s="286" t="s">
        <v>4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B5</f>
        <v>신한 #672</v>
      </c>
      <c r="C68" s="282" t="s">
        <v>1319</v>
      </c>
      <c r="D68" s="282" t="s">
        <v>1321</v>
      </c>
      <c r="E68" s="291"/>
      <c r="F68" s="284">
        <v>50250.0</v>
      </c>
      <c r="G68" s="313" t="s">
        <v>1040</v>
      </c>
      <c r="H68" s="286" t="s">
        <v>4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B5</f>
        <v>신한 #672</v>
      </c>
      <c r="C69" s="282" t="s">
        <v>1319</v>
      </c>
      <c r="D69" s="282" t="s">
        <v>1321</v>
      </c>
      <c r="E69" s="291"/>
      <c r="F69" s="284">
        <v>37430.0</v>
      </c>
      <c r="G69" s="313" t="s">
        <v>1039</v>
      </c>
      <c r="H69" s="286" t="s">
        <v>4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B5</f>
        <v>신한 #672</v>
      </c>
      <c r="C70" s="282" t="s">
        <v>1319</v>
      </c>
      <c r="D70" s="282" t="s">
        <v>623</v>
      </c>
      <c r="E70" s="291"/>
      <c r="F70" s="284">
        <v>4263807.0</v>
      </c>
      <c r="G70" s="313" t="s">
        <v>1045</v>
      </c>
      <c r="H70" s="286" t="s">
        <v>33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B5</f>
        <v>신한 #672</v>
      </c>
      <c r="C71" s="282" t="s">
        <v>1319</v>
      </c>
      <c r="D71" s="282" t="s">
        <v>1322</v>
      </c>
      <c r="E71" s="291"/>
      <c r="F71" s="284">
        <v>98000.0</v>
      </c>
      <c r="G71" s="313" t="s">
        <v>1047</v>
      </c>
      <c r="H71" s="286" t="s">
        <v>4</v>
      </c>
      <c r="I71" s="107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B5</f>
        <v>신한 #672</v>
      </c>
      <c r="C72" s="282" t="s">
        <v>1323</v>
      </c>
      <c r="D72" s="282" t="s">
        <v>1210</v>
      </c>
      <c r="E72" s="283"/>
      <c r="F72" s="284">
        <v>1.1E7</v>
      </c>
      <c r="G72" s="313" t="s">
        <v>1211</v>
      </c>
      <c r="H72" s="286" t="s">
        <v>930</v>
      </c>
      <c r="I72" s="107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B5</f>
        <v>신한 #672</v>
      </c>
      <c r="C73" s="323" t="s">
        <v>1311</v>
      </c>
      <c r="D73" s="323" t="s">
        <v>920</v>
      </c>
      <c r="E73" s="325"/>
      <c r="F73" s="325">
        <v>77000.0</v>
      </c>
      <c r="G73" s="327" t="s">
        <v>1006</v>
      </c>
      <c r="H73" s="328" t="s">
        <v>33</v>
      </c>
      <c r="I73" s="107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/>
      <c r="C74" s="282"/>
      <c r="D74" s="282"/>
      <c r="E74" s="291"/>
      <c r="F74" s="284"/>
      <c r="G74" s="313"/>
      <c r="H74" s="286"/>
      <c r="I74" s="107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281"/>
      <c r="C75" s="282"/>
      <c r="D75" s="282"/>
      <c r="E75" s="291"/>
      <c r="F75" s="284"/>
      <c r="G75" s="313"/>
      <c r="H75" s="286"/>
      <c r="I75" s="107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281"/>
      <c r="C76" s="282"/>
      <c r="D76" s="282"/>
      <c r="E76" s="291"/>
      <c r="F76" s="284"/>
      <c r="G76" s="313"/>
      <c r="H76" s="286"/>
      <c r="I76" s="107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/>
      <c r="C77" s="282"/>
      <c r="D77" s="282"/>
      <c r="E77" s="291"/>
      <c r="F77" s="284"/>
      <c r="G77" s="313"/>
      <c r="H77" s="286"/>
      <c r="I77" s="107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/>
      <c r="C78" s="282"/>
      <c r="D78" s="282"/>
      <c r="E78" s="291"/>
      <c r="F78" s="284"/>
      <c r="G78" s="313"/>
      <c r="H78" s="286"/>
      <c r="I78" s="107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/>
      <c r="C79" s="282"/>
      <c r="D79" s="282"/>
      <c r="E79" s="291"/>
      <c r="F79" s="284"/>
      <c r="G79" s="313"/>
      <c r="H79" s="286"/>
      <c r="I79" s="107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</row>
    <row r="80" ht="15.0" customHeight="1">
      <c r="A80" s="105"/>
      <c r="B80" s="281"/>
      <c r="C80" s="282"/>
      <c r="D80" s="282"/>
      <c r="E80" s="291"/>
      <c r="F80" s="284"/>
      <c r="G80" s="313"/>
      <c r="H80" s="286"/>
      <c r="I80" s="107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</row>
    <row r="81" ht="15.0" customHeight="1">
      <c r="A81" s="105"/>
      <c r="B81" s="281"/>
      <c r="C81" s="282"/>
      <c r="D81" s="282"/>
      <c r="E81" s="291"/>
      <c r="F81" s="284"/>
      <c r="G81" s="313"/>
      <c r="H81" s="286"/>
      <c r="I81" s="107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</row>
    <row r="82" ht="15.0" customHeight="1">
      <c r="A82" s="105"/>
      <c r="B82" s="281"/>
      <c r="C82" s="282"/>
      <c r="D82" s="282"/>
      <c r="E82" s="284"/>
      <c r="F82" s="284"/>
      <c r="G82" s="313"/>
      <c r="H82" s="286"/>
      <c r="I82" s="107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ht="15.0" customHeight="1">
      <c r="A83" s="105"/>
      <c r="B83" s="281"/>
      <c r="C83" s="282"/>
      <c r="D83" s="282"/>
      <c r="E83" s="291"/>
      <c r="F83" s="284"/>
      <c r="G83" s="313"/>
      <c r="H83" s="286"/>
      <c r="I83" s="107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</row>
    <row r="84" ht="15.0" customHeight="1">
      <c r="A84" s="105"/>
      <c r="B84" s="281"/>
      <c r="C84" s="282"/>
      <c r="D84" s="282"/>
      <c r="E84" s="291"/>
      <c r="F84" s="284"/>
      <c r="G84" s="313"/>
      <c r="H84" s="286"/>
      <c r="I84" s="107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</row>
    <row r="85" ht="15.0" customHeight="1">
      <c r="A85" s="105"/>
      <c r="B85" s="281"/>
      <c r="C85" s="282"/>
      <c r="D85" s="282"/>
      <c r="E85" s="291"/>
      <c r="F85" s="284"/>
      <c r="G85" s="313"/>
      <c r="H85" s="286"/>
      <c r="I85" s="107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</row>
    <row r="86" ht="15.0" customHeight="1">
      <c r="A86" s="105"/>
      <c r="B86" s="281"/>
      <c r="C86" s="282"/>
      <c r="D86" s="282"/>
      <c r="E86" s="291"/>
      <c r="F86" s="284"/>
      <c r="G86" s="313"/>
      <c r="H86" s="286"/>
      <c r="I86" s="107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</row>
    <row r="87" ht="15.0" customHeight="1">
      <c r="A87" s="105"/>
      <c r="B87" s="281"/>
      <c r="C87" s="282"/>
      <c r="D87" s="282"/>
      <c r="E87" s="291"/>
      <c r="F87" s="284"/>
      <c r="G87" s="313"/>
      <c r="H87" s="286"/>
      <c r="I87" s="107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</row>
    <row r="88" ht="15.0" customHeight="1">
      <c r="A88" s="105"/>
      <c r="B88" s="281"/>
      <c r="C88" s="282"/>
      <c r="D88" s="282"/>
      <c r="E88" s="291"/>
      <c r="F88" s="284"/>
      <c r="G88" s="313"/>
      <c r="H88" s="286"/>
      <c r="I88" s="107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</row>
    <row r="89" ht="15.0" customHeight="1">
      <c r="A89" s="105"/>
      <c r="B89" s="281"/>
      <c r="C89" s="282"/>
      <c r="D89" s="282"/>
      <c r="E89" s="291"/>
      <c r="F89" s="284"/>
      <c r="G89" s="313"/>
      <c r="H89" s="286"/>
      <c r="I89" s="107"/>
      <c r="J89" s="141"/>
      <c r="K89" s="141"/>
      <c r="L89" s="141"/>
      <c r="M89" s="141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</row>
    <row r="90" ht="15.0" customHeight="1">
      <c r="A90" s="105"/>
      <c r="B90" s="281"/>
      <c r="C90" s="282"/>
      <c r="D90" s="282"/>
      <c r="E90" s="291"/>
      <c r="F90" s="284"/>
      <c r="G90" s="313"/>
      <c r="H90" s="286"/>
      <c r="I90" s="107"/>
      <c r="J90" s="141"/>
      <c r="K90" s="141"/>
      <c r="L90" s="141"/>
      <c r="M90" s="141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</row>
    <row r="91" ht="15.0" customHeight="1">
      <c r="A91" s="105"/>
      <c r="B91" s="281"/>
      <c r="C91" s="282"/>
      <c r="D91" s="282"/>
      <c r="E91" s="291"/>
      <c r="F91" s="284"/>
      <c r="G91" s="313"/>
      <c r="H91" s="286"/>
      <c r="I91" s="107"/>
      <c r="J91" s="141"/>
      <c r="K91" s="141"/>
      <c r="L91" s="141"/>
      <c r="M91" s="141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</row>
    <row r="92" ht="15.0" customHeight="1">
      <c r="A92" s="105"/>
      <c r="B92" s="281"/>
      <c r="C92" s="282"/>
      <c r="D92" s="282"/>
      <c r="E92" s="283"/>
      <c r="F92" s="284"/>
      <c r="G92" s="313"/>
      <c r="H92" s="286"/>
      <c r="I92" s="107"/>
      <c r="J92" s="141"/>
      <c r="K92" s="141"/>
      <c r="L92" s="141"/>
      <c r="M92" s="141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</row>
    <row r="93" ht="15.0" customHeight="1">
      <c r="A93" s="105"/>
      <c r="B93" s="281"/>
      <c r="C93" s="282"/>
      <c r="D93" s="282"/>
      <c r="E93" s="291"/>
      <c r="F93" s="326"/>
      <c r="G93" s="313"/>
      <c r="H93" s="286"/>
      <c r="I93" s="107"/>
      <c r="J93" s="141"/>
      <c r="K93" s="141"/>
      <c r="L93" s="141"/>
      <c r="M93" s="141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</row>
    <row r="94" ht="15.0" customHeight="1">
      <c r="A94" s="105"/>
      <c r="B94" s="281"/>
      <c r="C94" s="282"/>
      <c r="D94" s="282"/>
      <c r="E94" s="291"/>
      <c r="F94" s="326"/>
      <c r="G94" s="313"/>
      <c r="H94" s="286"/>
      <c r="I94" s="107"/>
      <c r="J94" s="141"/>
      <c r="K94" s="141"/>
      <c r="L94" s="141"/>
      <c r="M94" s="141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</row>
    <row r="95" ht="15.0" customHeight="1">
      <c r="A95" s="105"/>
      <c r="B95" s="281"/>
      <c r="C95" s="282"/>
      <c r="D95" s="282"/>
      <c r="E95" s="291"/>
      <c r="F95" s="326"/>
      <c r="G95" s="313"/>
      <c r="H95" s="286"/>
      <c r="I95" s="107"/>
      <c r="J95" s="141"/>
      <c r="K95" s="141"/>
      <c r="L95" s="141"/>
      <c r="M95" s="141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</row>
    <row r="96" ht="15.0" customHeight="1">
      <c r="A96" s="105"/>
      <c r="B96" s="281"/>
      <c r="C96" s="282"/>
      <c r="D96" s="282"/>
      <c r="E96" s="291"/>
      <c r="F96" s="326"/>
      <c r="G96" s="313"/>
      <c r="H96" s="286"/>
      <c r="I96" s="107"/>
      <c r="J96" s="141"/>
      <c r="K96" s="141"/>
      <c r="L96" s="141"/>
      <c r="M96" s="141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</row>
    <row r="97" ht="15.0" customHeight="1">
      <c r="A97" s="105"/>
      <c r="B97" s="281"/>
      <c r="C97" s="282"/>
      <c r="D97" s="282"/>
      <c r="E97" s="291"/>
      <c r="F97" s="326"/>
      <c r="G97" s="313"/>
      <c r="H97" s="286"/>
      <c r="I97" s="107"/>
      <c r="J97" s="141"/>
      <c r="K97" s="141"/>
      <c r="L97" s="141"/>
      <c r="M97" s="141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</row>
    <row r="98" ht="15.0" customHeight="1">
      <c r="A98" s="105"/>
      <c r="B98" s="281"/>
      <c r="C98" s="282"/>
      <c r="D98" s="282"/>
      <c r="E98" s="326"/>
      <c r="F98" s="326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326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83"/>
      <c r="F100" s="284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332"/>
      <c r="F102" s="33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332"/>
      <c r="F103" s="33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326"/>
      <c r="F104" s="326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326"/>
      <c r="F105" s="326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326"/>
      <c r="F106" s="326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326"/>
      <c r="F107" s="326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B198" s="281"/>
      <c r="C198" s="282"/>
      <c r="D198" s="282"/>
      <c r="E198" s="291"/>
      <c r="F198" s="292"/>
      <c r="G198" s="313"/>
      <c r="H198" s="286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B199" s="281"/>
      <c r="C199" s="282"/>
      <c r="D199" s="282"/>
      <c r="E199" s="291"/>
      <c r="F199" s="292"/>
      <c r="G199" s="313"/>
      <c r="H199" s="286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B200" s="281"/>
      <c r="C200" s="282"/>
      <c r="D200" s="282"/>
      <c r="E200" s="291"/>
      <c r="F200" s="292"/>
      <c r="G200" s="313"/>
      <c r="H200" s="286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B201" s="281"/>
      <c r="C201" s="282"/>
      <c r="D201" s="282"/>
      <c r="E201" s="291"/>
      <c r="F201" s="292"/>
      <c r="G201" s="313"/>
      <c r="H201" s="286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B202" s="281"/>
      <c r="C202" s="282"/>
      <c r="D202" s="282"/>
      <c r="E202" s="291"/>
      <c r="F202" s="292"/>
      <c r="G202" s="313"/>
      <c r="H202" s="286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B203" s="281"/>
      <c r="C203" s="282"/>
      <c r="D203" s="282"/>
      <c r="E203" s="291"/>
      <c r="F203" s="292"/>
      <c r="G203" s="313"/>
      <c r="H203" s="286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B204" s="281"/>
      <c r="C204" s="282"/>
      <c r="D204" s="282"/>
      <c r="E204" s="291"/>
      <c r="F204" s="292"/>
      <c r="G204" s="313"/>
      <c r="H204" s="286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B205" s="281"/>
      <c r="C205" s="282"/>
      <c r="D205" s="282"/>
      <c r="E205" s="291"/>
      <c r="F205" s="292"/>
      <c r="G205" s="313"/>
      <c r="H205" s="286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B206" s="281"/>
      <c r="C206" s="282"/>
      <c r="D206" s="282"/>
      <c r="E206" s="291"/>
      <c r="F206" s="292"/>
      <c r="G206" s="313"/>
      <c r="H206" s="286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</sheetData>
  <autoFilter ref="$B$21:$H$206">
    <sortState ref="B21:H206">
      <sortCondition ref="B21:B206"/>
    </sortState>
  </autoFilter>
  <customSheetViews>
    <customSheetView guid="{CD2BF927-9D79-47FC-BBA8-927062D6B3F5}" filter="1" showAutoFilter="1">
      <autoFilter ref="$B$21:$H$206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206">
      <formula1>$L:$L</formula1>
    </dataValidation>
  </dataValidations>
  <hyperlinks>
    <hyperlink r:id="rId1" ref="I3"/>
    <hyperlink r:id="rId2" ref="I4"/>
    <hyperlink r:id="rId3" ref="D60"/>
  </hyperlinks>
  <printOptions/>
  <pageMargins bottom="0.75" footer="0.0" header="0.0" left="0.25" right="0.25" top="0.75"/>
  <pageSetup fitToHeight="0" paperSize="9" orientation="portrait"/>
  <drawing r:id="rId4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6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15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1324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'23.06월'!G5</f>
        <v>20714034</v>
      </c>
      <c r="E5" s="227">
        <f>sumif(B22:B175,B5,E22:E177)</f>
        <v>30000000</v>
      </c>
      <c r="F5" s="228">
        <f>sumif(B22:B117,B5,F22:F178)</f>
        <v>31973499</v>
      </c>
      <c r="G5" s="229">
        <f t="shared" ref="G5:G13" si="1">D5+E5-F5</f>
        <v>18740535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'23.06월'!G6</f>
        <v>2.31</v>
      </c>
      <c r="E6" s="233">
        <f>sumif(B22:B177,B6,E22:E177)</f>
        <v>0</v>
      </c>
      <c r="F6" s="234">
        <f>sumif(B22:B117,B6,F22:F177)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'23.06월'!G7</f>
        <v>3272265</v>
      </c>
      <c r="E7" s="237">
        <f>sumif(B22:B177,B7,E22:E177)</f>
        <v>129468000</v>
      </c>
      <c r="F7" s="238">
        <f>sumif(B22:B117,B7,F22:F177)</f>
        <v>130213403</v>
      </c>
      <c r="G7" s="239">
        <f t="shared" si="1"/>
        <v>2526862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'23.06월'!G8</f>
        <v>0.12</v>
      </c>
      <c r="E8" s="240">
        <f>sumif(B22:B177,B8,E22:E177)</f>
        <v>100000</v>
      </c>
      <c r="F8" s="234">
        <f>sumif(B22:B117,B8,F22:F177)</f>
        <v>100000</v>
      </c>
      <c r="G8" s="235">
        <f t="shared" si="1"/>
        <v>0.12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'23.06월'!G9</f>
        <v>320610.85</v>
      </c>
      <c r="E9" s="240">
        <f>sumif(B22:B117,B9,E22:E177)</f>
        <v>1814.39</v>
      </c>
      <c r="F9" s="329">
        <f>sumif(B22:B117,B9,F22:F177)</f>
        <v>124145.97</v>
      </c>
      <c r="G9" s="329">
        <f t="shared" si="1"/>
        <v>198279.27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'23.06월'!G10</f>
        <v>0</v>
      </c>
      <c r="E10" s="242">
        <f>sumif(B22:B175,B10,E22:E117)</f>
        <v>0</v>
      </c>
      <c r="F10" s="319">
        <f>sumif(B22:B117,B10,F22:F177)</f>
        <v>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'23.06월'!G11</f>
        <v>0</v>
      </c>
      <c r="E11" s="245">
        <f>sumif(B22:B177,B11,E22:E177)</f>
        <v>0</v>
      </c>
      <c r="F11" s="238">
        <f>sumif(B22:B117,B11,F22:F177)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'23.06월'!G12</f>
        <v>386834.73</v>
      </c>
      <c r="E12" s="240">
        <f>sumif(B22:B120,B12,E22:E120)</f>
        <v>0</v>
      </c>
      <c r="F12" s="234">
        <f>sumif(B22:B116,B12,F22:F178)</f>
        <v>0</v>
      </c>
      <c r="G12" s="235">
        <f t="shared" si="1"/>
        <v>386834.73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'23.06월'!G13</f>
        <v>730</v>
      </c>
      <c r="E13" s="308">
        <f>sumif(B22:B177,B13,E22:E178)</f>
        <v>0</v>
      </c>
      <c r="F13" s="309">
        <f>sumif(B22:B116,B13,F22:F178)</f>
        <v>25</v>
      </c>
      <c r="G13" s="310">
        <f t="shared" si="1"/>
        <v>705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23986299</v>
      </c>
      <c r="E15" s="262">
        <f t="shared" si="2"/>
        <v>159468000</v>
      </c>
      <c r="F15" s="263">
        <f t="shared" si="2"/>
        <v>162186902</v>
      </c>
      <c r="G15" s="345">
        <f>G5+G11+G7</f>
        <v>21267397</v>
      </c>
      <c r="H15" s="265">
        <f>G15</f>
        <v>21267397</v>
      </c>
      <c r="I15" s="265">
        <f>D15</f>
        <v>23986299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707448.01</v>
      </c>
      <c r="E16" s="269">
        <f t="shared" si="3"/>
        <v>101814.39</v>
      </c>
      <c r="F16" s="270">
        <f t="shared" si="3"/>
        <v>224145.97</v>
      </c>
      <c r="G16" s="346">
        <f>G9+G6+G8+G12</f>
        <v>585116.43</v>
      </c>
      <c r="H16" s="265">
        <f>rounddown(G16*$J$3,0)</f>
        <v>861715594</v>
      </c>
      <c r="I16" s="265">
        <f>rounddown(D16*$J$3,0)</f>
        <v>1041876370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730</v>
      </c>
      <c r="E17" s="274">
        <f t="shared" si="4"/>
        <v>0</v>
      </c>
      <c r="F17" s="275">
        <f t="shared" si="4"/>
        <v>25</v>
      </c>
      <c r="G17" s="347">
        <f t="shared" si="4"/>
        <v>705</v>
      </c>
      <c r="H17" s="277">
        <f>rounddown(G17*$J$4,0)</f>
        <v>806438</v>
      </c>
      <c r="I17" s="277">
        <f>rounddown(D17*$J$4,0)</f>
        <v>835036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883789429</v>
      </c>
      <c r="I18" s="279">
        <f t="shared" si="5"/>
        <v>1066697705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-182908276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B9</f>
        <v>WISE USD</v>
      </c>
      <c r="C22" s="323" t="s">
        <v>1325</v>
      </c>
      <c r="D22" s="323" t="s">
        <v>740</v>
      </c>
      <c r="E22" s="325"/>
      <c r="F22" s="337">
        <v>10422.68</v>
      </c>
      <c r="G22" s="327" t="s">
        <v>1326</v>
      </c>
      <c r="H22" s="328" t="s">
        <v>41</v>
      </c>
      <c r="I22" s="107"/>
      <c r="J22" s="141"/>
      <c r="K22" s="138"/>
      <c r="L22" s="83" t="s">
        <v>1327</v>
      </c>
      <c r="M22" s="84" t="s">
        <v>1328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B9</f>
        <v>WISE USD</v>
      </c>
      <c r="C23" s="323" t="s">
        <v>1325</v>
      </c>
      <c r="D23" s="323" t="s">
        <v>1061</v>
      </c>
      <c r="E23" s="325"/>
      <c r="F23" s="337">
        <v>0.39</v>
      </c>
      <c r="G23" s="327" t="s">
        <v>1329</v>
      </c>
      <c r="H23" s="328" t="s">
        <v>33</v>
      </c>
      <c r="I23" s="107"/>
      <c r="J23" s="141"/>
      <c r="K23" s="138"/>
      <c r="L23" s="99"/>
      <c r="M23" s="99"/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B7</f>
        <v>하나 #304</v>
      </c>
      <c r="C24" s="323" t="s">
        <v>1330</v>
      </c>
      <c r="D24" s="323" t="s">
        <v>1331</v>
      </c>
      <c r="E24" s="325"/>
      <c r="F24" s="325">
        <v>100000.0</v>
      </c>
      <c r="G24" s="327" t="s">
        <v>1332</v>
      </c>
      <c r="H24" s="328" t="s">
        <v>4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B9</f>
        <v>WISE USD</v>
      </c>
      <c r="C25" s="323" t="s">
        <v>1333</v>
      </c>
      <c r="D25" s="323" t="s">
        <v>634</v>
      </c>
      <c r="E25" s="337"/>
      <c r="F25" s="337">
        <v>100000.0</v>
      </c>
      <c r="G25" s="327" t="s">
        <v>1268</v>
      </c>
      <c r="H25" s="328" t="s">
        <v>556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B9</f>
        <v>WISE USD</v>
      </c>
      <c r="C26" s="323" t="s">
        <v>1333</v>
      </c>
      <c r="D26" s="323" t="s">
        <v>1292</v>
      </c>
      <c r="E26" s="325"/>
      <c r="F26" s="337">
        <v>14.39</v>
      </c>
      <c r="G26" s="327" t="s">
        <v>1292</v>
      </c>
      <c r="H26" s="328" t="s">
        <v>33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B8</f>
        <v>하나 #138</v>
      </c>
      <c r="C27" s="323" t="s">
        <v>1334</v>
      </c>
      <c r="D27" s="323" t="s">
        <v>634</v>
      </c>
      <c r="E27" s="337">
        <v>100000.0</v>
      </c>
      <c r="F27" s="337"/>
      <c r="G27" s="327" t="s">
        <v>1268</v>
      </c>
      <c r="H27" s="328" t="s">
        <v>556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B8</f>
        <v>하나 #138</v>
      </c>
      <c r="C28" s="323" t="s">
        <v>1335</v>
      </c>
      <c r="D28" s="323" t="s">
        <v>632</v>
      </c>
      <c r="E28" s="337"/>
      <c r="F28" s="337">
        <v>100000.0</v>
      </c>
      <c r="G28" s="327" t="s">
        <v>679</v>
      </c>
      <c r="H28" s="328" t="s">
        <v>556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B7</f>
        <v>하나 #304</v>
      </c>
      <c r="C29" s="323" t="s">
        <v>1335</v>
      </c>
      <c r="D29" s="323" t="s">
        <v>632</v>
      </c>
      <c r="E29" s="325">
        <v>1.29468E8</v>
      </c>
      <c r="F29" s="325"/>
      <c r="G29" s="327" t="s">
        <v>679</v>
      </c>
      <c r="H29" s="328" t="s">
        <v>556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B7</f>
        <v>하나 #304</v>
      </c>
      <c r="C30" s="323" t="s">
        <v>1336</v>
      </c>
      <c r="D30" s="323" t="s">
        <v>1089</v>
      </c>
      <c r="E30" s="325"/>
      <c r="F30" s="325">
        <v>6947970.0</v>
      </c>
      <c r="G30" s="327" t="s">
        <v>1337</v>
      </c>
      <c r="H30" s="328" t="s">
        <v>31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B7</f>
        <v>하나 #304</v>
      </c>
      <c r="C31" s="323" t="s">
        <v>1336</v>
      </c>
      <c r="D31" s="323" t="s">
        <v>1017</v>
      </c>
      <c r="E31" s="325"/>
      <c r="F31" s="325">
        <v>694720.0</v>
      </c>
      <c r="G31" s="327" t="s">
        <v>1338</v>
      </c>
      <c r="H31" s="328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B7</f>
        <v>하나 #304</v>
      </c>
      <c r="C32" s="323" t="s">
        <v>1336</v>
      </c>
      <c r="D32" s="323" t="s">
        <v>1052</v>
      </c>
      <c r="E32" s="325"/>
      <c r="F32" s="325">
        <v>3.00005E7</v>
      </c>
      <c r="G32" s="327" t="s">
        <v>1035</v>
      </c>
      <c r="H32" s="328" t="s">
        <v>556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B7</f>
        <v>하나 #304</v>
      </c>
      <c r="C33" s="323" t="s">
        <v>1339</v>
      </c>
      <c r="D33" s="323" t="s">
        <v>122</v>
      </c>
      <c r="E33" s="325"/>
      <c r="F33" s="325">
        <v>300500.0</v>
      </c>
      <c r="G33" s="327" t="s">
        <v>1340</v>
      </c>
      <c r="H33" s="328" t="s">
        <v>1327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B5</f>
        <v>신한 #672</v>
      </c>
      <c r="C34" s="323" t="s">
        <v>1330</v>
      </c>
      <c r="D34" s="323" t="s">
        <v>1341</v>
      </c>
      <c r="E34" s="325">
        <v>0.0</v>
      </c>
      <c r="F34" s="325">
        <v>6096040.0</v>
      </c>
      <c r="G34" s="327" t="s">
        <v>1342</v>
      </c>
      <c r="H34" s="328" t="s">
        <v>33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323" t="s">
        <v>1330</v>
      </c>
      <c r="D35" s="323" t="s">
        <v>751</v>
      </c>
      <c r="E35" s="325">
        <v>0.0</v>
      </c>
      <c r="F35" s="325">
        <v>825000.0</v>
      </c>
      <c r="G35" s="327" t="s">
        <v>1343</v>
      </c>
      <c r="H35" s="328" t="s">
        <v>33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323" t="s">
        <v>1335</v>
      </c>
      <c r="D36" s="323" t="s">
        <v>1344</v>
      </c>
      <c r="E36" s="325">
        <v>0.0</v>
      </c>
      <c r="F36" s="325">
        <v>239977.0</v>
      </c>
      <c r="G36" s="327" t="s">
        <v>1345</v>
      </c>
      <c r="H36" s="328" t="s">
        <v>33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B5</f>
        <v>신한 #672</v>
      </c>
      <c r="C37" s="323" t="s">
        <v>1336</v>
      </c>
      <c r="D37" s="323" t="s">
        <v>1346</v>
      </c>
      <c r="E37" s="325">
        <v>0.0</v>
      </c>
      <c r="F37" s="325">
        <v>7330240.0</v>
      </c>
      <c r="G37" s="327" t="s">
        <v>1346</v>
      </c>
      <c r="H37" s="328" t="s">
        <v>31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323" t="s">
        <v>1336</v>
      </c>
      <c r="D38" s="323" t="s">
        <v>1347</v>
      </c>
      <c r="E38" s="325">
        <v>0.0</v>
      </c>
      <c r="F38" s="325">
        <v>1579220.0</v>
      </c>
      <c r="G38" s="327" t="s">
        <v>1347</v>
      </c>
      <c r="H38" s="328" t="s">
        <v>31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1336</v>
      </c>
      <c r="D39" s="323" t="s">
        <v>1348</v>
      </c>
      <c r="E39" s="325">
        <v>0.0</v>
      </c>
      <c r="F39" s="325">
        <v>585290.0</v>
      </c>
      <c r="G39" s="327" t="s">
        <v>1348</v>
      </c>
      <c r="H39" s="328" t="s">
        <v>31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323" t="s">
        <v>1336</v>
      </c>
      <c r="D40" s="323" t="s">
        <v>1203</v>
      </c>
      <c r="E40" s="325">
        <v>3.0E7</v>
      </c>
      <c r="F40" s="325">
        <v>0.0</v>
      </c>
      <c r="G40" s="327" t="s">
        <v>1035</v>
      </c>
      <c r="H40" s="328" t="s">
        <v>556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B5</f>
        <v>신한 #672</v>
      </c>
      <c r="C41" s="323" t="s">
        <v>1336</v>
      </c>
      <c r="D41" s="323" t="s">
        <v>1349</v>
      </c>
      <c r="E41" s="325">
        <v>0.0</v>
      </c>
      <c r="F41" s="325">
        <v>6543220.0</v>
      </c>
      <c r="G41" s="327" t="s">
        <v>1349</v>
      </c>
      <c r="H41" s="328" t="s">
        <v>31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WISE USD</v>
      </c>
      <c r="C42" s="323" t="s">
        <v>1336</v>
      </c>
      <c r="D42" s="323" t="s">
        <v>1350</v>
      </c>
      <c r="E42" s="325"/>
      <c r="F42" s="337">
        <v>9331.99</v>
      </c>
      <c r="G42" s="327" t="s">
        <v>1351</v>
      </c>
      <c r="H42" s="328" t="s">
        <v>33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WISE USD</v>
      </c>
      <c r="C43" s="323" t="s">
        <v>1336</v>
      </c>
      <c r="D43" s="323" t="s">
        <v>1292</v>
      </c>
      <c r="E43" s="325"/>
      <c r="F43" s="337">
        <v>14.39</v>
      </c>
      <c r="G43" s="327" t="s">
        <v>1292</v>
      </c>
      <c r="H43" s="328" t="s">
        <v>33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B5</f>
        <v>신한 #672</v>
      </c>
      <c r="C44" s="323" t="s">
        <v>1352</v>
      </c>
      <c r="D44" s="323" t="s">
        <v>1353</v>
      </c>
      <c r="E44" s="325"/>
      <c r="F44" s="325">
        <f>4950000</f>
        <v>4950000</v>
      </c>
      <c r="G44" s="327" t="s">
        <v>1354</v>
      </c>
      <c r="H44" s="328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B5</f>
        <v>신한 #672</v>
      </c>
      <c r="C45" s="323" t="s">
        <v>1352</v>
      </c>
      <c r="D45" s="323" t="s">
        <v>115</v>
      </c>
      <c r="E45" s="325"/>
      <c r="F45" s="325">
        <v>24800.0</v>
      </c>
      <c r="G45" s="327" t="s">
        <v>1355</v>
      </c>
      <c r="H45" s="328" t="s">
        <v>4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B5</f>
        <v>신한 #672</v>
      </c>
      <c r="C46" s="323" t="s">
        <v>1352</v>
      </c>
      <c r="D46" s="323" t="s">
        <v>1094</v>
      </c>
      <c r="E46" s="325"/>
      <c r="F46" s="325">
        <f>76310</f>
        <v>76310</v>
      </c>
      <c r="G46" s="327" t="s">
        <v>1191</v>
      </c>
      <c r="H46" s="328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B5</f>
        <v>신한 #672</v>
      </c>
      <c r="C47" s="323" t="s">
        <v>1352</v>
      </c>
      <c r="D47" s="323" t="s">
        <v>1120</v>
      </c>
      <c r="E47" s="325"/>
      <c r="F47" s="325">
        <v>1000.0</v>
      </c>
      <c r="G47" s="327" t="s">
        <v>1356</v>
      </c>
      <c r="H47" s="328" t="s">
        <v>33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B9</f>
        <v>WISE USD</v>
      </c>
      <c r="C48" s="323" t="s">
        <v>1357</v>
      </c>
      <c r="D48" s="323" t="s">
        <v>1358</v>
      </c>
      <c r="E48" s="337"/>
      <c r="F48" s="337">
        <v>1800.0</v>
      </c>
      <c r="G48" s="327" t="s">
        <v>1359</v>
      </c>
      <c r="H48" s="328" t="s">
        <v>39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B9</f>
        <v>WISE USD</v>
      </c>
      <c r="C49" s="323" t="s">
        <v>1357</v>
      </c>
      <c r="D49" s="323" t="s">
        <v>1360</v>
      </c>
      <c r="E49" s="337"/>
      <c r="F49" s="337">
        <v>14.39</v>
      </c>
      <c r="G49" s="327" t="s">
        <v>1119</v>
      </c>
      <c r="H49" s="286" t="s">
        <v>33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B9</f>
        <v>WISE USD</v>
      </c>
      <c r="C50" s="323" t="s">
        <v>1357</v>
      </c>
      <c r="D50" s="296" t="s">
        <v>542</v>
      </c>
      <c r="E50" s="283"/>
      <c r="F50" s="291">
        <v>10.0</v>
      </c>
      <c r="G50" s="313" t="s">
        <v>1068</v>
      </c>
      <c r="H50" s="286" t="s">
        <v>33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B5</f>
        <v>신한 #672</v>
      </c>
      <c r="C51" s="323" t="s">
        <v>1361</v>
      </c>
      <c r="D51" s="282" t="s">
        <v>982</v>
      </c>
      <c r="E51" s="284"/>
      <c r="F51" s="284">
        <v>110000.0</v>
      </c>
      <c r="G51" s="313" t="s">
        <v>1033</v>
      </c>
      <c r="H51" s="286" t="s">
        <v>33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44" t="str">
        <f>B7</f>
        <v>하나 #304</v>
      </c>
      <c r="C52" s="323" t="s">
        <v>1362</v>
      </c>
      <c r="D52" s="323" t="s">
        <v>1363</v>
      </c>
      <c r="E52" s="325"/>
      <c r="F52" s="325">
        <v>50000.0</v>
      </c>
      <c r="G52" s="327" t="s">
        <v>1363</v>
      </c>
      <c r="H52" s="328" t="s">
        <v>12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44" t="str">
        <f>B7</f>
        <v>하나 #304</v>
      </c>
      <c r="C53" s="323" t="s">
        <v>1364</v>
      </c>
      <c r="D53" s="282" t="s">
        <v>41</v>
      </c>
      <c r="E53" s="284"/>
      <c r="F53" s="284">
        <v>7.9872522E7</v>
      </c>
      <c r="G53" s="313" t="s">
        <v>1365</v>
      </c>
      <c r="H53" s="286" t="s">
        <v>41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44" t="str">
        <f>B7</f>
        <v>하나 #304</v>
      </c>
      <c r="C54" s="323" t="s">
        <v>1364</v>
      </c>
      <c r="D54" s="323" t="s">
        <v>1115</v>
      </c>
      <c r="E54" s="337"/>
      <c r="F54" s="325">
        <v>7500.0</v>
      </c>
      <c r="G54" s="313" t="s">
        <v>1366</v>
      </c>
      <c r="H54" s="286" t="s">
        <v>33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1364</v>
      </c>
      <c r="D55" s="282" t="s">
        <v>1056</v>
      </c>
      <c r="E55" s="291"/>
      <c r="F55" s="326">
        <v>8609191.0</v>
      </c>
      <c r="G55" s="313" t="s">
        <v>1045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167" t="str">
        <f>B7</f>
        <v>하나 #304</v>
      </c>
      <c r="C56" s="282" t="s">
        <v>1367</v>
      </c>
      <c r="D56" s="282" t="s">
        <v>1368</v>
      </c>
      <c r="E56" s="283"/>
      <c r="F56" s="326">
        <v>3630000.0</v>
      </c>
      <c r="G56" s="313" t="s">
        <v>1369</v>
      </c>
      <c r="H56" s="286" t="s">
        <v>16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B7</f>
        <v>하나 #304</v>
      </c>
      <c r="C57" s="282" t="s">
        <v>1367</v>
      </c>
      <c r="D57" s="323" t="s">
        <v>1115</v>
      </c>
      <c r="E57" s="284"/>
      <c r="F57" s="348">
        <v>500.0</v>
      </c>
      <c r="G57" s="313" t="s">
        <v>1119</v>
      </c>
      <c r="H57" s="286" t="s">
        <v>33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323" t="s">
        <v>1364</v>
      </c>
      <c r="D58" s="282" t="s">
        <v>1370</v>
      </c>
      <c r="E58" s="284"/>
      <c r="F58" s="348">
        <v>55690.0</v>
      </c>
      <c r="G58" s="313" t="s">
        <v>1044</v>
      </c>
      <c r="H58" s="286" t="s">
        <v>4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323" t="s">
        <v>1364</v>
      </c>
      <c r="D59" s="282" t="s">
        <v>1371</v>
      </c>
      <c r="E59" s="337"/>
      <c r="F59" s="284">
        <v>20660.0</v>
      </c>
      <c r="G59" s="313" t="s">
        <v>1038</v>
      </c>
      <c r="H59" s="286" t="s">
        <v>4</v>
      </c>
      <c r="I59" s="349"/>
      <c r="J59" s="99"/>
      <c r="K59" s="99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323" t="s">
        <v>1364</v>
      </c>
      <c r="D60" s="282" t="s">
        <v>1371</v>
      </c>
      <c r="E60" s="284"/>
      <c r="F60" s="284">
        <v>20660.0</v>
      </c>
      <c r="G60" s="313" t="s">
        <v>1038</v>
      </c>
      <c r="H60" s="286" t="s">
        <v>4</v>
      </c>
      <c r="I60" s="99"/>
      <c r="J60" s="99"/>
      <c r="K60" s="99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B5</f>
        <v>신한 #672</v>
      </c>
      <c r="C61" s="323" t="s">
        <v>1364</v>
      </c>
      <c r="D61" s="282" t="s">
        <v>1371</v>
      </c>
      <c r="E61" s="284"/>
      <c r="F61" s="284">
        <v>50250.0</v>
      </c>
      <c r="G61" s="313" t="s">
        <v>1040</v>
      </c>
      <c r="H61" s="286" t="s">
        <v>4</v>
      </c>
      <c r="I61" s="99"/>
      <c r="J61" s="99"/>
      <c r="K61" s="99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323" t="s">
        <v>1364</v>
      </c>
      <c r="D62" s="282" t="s">
        <v>1371</v>
      </c>
      <c r="E62" s="284"/>
      <c r="F62" s="284">
        <v>37430.0</v>
      </c>
      <c r="G62" s="313" t="s">
        <v>1039</v>
      </c>
      <c r="H62" s="286" t="s">
        <v>4</v>
      </c>
      <c r="I62" s="99"/>
      <c r="J62" s="99"/>
      <c r="K62" s="99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B5</f>
        <v>신한 #672</v>
      </c>
      <c r="C63" s="323" t="s">
        <v>1364</v>
      </c>
      <c r="D63" s="282" t="s">
        <v>1371</v>
      </c>
      <c r="E63" s="283"/>
      <c r="F63" s="283">
        <v>37430.0</v>
      </c>
      <c r="G63" s="313" t="s">
        <v>1039</v>
      </c>
      <c r="H63" s="286" t="s">
        <v>4</v>
      </c>
      <c r="I63" s="99"/>
      <c r="J63" s="99"/>
      <c r="K63" s="99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B5</f>
        <v>신한 #672</v>
      </c>
      <c r="C64" s="323" t="s">
        <v>1364</v>
      </c>
      <c r="D64" s="282" t="s">
        <v>497</v>
      </c>
      <c r="E64" s="291"/>
      <c r="F64" s="326">
        <v>330000.0</v>
      </c>
      <c r="G64" s="313" t="s">
        <v>1042</v>
      </c>
      <c r="H64" s="286" t="s">
        <v>33</v>
      </c>
      <c r="I64" s="99"/>
      <c r="J64" s="99"/>
      <c r="K64" s="99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B5</f>
        <v>신한 #672</v>
      </c>
      <c r="C65" s="323" t="s">
        <v>1364</v>
      </c>
      <c r="D65" s="282" t="s">
        <v>623</v>
      </c>
      <c r="E65" s="291"/>
      <c r="F65" s="284">
        <v>2656516.0</v>
      </c>
      <c r="G65" s="313" t="s">
        <v>1045</v>
      </c>
      <c r="H65" s="286" t="s">
        <v>33</v>
      </c>
      <c r="I65" s="99"/>
      <c r="J65" s="99"/>
      <c r="K65" s="99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B5</f>
        <v>신한 #672</v>
      </c>
      <c r="C66" s="323" t="s">
        <v>1364</v>
      </c>
      <c r="D66" s="282" t="s">
        <v>1372</v>
      </c>
      <c r="E66" s="291"/>
      <c r="F66" s="284">
        <v>98000.0</v>
      </c>
      <c r="G66" s="313" t="s">
        <v>1047</v>
      </c>
      <c r="H66" s="286" t="s">
        <v>4</v>
      </c>
      <c r="I66" s="99"/>
      <c r="J66" s="99"/>
      <c r="K66" s="99"/>
      <c r="L66" s="99"/>
      <c r="M66" s="99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B9</f>
        <v>WISE USD</v>
      </c>
      <c r="C67" s="323" t="s">
        <v>1373</v>
      </c>
      <c r="D67" s="323" t="s">
        <v>1358</v>
      </c>
      <c r="E67" s="337">
        <v>1814.39</v>
      </c>
      <c r="F67" s="337"/>
      <c r="G67" s="327" t="s">
        <v>1374</v>
      </c>
      <c r="H67" s="328" t="s">
        <v>39</v>
      </c>
      <c r="I67" s="99"/>
      <c r="J67" s="99"/>
      <c r="K67" s="99"/>
      <c r="L67" s="99"/>
      <c r="M67" s="99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B9</f>
        <v>WISE USD</v>
      </c>
      <c r="C68" s="323" t="s">
        <v>1361</v>
      </c>
      <c r="D68" s="323" t="s">
        <v>1358</v>
      </c>
      <c r="E68" s="337"/>
      <c r="F68" s="337">
        <v>1800.0</v>
      </c>
      <c r="G68" s="327" t="s">
        <v>1359</v>
      </c>
      <c r="H68" s="328" t="s">
        <v>39</v>
      </c>
      <c r="I68" s="99"/>
      <c r="J68" s="99"/>
      <c r="K68" s="99"/>
      <c r="L68" s="99"/>
      <c r="M68" s="99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B9</f>
        <v>WISE USD</v>
      </c>
      <c r="C69" s="323" t="s">
        <v>1361</v>
      </c>
      <c r="D69" s="323" t="s">
        <v>1292</v>
      </c>
      <c r="E69" s="325"/>
      <c r="F69" s="337">
        <v>14.39</v>
      </c>
      <c r="G69" s="327" t="s">
        <v>1292</v>
      </c>
      <c r="H69" s="328" t="s">
        <v>33</v>
      </c>
      <c r="I69" s="107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B9</f>
        <v>WISE USD</v>
      </c>
      <c r="C70" s="323" t="s">
        <v>1361</v>
      </c>
      <c r="D70" s="323" t="s">
        <v>1290</v>
      </c>
      <c r="E70" s="339"/>
      <c r="F70" s="340">
        <v>393.75</v>
      </c>
      <c r="G70" s="340" t="s">
        <v>1291</v>
      </c>
      <c r="H70" s="328" t="s">
        <v>39</v>
      </c>
      <c r="I70" s="107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B9</f>
        <v>WISE USD</v>
      </c>
      <c r="C71" s="323" t="s">
        <v>1361</v>
      </c>
      <c r="D71" s="323" t="s">
        <v>1292</v>
      </c>
      <c r="E71" s="325"/>
      <c r="F71" s="337">
        <v>14.39</v>
      </c>
      <c r="G71" s="327" t="s">
        <v>1292</v>
      </c>
      <c r="H71" s="328" t="s">
        <v>33</v>
      </c>
      <c r="I71" s="107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B9</f>
        <v>WISE USD</v>
      </c>
      <c r="C72" s="323" t="s">
        <v>1364</v>
      </c>
      <c r="D72" s="282" t="s">
        <v>1375</v>
      </c>
      <c r="E72" s="291"/>
      <c r="F72" s="337">
        <v>315.21</v>
      </c>
      <c r="G72" s="313" t="s">
        <v>1327</v>
      </c>
      <c r="H72" s="286" t="s">
        <v>12</v>
      </c>
      <c r="I72" s="107"/>
      <c r="J72" s="141"/>
      <c r="K72" s="141"/>
      <c r="L72" s="141"/>
      <c r="M72" s="141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B5</f>
        <v>신한 #672</v>
      </c>
      <c r="C73" s="282" t="s">
        <v>1376</v>
      </c>
      <c r="D73" s="282" t="s">
        <v>1377</v>
      </c>
      <c r="E73" s="284"/>
      <c r="F73" s="284">
        <v>228766.0</v>
      </c>
      <c r="G73" s="313" t="s">
        <v>1378</v>
      </c>
      <c r="H73" s="328" t="s">
        <v>33</v>
      </c>
      <c r="I73" s="107"/>
      <c r="J73" s="141"/>
      <c r="K73" s="141"/>
      <c r="L73" s="141"/>
      <c r="M73" s="141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B5</f>
        <v>신한 #672</v>
      </c>
      <c r="C74" s="282" t="s">
        <v>1379</v>
      </c>
      <c r="D74" s="323" t="s">
        <v>920</v>
      </c>
      <c r="E74" s="325"/>
      <c r="F74" s="325">
        <v>77000.0</v>
      </c>
      <c r="G74" s="327" t="s">
        <v>1006</v>
      </c>
      <c r="H74" s="328" t="s">
        <v>33</v>
      </c>
      <c r="I74" s="107"/>
      <c r="J74" s="141"/>
      <c r="K74" s="141"/>
      <c r="L74" s="141"/>
      <c r="M74" s="141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350" t="s">
        <v>747</v>
      </c>
      <c r="C75" s="282" t="s">
        <v>1380</v>
      </c>
      <c r="D75" s="282" t="s">
        <v>828</v>
      </c>
      <c r="E75" s="291"/>
      <c r="F75" s="292">
        <v>10.0</v>
      </c>
      <c r="G75" s="313" t="s">
        <v>1079</v>
      </c>
      <c r="H75" s="286" t="s">
        <v>33</v>
      </c>
      <c r="I75" s="107"/>
      <c r="J75" s="141"/>
      <c r="K75" s="141"/>
      <c r="L75" s="141"/>
      <c r="M75" s="141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350" t="s">
        <v>747</v>
      </c>
      <c r="C76" s="282" t="s">
        <v>1379</v>
      </c>
      <c r="D76" s="282" t="s">
        <v>828</v>
      </c>
      <c r="E76" s="291"/>
      <c r="F76" s="292">
        <v>15.0</v>
      </c>
      <c r="G76" s="313" t="s">
        <v>1079</v>
      </c>
      <c r="H76" s="286" t="s">
        <v>33</v>
      </c>
      <c r="I76" s="107"/>
      <c r="J76" s="141"/>
      <c r="K76" s="141"/>
      <c r="L76" s="141"/>
      <c r="M76" s="141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/>
      <c r="C77" s="282"/>
      <c r="D77" s="282"/>
      <c r="E77" s="291"/>
      <c r="F77" s="284"/>
      <c r="G77" s="313"/>
      <c r="H77" s="286"/>
      <c r="I77" s="107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/>
      <c r="C78" s="282"/>
      <c r="D78" s="282"/>
      <c r="E78" s="291"/>
      <c r="F78" s="284"/>
      <c r="G78" s="313"/>
      <c r="H78" s="286"/>
      <c r="I78" s="107"/>
      <c r="J78" s="141"/>
      <c r="K78" s="141"/>
      <c r="L78" s="141"/>
      <c r="M78" s="141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/>
      <c r="C79" s="282"/>
      <c r="D79" s="282"/>
      <c r="E79" s="291"/>
      <c r="F79" s="284"/>
      <c r="G79" s="313"/>
      <c r="H79" s="286"/>
      <c r="I79" s="107"/>
      <c r="J79" s="141"/>
      <c r="K79" s="141"/>
      <c r="L79" s="141"/>
      <c r="M79" s="141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</row>
    <row r="80" ht="15.0" customHeight="1">
      <c r="A80" s="105"/>
      <c r="B80" s="281"/>
      <c r="C80" s="282"/>
      <c r="D80" s="282"/>
      <c r="E80" s="291"/>
      <c r="F80" s="284"/>
      <c r="G80" s="313"/>
      <c r="H80" s="286"/>
      <c r="I80" s="107"/>
      <c r="J80" s="141"/>
      <c r="K80" s="141"/>
      <c r="L80" s="141"/>
      <c r="M80" s="141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</row>
    <row r="81" ht="15.0" customHeight="1">
      <c r="A81" s="105"/>
      <c r="B81" s="281"/>
      <c r="C81" s="282"/>
      <c r="D81" s="282"/>
      <c r="E81" s="291"/>
      <c r="F81" s="284"/>
      <c r="G81" s="313"/>
      <c r="H81" s="286"/>
      <c r="I81" s="107"/>
      <c r="J81" s="141"/>
      <c r="K81" s="141"/>
      <c r="L81" s="141"/>
      <c r="M81" s="141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</row>
    <row r="82" ht="15.0" customHeight="1">
      <c r="A82" s="105"/>
      <c r="B82" s="281"/>
      <c r="C82" s="282"/>
      <c r="D82" s="282"/>
      <c r="E82" s="291"/>
      <c r="F82" s="284"/>
      <c r="G82" s="313"/>
      <c r="H82" s="286"/>
      <c r="I82" s="107"/>
      <c r="J82" s="141"/>
      <c r="K82" s="141"/>
      <c r="L82" s="141"/>
      <c r="M82" s="141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ht="15.0" customHeight="1">
      <c r="A83" s="105"/>
      <c r="B83" s="281"/>
      <c r="C83" s="282"/>
      <c r="D83" s="282"/>
      <c r="E83" s="283"/>
      <c r="F83" s="284"/>
      <c r="G83" s="313"/>
      <c r="H83" s="286"/>
      <c r="I83" s="107"/>
      <c r="J83" s="141"/>
      <c r="K83" s="141"/>
      <c r="L83" s="141"/>
      <c r="M83" s="141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</row>
    <row r="84" ht="15.0" customHeight="1">
      <c r="A84" s="105"/>
      <c r="B84" s="281"/>
      <c r="C84" s="282"/>
      <c r="D84" s="282"/>
      <c r="E84" s="291"/>
      <c r="F84" s="326"/>
      <c r="G84" s="313"/>
      <c r="H84" s="286"/>
      <c r="I84" s="107"/>
      <c r="J84" s="141"/>
      <c r="K84" s="141"/>
      <c r="L84" s="141"/>
      <c r="M84" s="141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</row>
    <row r="85" ht="15.0" customHeight="1">
      <c r="A85" s="105"/>
      <c r="B85" s="281"/>
      <c r="C85" s="282"/>
      <c r="D85" s="282"/>
      <c r="E85" s="291"/>
      <c r="F85" s="326"/>
      <c r="G85" s="313"/>
      <c r="H85" s="286"/>
      <c r="I85" s="107"/>
      <c r="J85" s="141"/>
      <c r="K85" s="141"/>
      <c r="L85" s="141"/>
      <c r="M85" s="141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</row>
    <row r="86" ht="15.0" customHeight="1">
      <c r="A86" s="105"/>
      <c r="B86" s="281"/>
      <c r="C86" s="282"/>
      <c r="D86" s="282"/>
      <c r="E86" s="291"/>
      <c r="F86" s="326"/>
      <c r="G86" s="313"/>
      <c r="H86" s="286"/>
      <c r="I86" s="107"/>
      <c r="J86" s="141"/>
      <c r="K86" s="141"/>
      <c r="L86" s="141"/>
      <c r="M86" s="141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</row>
    <row r="87" ht="15.0" customHeight="1">
      <c r="A87" s="105"/>
      <c r="B87" s="281"/>
      <c r="C87" s="282"/>
      <c r="D87" s="282"/>
      <c r="E87" s="291"/>
      <c r="F87" s="326"/>
      <c r="G87" s="313"/>
      <c r="H87" s="286"/>
      <c r="I87" s="107"/>
      <c r="J87" s="141"/>
      <c r="K87" s="141"/>
      <c r="L87" s="141"/>
      <c r="M87" s="141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</row>
    <row r="88" ht="15.0" customHeight="1">
      <c r="A88" s="105"/>
      <c r="B88" s="281"/>
      <c r="C88" s="282"/>
      <c r="D88" s="282"/>
      <c r="E88" s="291"/>
      <c r="F88" s="326"/>
      <c r="G88" s="313"/>
      <c r="H88" s="286"/>
      <c r="I88" s="107"/>
      <c r="J88" s="141"/>
      <c r="K88" s="141"/>
      <c r="L88" s="141"/>
      <c r="M88" s="141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</row>
    <row r="89" ht="15.0" customHeight="1">
      <c r="A89" s="105"/>
      <c r="B89" s="281"/>
      <c r="C89" s="282"/>
      <c r="D89" s="282"/>
      <c r="E89" s="326"/>
      <c r="F89" s="326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326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83"/>
      <c r="F91" s="284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332"/>
      <c r="F93" s="33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332"/>
      <c r="F94" s="33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326"/>
      <c r="F95" s="326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326"/>
      <c r="F96" s="326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326"/>
      <c r="F97" s="326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326"/>
      <c r="F98" s="326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B181" s="281"/>
      <c r="C181" s="282"/>
      <c r="D181" s="282"/>
      <c r="E181" s="291"/>
      <c r="F181" s="292"/>
      <c r="G181" s="313"/>
      <c r="H181" s="286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B182" s="281"/>
      <c r="C182" s="282"/>
      <c r="D182" s="282"/>
      <c r="E182" s="291"/>
      <c r="F182" s="292"/>
      <c r="G182" s="313"/>
      <c r="H182" s="286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B183" s="281"/>
      <c r="C183" s="282"/>
      <c r="D183" s="282"/>
      <c r="E183" s="291"/>
      <c r="F183" s="292"/>
      <c r="G183" s="313"/>
      <c r="H183" s="286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B184" s="281"/>
      <c r="C184" s="282"/>
      <c r="D184" s="282"/>
      <c r="E184" s="291"/>
      <c r="F184" s="292"/>
      <c r="G184" s="313"/>
      <c r="H184" s="286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B185" s="281"/>
      <c r="C185" s="282"/>
      <c r="D185" s="282"/>
      <c r="E185" s="291"/>
      <c r="F185" s="292"/>
      <c r="G185" s="313"/>
      <c r="H185" s="286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B186" s="281"/>
      <c r="C186" s="282"/>
      <c r="D186" s="282"/>
      <c r="E186" s="291"/>
      <c r="F186" s="292"/>
      <c r="G186" s="313"/>
      <c r="H186" s="286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B187" s="281"/>
      <c r="C187" s="282"/>
      <c r="D187" s="282"/>
      <c r="E187" s="291"/>
      <c r="F187" s="292"/>
      <c r="G187" s="313"/>
      <c r="H187" s="286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B188" s="281"/>
      <c r="C188" s="282"/>
      <c r="D188" s="282"/>
      <c r="E188" s="291"/>
      <c r="F188" s="292"/>
      <c r="G188" s="313"/>
      <c r="H188" s="286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B189" s="281"/>
      <c r="C189" s="282"/>
      <c r="D189" s="282"/>
      <c r="E189" s="291"/>
      <c r="F189" s="292"/>
      <c r="G189" s="313"/>
      <c r="H189" s="286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B190" s="281"/>
      <c r="C190" s="282"/>
      <c r="D190" s="282"/>
      <c r="E190" s="291"/>
      <c r="F190" s="292"/>
      <c r="G190" s="313"/>
      <c r="H190" s="286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B191" s="281"/>
      <c r="C191" s="282"/>
      <c r="D191" s="282"/>
      <c r="E191" s="291"/>
      <c r="F191" s="292"/>
      <c r="G191" s="313"/>
      <c r="H191" s="286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B192" s="281"/>
      <c r="C192" s="282"/>
      <c r="D192" s="282"/>
      <c r="E192" s="291"/>
      <c r="F192" s="292"/>
      <c r="G192" s="313"/>
      <c r="H192" s="286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B193" s="281"/>
      <c r="C193" s="282"/>
      <c r="D193" s="282"/>
      <c r="E193" s="291"/>
      <c r="F193" s="292"/>
      <c r="G193" s="313"/>
      <c r="H193" s="286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B194" s="281"/>
      <c r="C194" s="282"/>
      <c r="D194" s="282"/>
      <c r="E194" s="291"/>
      <c r="F194" s="292"/>
      <c r="G194" s="313"/>
      <c r="H194" s="286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B195" s="281"/>
      <c r="C195" s="282"/>
      <c r="D195" s="282"/>
      <c r="E195" s="291"/>
      <c r="F195" s="292"/>
      <c r="G195" s="313"/>
      <c r="H195" s="286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B196" s="281"/>
      <c r="C196" s="282"/>
      <c r="D196" s="282"/>
      <c r="E196" s="291"/>
      <c r="F196" s="292"/>
      <c r="G196" s="313"/>
      <c r="H196" s="286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B197" s="281"/>
      <c r="C197" s="282"/>
      <c r="D197" s="282"/>
      <c r="E197" s="291"/>
      <c r="F197" s="292"/>
      <c r="G197" s="313"/>
      <c r="H197" s="286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</sheetData>
  <autoFilter ref="$B$21:$H$197">
    <sortState ref="B21:H197">
      <sortCondition ref="B21:B197"/>
    </sortState>
  </autoFilter>
  <customSheetViews>
    <customSheetView guid="{CD2BF927-9D79-47FC-BBA8-927062D6B3F5}" filter="1" showAutoFilter="1">
      <autoFilter ref="$B$21:$H$197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197">
      <formula1>$L:$L</formula1>
    </dataValidation>
  </dataValidations>
  <hyperlinks>
    <hyperlink r:id="rId1" ref="I3"/>
    <hyperlink r:id="rId2" ref="I4"/>
    <hyperlink r:id="rId3" ref="D50"/>
  </hyperlinks>
  <printOptions/>
  <pageMargins bottom="0.75" footer="0.0" header="0.0" left="0.25" right="0.25" top="0.75"/>
  <pageSetup fitToHeight="0" paperSize="9" orientation="portrait"/>
  <drawing r:id="rId4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0.0"/>
    <col customWidth="1" min="9" max="9" width="16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15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1381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'23.07월'!G5</f>
        <v>18740535</v>
      </c>
      <c r="E5" s="227">
        <f>sumif(B22:B158,B5,E22:E160)</f>
        <v>33490180</v>
      </c>
      <c r="F5" s="228">
        <f>sumif(B22:B100,B5,F22:F161)</f>
        <v>26052986</v>
      </c>
      <c r="G5" s="229">
        <f t="shared" ref="G5:G13" si="1">D5+E5-F5</f>
        <v>26177729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'23.07월'!G6</f>
        <v>2.31</v>
      </c>
      <c r="E6" s="233">
        <f>sumif(B22:B160,B6,E22:E160)</f>
        <v>0</v>
      </c>
      <c r="F6" s="234">
        <f>sumif(B22:B100,B6,F22:F160)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'23.07월'!G7</f>
        <v>2526862</v>
      </c>
      <c r="E7" s="237">
        <f>sumif(B22:B160,B7,E22:E160)</f>
        <v>130438000</v>
      </c>
      <c r="F7" s="238">
        <f>sumif(B22:B100,B7,F22:F160)</f>
        <v>125786524</v>
      </c>
      <c r="G7" s="239">
        <f t="shared" si="1"/>
        <v>7178338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'23.07월'!G8</f>
        <v>0.12</v>
      </c>
      <c r="E8" s="240">
        <f>sumif(B22:B160,B8,E22:E160)</f>
        <v>453582</v>
      </c>
      <c r="F8" s="234">
        <f>sumif(B22:B100,B8,F22:F160)</f>
        <v>100000</v>
      </c>
      <c r="G8" s="235">
        <f t="shared" si="1"/>
        <v>353582.12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'23.07월'!G9</f>
        <v>198279.27</v>
      </c>
      <c r="E9" s="240">
        <f>sumif(B22:B100,B9,E22:E160)</f>
        <v>0</v>
      </c>
      <c r="F9" s="329">
        <f>sumif(B22:B100,B9,F22:F160)</f>
        <v>139920.75</v>
      </c>
      <c r="G9" s="329">
        <f t="shared" si="1"/>
        <v>58358.52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'23.07월'!G10</f>
        <v>0</v>
      </c>
      <c r="E10" s="242">
        <f>sumif(B22:B158,B10,E22:E100)</f>
        <v>0</v>
      </c>
      <c r="F10" s="319">
        <f>sumif(B22:B100,B10,F22:F160)</f>
        <v>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'23.07월'!G11</f>
        <v>0</v>
      </c>
      <c r="E11" s="245">
        <f>sumif(B22:B160,B11,E22:E160)</f>
        <v>0</v>
      </c>
      <c r="F11" s="238">
        <f>sumif(B22:B100,B11,F22:F160)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'23.07월'!G12</f>
        <v>386834.73</v>
      </c>
      <c r="E12" s="240">
        <f>sumif(B22:B103,B12,E22:E103)</f>
        <v>0</v>
      </c>
      <c r="F12" s="234">
        <f>sumif(B22:B99,B12,F22:F161)</f>
        <v>352032</v>
      </c>
      <c r="G12" s="235">
        <f t="shared" si="1"/>
        <v>34802.73</v>
      </c>
      <c r="H12" s="125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'23.07월'!G13</f>
        <v>705</v>
      </c>
      <c r="E13" s="308">
        <f>sumif(B22:B160,B13,E22:E161)</f>
        <v>0</v>
      </c>
      <c r="F13" s="309">
        <f>sumif(B22:B99,B13,F22:F161)</f>
        <v>10</v>
      </c>
      <c r="G13" s="310">
        <f t="shared" si="1"/>
        <v>695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21267397</v>
      </c>
      <c r="E15" s="262">
        <f t="shared" si="2"/>
        <v>163928180</v>
      </c>
      <c r="F15" s="263">
        <f t="shared" si="2"/>
        <v>151839510</v>
      </c>
      <c r="G15" s="345">
        <f>G5+G11+G7</f>
        <v>33356067</v>
      </c>
      <c r="H15" s="265">
        <f>G15</f>
        <v>33356067</v>
      </c>
      <c r="I15" s="265">
        <f>D15</f>
        <v>21267397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585116.43</v>
      </c>
      <c r="E16" s="269">
        <f t="shared" si="3"/>
        <v>453582</v>
      </c>
      <c r="F16" s="270">
        <f t="shared" si="3"/>
        <v>591952.75</v>
      </c>
      <c r="G16" s="346">
        <f>G9+G6+G8+G12</f>
        <v>446745.68</v>
      </c>
      <c r="H16" s="265">
        <f>rounddown(G16*$J$3,0)</f>
        <v>657933531</v>
      </c>
      <c r="I16" s="265">
        <f>rounddown(D16*$J$3,0)</f>
        <v>861715594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705</v>
      </c>
      <c r="E17" s="274">
        <f t="shared" si="4"/>
        <v>0</v>
      </c>
      <c r="F17" s="275">
        <f t="shared" si="4"/>
        <v>10</v>
      </c>
      <c r="G17" s="347">
        <f t="shared" si="4"/>
        <v>695</v>
      </c>
      <c r="H17" s="277">
        <f>rounddown(G17*$J$4,0)</f>
        <v>795000</v>
      </c>
      <c r="I17" s="277">
        <f>rounddown(D17*$J$4,0)</f>
        <v>806438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692084598</v>
      </c>
      <c r="I18" s="279">
        <f t="shared" si="5"/>
        <v>883789429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-191704831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B9</f>
        <v>WISE USD</v>
      </c>
      <c r="C22" s="323" t="s">
        <v>1382</v>
      </c>
      <c r="D22" s="323" t="s">
        <v>740</v>
      </c>
      <c r="E22" s="325"/>
      <c r="F22" s="337">
        <f>10422.68+159.97</f>
        <v>10582.65</v>
      </c>
      <c r="G22" s="327" t="s">
        <v>1383</v>
      </c>
      <c r="H22" s="328" t="s">
        <v>41</v>
      </c>
      <c r="I22" s="107"/>
      <c r="J22" s="141"/>
      <c r="K22" s="138"/>
      <c r="L22" s="83" t="s">
        <v>1327</v>
      </c>
      <c r="M22" s="84" t="s">
        <v>1328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B9</f>
        <v>WISE USD</v>
      </c>
      <c r="C23" s="323" t="s">
        <v>1382</v>
      </c>
      <c r="D23" s="323" t="s">
        <v>1061</v>
      </c>
      <c r="E23" s="325"/>
      <c r="F23" s="337">
        <v>0.39</v>
      </c>
      <c r="G23" s="327" t="s">
        <v>1384</v>
      </c>
      <c r="H23" s="328" t="s">
        <v>33</v>
      </c>
      <c r="I23" s="107"/>
      <c r="J23" s="141"/>
      <c r="K23" s="138"/>
      <c r="L23" s="83" t="s">
        <v>1385</v>
      </c>
      <c r="M23" s="84" t="s">
        <v>1386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B9</f>
        <v>WISE USD</v>
      </c>
      <c r="C24" s="323" t="s">
        <v>1382</v>
      </c>
      <c r="D24" s="323" t="s">
        <v>1387</v>
      </c>
      <c r="E24" s="325"/>
      <c r="F24" s="337">
        <v>5294.98</v>
      </c>
      <c r="G24" s="327" t="s">
        <v>1388</v>
      </c>
      <c r="H24" s="328" t="s">
        <v>33</v>
      </c>
      <c r="I24" s="107"/>
      <c r="J24" s="141"/>
      <c r="K24" s="138"/>
      <c r="L24" s="99"/>
      <c r="M24" s="99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B9</f>
        <v>WISE USD</v>
      </c>
      <c r="C25" s="323" t="s">
        <v>1382</v>
      </c>
      <c r="D25" s="323" t="s">
        <v>1061</v>
      </c>
      <c r="E25" s="337"/>
      <c r="F25" s="337">
        <v>30.74</v>
      </c>
      <c r="G25" s="327" t="s">
        <v>1389</v>
      </c>
      <c r="H25" s="328" t="s">
        <v>33</v>
      </c>
      <c r="I25" s="107"/>
      <c r="J25" s="141"/>
      <c r="K25" s="138"/>
      <c r="L25" s="99"/>
      <c r="M25" s="99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B5</f>
        <v>신한 #672</v>
      </c>
      <c r="C26" s="323" t="s">
        <v>1382</v>
      </c>
      <c r="D26" s="323" t="s">
        <v>789</v>
      </c>
      <c r="E26" s="325"/>
      <c r="F26" s="325">
        <v>6243270.0</v>
      </c>
      <c r="G26" s="327" t="s">
        <v>1390</v>
      </c>
      <c r="H26" s="328" t="s">
        <v>33</v>
      </c>
      <c r="I26" s="107"/>
      <c r="J26" s="141"/>
      <c r="K26" s="138"/>
      <c r="L26" s="99"/>
      <c r="M26" s="99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B5</f>
        <v>신한 #672</v>
      </c>
      <c r="C27" s="323" t="s">
        <v>1382</v>
      </c>
      <c r="D27" s="323" t="s">
        <v>1230</v>
      </c>
      <c r="E27" s="337"/>
      <c r="F27" s="325">
        <v>825000.0</v>
      </c>
      <c r="G27" s="327" t="s">
        <v>1391</v>
      </c>
      <c r="H27" s="328" t="s">
        <v>33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B5</f>
        <v>신한 #672</v>
      </c>
      <c r="C28" s="323" t="s">
        <v>1382</v>
      </c>
      <c r="D28" s="323" t="s">
        <v>1094</v>
      </c>
      <c r="E28" s="337"/>
      <c r="F28" s="325">
        <v>67082.0</v>
      </c>
      <c r="G28" s="327" t="s">
        <v>1191</v>
      </c>
      <c r="H28" s="328" t="s">
        <v>33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B5</f>
        <v>신한 #672</v>
      </c>
      <c r="C29" s="323" t="s">
        <v>1382</v>
      </c>
      <c r="D29" s="323" t="s">
        <v>1120</v>
      </c>
      <c r="E29" s="325"/>
      <c r="F29" s="325">
        <v>1000.0</v>
      </c>
      <c r="G29" s="327" t="s">
        <v>1119</v>
      </c>
      <c r="H29" s="328" t="s">
        <v>33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B9</f>
        <v>WISE USD</v>
      </c>
      <c r="C30" s="323" t="s">
        <v>1392</v>
      </c>
      <c r="D30" s="323" t="s">
        <v>634</v>
      </c>
      <c r="E30" s="337"/>
      <c r="F30" s="337">
        <v>100000.0</v>
      </c>
      <c r="G30" s="327" t="s">
        <v>1268</v>
      </c>
      <c r="H30" s="328" t="s">
        <v>556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B9</f>
        <v>WISE USD</v>
      </c>
      <c r="C31" s="323" t="s">
        <v>1392</v>
      </c>
      <c r="D31" s="323" t="s">
        <v>1292</v>
      </c>
      <c r="E31" s="325"/>
      <c r="F31" s="337">
        <v>14.39</v>
      </c>
      <c r="G31" s="327" t="s">
        <v>1292</v>
      </c>
      <c r="H31" s="328" t="s">
        <v>33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B9</f>
        <v>WISE USD</v>
      </c>
      <c r="C32" s="323" t="s">
        <v>1392</v>
      </c>
      <c r="D32" s="323" t="s">
        <v>1303</v>
      </c>
      <c r="E32" s="325"/>
      <c r="F32" s="337">
        <v>18140.45</v>
      </c>
      <c r="G32" s="327" t="s">
        <v>1304</v>
      </c>
      <c r="H32" s="328" t="s">
        <v>930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B9</f>
        <v>WISE USD</v>
      </c>
      <c r="C33" s="323" t="s">
        <v>1392</v>
      </c>
      <c r="D33" s="323" t="s">
        <v>1061</v>
      </c>
      <c r="E33" s="337"/>
      <c r="F33" s="337">
        <v>14.39</v>
      </c>
      <c r="G33" s="327" t="s">
        <v>1305</v>
      </c>
      <c r="H33" s="328" t="s">
        <v>33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B9</f>
        <v>WISE USD</v>
      </c>
      <c r="C34" s="323" t="s">
        <v>1393</v>
      </c>
      <c r="D34" s="323" t="s">
        <v>1394</v>
      </c>
      <c r="E34" s="337"/>
      <c r="F34" s="337">
        <v>458.58</v>
      </c>
      <c r="G34" s="327" t="s">
        <v>1395</v>
      </c>
      <c r="H34" s="328" t="s">
        <v>29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B8</f>
        <v>하나 #138</v>
      </c>
      <c r="C35" s="323" t="s">
        <v>1396</v>
      </c>
      <c r="D35" s="323" t="s">
        <v>634</v>
      </c>
      <c r="E35" s="337">
        <v>100000.0</v>
      </c>
      <c r="F35" s="337"/>
      <c r="G35" s="327" t="s">
        <v>1268</v>
      </c>
      <c r="H35" s="328" t="s">
        <v>556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B8</f>
        <v>하나 #138</v>
      </c>
      <c r="C36" s="323" t="s">
        <v>1397</v>
      </c>
      <c r="D36" s="323" t="s">
        <v>632</v>
      </c>
      <c r="E36" s="337"/>
      <c r="F36" s="337">
        <v>100000.0</v>
      </c>
      <c r="G36" s="327" t="s">
        <v>679</v>
      </c>
      <c r="H36" s="328" t="s">
        <v>556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B7</f>
        <v>하나 #304</v>
      </c>
      <c r="C37" s="323" t="s">
        <v>1397</v>
      </c>
      <c r="D37" s="323" t="s">
        <v>632</v>
      </c>
      <c r="E37" s="325">
        <v>1.30438E8</v>
      </c>
      <c r="F37" s="325"/>
      <c r="G37" s="327" t="s">
        <v>679</v>
      </c>
      <c r="H37" s="328" t="s">
        <v>556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B7</f>
        <v>하나 #304</v>
      </c>
      <c r="C38" s="323" t="s">
        <v>1397</v>
      </c>
      <c r="D38" s="323" t="s">
        <v>1297</v>
      </c>
      <c r="E38" s="325"/>
      <c r="F38" s="325">
        <v>6863490.0</v>
      </c>
      <c r="G38" s="327" t="s">
        <v>1398</v>
      </c>
      <c r="H38" s="328" t="s">
        <v>31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B7</f>
        <v>하나 #304</v>
      </c>
      <c r="C39" s="323" t="s">
        <v>1397</v>
      </c>
      <c r="D39" s="323" t="s">
        <v>1297</v>
      </c>
      <c r="E39" s="325"/>
      <c r="F39" s="325">
        <v>4800.0</v>
      </c>
      <c r="G39" s="327" t="s">
        <v>1399</v>
      </c>
      <c r="H39" s="328" t="s">
        <v>31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B7</f>
        <v>하나 #304</v>
      </c>
      <c r="C40" s="323" t="s">
        <v>1397</v>
      </c>
      <c r="D40" s="323" t="s">
        <v>1299</v>
      </c>
      <c r="E40" s="325"/>
      <c r="F40" s="325">
        <v>686750.0</v>
      </c>
      <c r="G40" s="327" t="s">
        <v>1400</v>
      </c>
      <c r="H40" s="328" t="s">
        <v>31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B7</f>
        <v>하나 #304</v>
      </c>
      <c r="C41" s="323" t="s">
        <v>1397</v>
      </c>
      <c r="D41" s="323" t="s">
        <v>1299</v>
      </c>
      <c r="E41" s="325"/>
      <c r="F41" s="325">
        <v>62500.0</v>
      </c>
      <c r="G41" s="327" t="s">
        <v>1401</v>
      </c>
      <c r="H41" s="328" t="s">
        <v>31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B7</f>
        <v>하나 #304</v>
      </c>
      <c r="C42" s="323" t="s">
        <v>1397</v>
      </c>
      <c r="D42" s="323" t="s">
        <v>632</v>
      </c>
      <c r="E42" s="325"/>
      <c r="F42" s="325">
        <v>2.0E7</v>
      </c>
      <c r="G42" s="327" t="s">
        <v>1035</v>
      </c>
      <c r="H42" s="328" t="s">
        <v>556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B7</f>
        <v>하나 #304</v>
      </c>
      <c r="C43" s="323" t="s">
        <v>1397</v>
      </c>
      <c r="D43" s="323" t="s">
        <v>1115</v>
      </c>
      <c r="E43" s="325"/>
      <c r="F43" s="337">
        <v>500.0</v>
      </c>
      <c r="G43" s="327" t="s">
        <v>1119</v>
      </c>
      <c r="H43" s="328" t="s">
        <v>33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B5</f>
        <v>신한 #672</v>
      </c>
      <c r="C44" s="323" t="s">
        <v>1397</v>
      </c>
      <c r="D44" s="323" t="s">
        <v>1402</v>
      </c>
      <c r="E44" s="325"/>
      <c r="F44" s="325">
        <v>6853840.0</v>
      </c>
      <c r="G44" s="327" t="s">
        <v>1402</v>
      </c>
      <c r="H44" s="328" t="s">
        <v>31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B5</f>
        <v>신한 #672</v>
      </c>
      <c r="C45" s="323" t="s">
        <v>1397</v>
      </c>
      <c r="D45" s="323" t="s">
        <v>1403</v>
      </c>
      <c r="E45" s="325"/>
      <c r="F45" s="325">
        <v>545450.0</v>
      </c>
      <c r="G45" s="327" t="s">
        <v>1403</v>
      </c>
      <c r="H45" s="328" t="s">
        <v>31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B5</f>
        <v>신한 #672</v>
      </c>
      <c r="C46" s="323" t="s">
        <v>1397</v>
      </c>
      <c r="D46" s="323" t="s">
        <v>1404</v>
      </c>
      <c r="E46" s="325"/>
      <c r="F46" s="325">
        <v>1471770.0</v>
      </c>
      <c r="G46" s="327" t="s">
        <v>1404</v>
      </c>
      <c r="H46" s="328" t="s">
        <v>31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B5</f>
        <v>신한 #672</v>
      </c>
      <c r="C47" s="323" t="s">
        <v>1397</v>
      </c>
      <c r="D47" s="323" t="s">
        <v>1203</v>
      </c>
      <c r="E47" s="325">
        <v>2.0E7</v>
      </c>
      <c r="F47" s="325"/>
      <c r="G47" s="327" t="s">
        <v>1035</v>
      </c>
      <c r="H47" s="328" t="s">
        <v>556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B5</f>
        <v>신한 #672</v>
      </c>
      <c r="C48" s="323" t="s">
        <v>1397</v>
      </c>
      <c r="D48" s="323" t="s">
        <v>1405</v>
      </c>
      <c r="E48" s="337"/>
      <c r="F48" s="325">
        <v>6753820.0</v>
      </c>
      <c r="G48" s="327" t="s">
        <v>1405</v>
      </c>
      <c r="H48" s="328" t="s">
        <v>31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B5</f>
        <v>신한 #672</v>
      </c>
      <c r="C49" s="323" t="s">
        <v>1406</v>
      </c>
      <c r="D49" s="323" t="s">
        <v>1202</v>
      </c>
      <c r="E49" s="283"/>
      <c r="F49" s="325">
        <v>110000.0</v>
      </c>
      <c r="G49" s="313" t="s">
        <v>1202</v>
      </c>
      <c r="H49" s="286" t="s">
        <v>33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B9</f>
        <v>WISE USD</v>
      </c>
      <c r="C50" s="323" t="s">
        <v>1407</v>
      </c>
      <c r="D50" s="323" t="s">
        <v>1408</v>
      </c>
      <c r="E50" s="337"/>
      <c r="F50" s="337">
        <v>1757.64</v>
      </c>
      <c r="G50" s="327" t="s">
        <v>1235</v>
      </c>
      <c r="H50" s="328" t="s">
        <v>4</v>
      </c>
      <c r="I50" s="107"/>
      <c r="J50" s="141"/>
      <c r="K50" s="138"/>
      <c r="L50" s="99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44" t="str">
        <f>B9</f>
        <v>WISE USD</v>
      </c>
      <c r="C51" s="323" t="s">
        <v>1407</v>
      </c>
      <c r="D51" s="323" t="s">
        <v>1360</v>
      </c>
      <c r="E51" s="337"/>
      <c r="F51" s="337">
        <v>0.39</v>
      </c>
      <c r="G51" s="327" t="s">
        <v>1119</v>
      </c>
      <c r="H51" s="328" t="s">
        <v>33</v>
      </c>
      <c r="I51" s="107"/>
      <c r="J51" s="141"/>
      <c r="K51" s="138"/>
      <c r="L51" s="99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44" t="str">
        <f>B9</f>
        <v>WISE USD</v>
      </c>
      <c r="C52" s="323" t="s">
        <v>1407</v>
      </c>
      <c r="D52" s="323" t="s">
        <v>632</v>
      </c>
      <c r="E52" s="284"/>
      <c r="F52" s="337">
        <v>3597.0</v>
      </c>
      <c r="G52" s="313" t="s">
        <v>1409</v>
      </c>
      <c r="H52" s="328" t="s">
        <v>556</v>
      </c>
      <c r="I52" s="107"/>
      <c r="J52" s="141"/>
      <c r="K52" s="138"/>
      <c r="L52" s="99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44" t="str">
        <f>B9</f>
        <v>WISE USD</v>
      </c>
      <c r="C53" s="323" t="s">
        <v>1407</v>
      </c>
      <c r="D53" s="323" t="s">
        <v>1360</v>
      </c>
      <c r="E53" s="337"/>
      <c r="F53" s="337">
        <v>14.39</v>
      </c>
      <c r="G53" s="313" t="s">
        <v>1119</v>
      </c>
      <c r="H53" s="328" t="s">
        <v>33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B8</f>
        <v>하나 #138</v>
      </c>
      <c r="C54" s="323" t="s">
        <v>1410</v>
      </c>
      <c r="D54" s="323" t="s">
        <v>632</v>
      </c>
      <c r="E54" s="291">
        <v>3597.0</v>
      </c>
      <c r="F54" s="326"/>
      <c r="G54" s="313" t="s">
        <v>1409</v>
      </c>
      <c r="H54" s="328" t="s">
        <v>556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1410</v>
      </c>
      <c r="D55" s="323" t="s">
        <v>1411</v>
      </c>
      <c r="E55" s="339"/>
      <c r="F55" s="325">
        <v>4834285.0</v>
      </c>
      <c r="G55" s="340" t="s">
        <v>1412</v>
      </c>
      <c r="H55" s="328" t="s">
        <v>1385</v>
      </c>
      <c r="I55" s="107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B7</f>
        <v>하나 #304</v>
      </c>
      <c r="C56" s="323" t="s">
        <v>1410</v>
      </c>
      <c r="D56" s="323" t="s">
        <v>1115</v>
      </c>
      <c r="E56" s="325"/>
      <c r="F56" s="325">
        <v>45600.0</v>
      </c>
      <c r="G56" s="327" t="s">
        <v>1119</v>
      </c>
      <c r="H56" s="328" t="s">
        <v>33</v>
      </c>
      <c r="I56" s="107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B12</f>
        <v>OCBC USD</v>
      </c>
      <c r="C57" s="323" t="s">
        <v>1406</v>
      </c>
      <c r="D57" s="323" t="s">
        <v>632</v>
      </c>
      <c r="E57" s="291"/>
      <c r="F57" s="337">
        <v>100000.0</v>
      </c>
      <c r="G57" s="327" t="s">
        <v>1268</v>
      </c>
      <c r="H57" s="328" t="s">
        <v>556</v>
      </c>
      <c r="I57" s="107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>B12</f>
        <v>OCBC USD</v>
      </c>
      <c r="C58" s="323" t="s">
        <v>1406</v>
      </c>
      <c r="D58" s="323" t="s">
        <v>828</v>
      </c>
      <c r="E58" s="291"/>
      <c r="F58" s="291">
        <v>43.0</v>
      </c>
      <c r="G58" s="327" t="s">
        <v>1079</v>
      </c>
      <c r="H58" s="328" t="s">
        <v>33</v>
      </c>
      <c r="I58" s="107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>B12</f>
        <v>OCBC USD</v>
      </c>
      <c r="C59" s="323" t="s">
        <v>1406</v>
      </c>
      <c r="D59" s="323" t="s">
        <v>828</v>
      </c>
      <c r="E59" s="291"/>
      <c r="F59" s="291">
        <v>15.0</v>
      </c>
      <c r="G59" s="327" t="s">
        <v>1079</v>
      </c>
      <c r="H59" s="328" t="s">
        <v>33</v>
      </c>
      <c r="I59" s="107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B8</f>
        <v>하나 #138</v>
      </c>
      <c r="C60" s="323" t="s">
        <v>1406</v>
      </c>
      <c r="D60" s="323" t="s">
        <v>634</v>
      </c>
      <c r="E60" s="291">
        <v>99995.0</v>
      </c>
      <c r="F60" s="291"/>
      <c r="G60" s="327" t="s">
        <v>1268</v>
      </c>
      <c r="H60" s="328" t="s">
        <v>556</v>
      </c>
      <c r="I60" s="107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B12</f>
        <v>OCBC USD</v>
      </c>
      <c r="C61" s="323" t="s">
        <v>1413</v>
      </c>
      <c r="D61" s="323" t="s">
        <v>632</v>
      </c>
      <c r="E61" s="291"/>
      <c r="F61" s="291">
        <v>150000.0</v>
      </c>
      <c r="G61" s="327" t="s">
        <v>1268</v>
      </c>
      <c r="H61" s="328" t="s">
        <v>556</v>
      </c>
      <c r="I61" s="107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B12</f>
        <v>OCBC USD</v>
      </c>
      <c r="C62" s="323" t="s">
        <v>1413</v>
      </c>
      <c r="D62" s="323" t="s">
        <v>828</v>
      </c>
      <c r="E62" s="291"/>
      <c r="F62" s="291">
        <v>43.0</v>
      </c>
      <c r="G62" s="327" t="s">
        <v>1079</v>
      </c>
      <c r="H62" s="328" t="s">
        <v>33</v>
      </c>
      <c r="I62" s="107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281" t="str">
        <f>B12</f>
        <v>OCBC USD</v>
      </c>
      <c r="C63" s="323" t="s">
        <v>1413</v>
      </c>
      <c r="D63" s="323" t="s">
        <v>828</v>
      </c>
      <c r="E63" s="291"/>
      <c r="F63" s="291">
        <v>15.0</v>
      </c>
      <c r="G63" s="327" t="s">
        <v>1079</v>
      </c>
      <c r="H63" s="328" t="s">
        <v>33</v>
      </c>
      <c r="I63" s="107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281" t="str">
        <f>B8</f>
        <v>하나 #138</v>
      </c>
      <c r="C64" s="323" t="s">
        <v>1413</v>
      </c>
      <c r="D64" s="323" t="s">
        <v>634</v>
      </c>
      <c r="E64" s="291">
        <v>149995.0</v>
      </c>
      <c r="F64" s="284"/>
      <c r="G64" s="327" t="s">
        <v>1268</v>
      </c>
      <c r="H64" s="328" t="s">
        <v>556</v>
      </c>
      <c r="I64" s="107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>B5</f>
        <v>신한 #672</v>
      </c>
      <c r="C65" s="323" t="s">
        <v>1414</v>
      </c>
      <c r="D65" s="282" t="s">
        <v>1008</v>
      </c>
      <c r="E65" s="283">
        <v>1.349018E7</v>
      </c>
      <c r="F65" s="283"/>
      <c r="G65" s="313" t="s">
        <v>1415</v>
      </c>
      <c r="H65" s="286" t="s">
        <v>36</v>
      </c>
      <c r="I65" s="107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B5</f>
        <v>신한 #672</v>
      </c>
      <c r="C66" s="323" t="s">
        <v>1414</v>
      </c>
      <c r="D66" s="282" t="s">
        <v>1416</v>
      </c>
      <c r="E66" s="283"/>
      <c r="F66" s="283">
        <v>55740.0</v>
      </c>
      <c r="G66" s="313" t="s">
        <v>1044</v>
      </c>
      <c r="H66" s="286" t="s">
        <v>4</v>
      </c>
      <c r="I66" s="107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B5</f>
        <v>신한 #672</v>
      </c>
      <c r="C67" s="323" t="s">
        <v>1414</v>
      </c>
      <c r="D67" s="282" t="s">
        <v>497</v>
      </c>
      <c r="E67" s="283"/>
      <c r="F67" s="283">
        <v>330000.0</v>
      </c>
      <c r="G67" s="313" t="s">
        <v>1042</v>
      </c>
      <c r="H67" s="286" t="s">
        <v>33</v>
      </c>
      <c r="I67" s="107"/>
      <c r="J67" s="141"/>
      <c r="K67" s="141"/>
      <c r="L67" s="141"/>
      <c r="M67" s="141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B5</f>
        <v>신한 #672</v>
      </c>
      <c r="C68" s="323" t="s">
        <v>1414</v>
      </c>
      <c r="D68" s="282" t="s">
        <v>1417</v>
      </c>
      <c r="E68" s="283"/>
      <c r="F68" s="283">
        <v>20660.0</v>
      </c>
      <c r="G68" s="313" t="s">
        <v>1039</v>
      </c>
      <c r="H68" s="286" t="s">
        <v>4</v>
      </c>
      <c r="I68" s="107"/>
      <c r="J68" s="141"/>
      <c r="K68" s="141"/>
      <c r="L68" s="141"/>
      <c r="M68" s="141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B5</f>
        <v>신한 #672</v>
      </c>
      <c r="C69" s="323" t="s">
        <v>1414</v>
      </c>
      <c r="D69" s="282" t="s">
        <v>1417</v>
      </c>
      <c r="E69" s="283"/>
      <c r="F69" s="283">
        <v>50250.0</v>
      </c>
      <c r="G69" s="313" t="s">
        <v>1040</v>
      </c>
      <c r="H69" s="286" t="s">
        <v>4</v>
      </c>
      <c r="I69" s="107"/>
      <c r="J69" s="141"/>
      <c r="K69" s="141"/>
      <c r="L69" s="141"/>
      <c r="M69" s="141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B5</f>
        <v>신한 #672</v>
      </c>
      <c r="C70" s="323" t="s">
        <v>1414</v>
      </c>
      <c r="D70" s="282" t="s">
        <v>1417</v>
      </c>
      <c r="E70" s="283"/>
      <c r="F70" s="283">
        <v>37430.0</v>
      </c>
      <c r="G70" s="313" t="s">
        <v>1038</v>
      </c>
      <c r="H70" s="286" t="s">
        <v>4</v>
      </c>
      <c r="I70" s="107"/>
      <c r="J70" s="141"/>
      <c r="K70" s="141"/>
      <c r="L70" s="141"/>
      <c r="M70" s="141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B5</f>
        <v>신한 #672</v>
      </c>
      <c r="C71" s="323" t="s">
        <v>1414</v>
      </c>
      <c r="D71" s="282" t="s">
        <v>1417</v>
      </c>
      <c r="E71" s="291"/>
      <c r="F71" s="283">
        <v>20660.0</v>
      </c>
      <c r="G71" s="313" t="s">
        <v>1039</v>
      </c>
      <c r="H71" s="286" t="s">
        <v>4</v>
      </c>
      <c r="I71" s="107"/>
      <c r="J71" s="141"/>
      <c r="K71" s="141"/>
      <c r="L71" s="141"/>
      <c r="M71" s="141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B5</f>
        <v>신한 #672</v>
      </c>
      <c r="C72" s="323" t="s">
        <v>1414</v>
      </c>
      <c r="D72" s="282" t="s">
        <v>1417</v>
      </c>
      <c r="E72" s="283"/>
      <c r="F72" s="283">
        <v>37430.0</v>
      </c>
      <c r="G72" s="313" t="s">
        <v>1038</v>
      </c>
      <c r="H72" s="286" t="s">
        <v>4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B5</f>
        <v>신한 #672</v>
      </c>
      <c r="C73" s="323" t="s">
        <v>1414</v>
      </c>
      <c r="D73" s="282" t="s">
        <v>623</v>
      </c>
      <c r="E73" s="326"/>
      <c r="F73" s="326">
        <v>2235084.0</v>
      </c>
      <c r="G73" s="313" t="s">
        <v>1045</v>
      </c>
      <c r="H73" s="286" t="s">
        <v>33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B5</f>
        <v>신한 #672</v>
      </c>
      <c r="C74" s="323" t="s">
        <v>1414</v>
      </c>
      <c r="D74" s="282" t="s">
        <v>1418</v>
      </c>
      <c r="E74" s="326"/>
      <c r="F74" s="326">
        <v>98000.0</v>
      </c>
      <c r="G74" s="313" t="s">
        <v>1047</v>
      </c>
      <c r="H74" s="286" t="s">
        <v>4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B7</f>
        <v>하나 #304</v>
      </c>
      <c r="C75" s="323" t="s">
        <v>1414</v>
      </c>
      <c r="D75" s="282" t="s">
        <v>721</v>
      </c>
      <c r="E75" s="326"/>
      <c r="F75" s="326">
        <v>1.0275023E7</v>
      </c>
      <c r="G75" s="313" t="s">
        <v>1045</v>
      </c>
      <c r="H75" s="286" t="s">
        <v>33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B7</f>
        <v>하나 #304</v>
      </c>
      <c r="C76" s="323" t="s">
        <v>1414</v>
      </c>
      <c r="D76" s="282" t="s">
        <v>41</v>
      </c>
      <c r="E76" s="326"/>
      <c r="F76" s="326">
        <v>8.0990016E7</v>
      </c>
      <c r="G76" s="313" t="s">
        <v>1419</v>
      </c>
      <c r="H76" s="286" t="s">
        <v>41</v>
      </c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B7</f>
        <v>하나 #304</v>
      </c>
      <c r="C77" s="323" t="s">
        <v>1414</v>
      </c>
      <c r="D77" s="282" t="s">
        <v>1115</v>
      </c>
      <c r="E77" s="291"/>
      <c r="F77" s="326">
        <v>7500.0</v>
      </c>
      <c r="G77" s="313" t="s">
        <v>1420</v>
      </c>
      <c r="H77" s="286" t="s">
        <v>33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B7</f>
        <v>하나 #304</v>
      </c>
      <c r="C78" s="323" t="s">
        <v>1414</v>
      </c>
      <c r="D78" s="282" t="s">
        <v>41</v>
      </c>
      <c r="E78" s="291"/>
      <c r="F78" s="326">
        <v>2016060.0</v>
      </c>
      <c r="G78" s="313" t="s">
        <v>1421</v>
      </c>
      <c r="H78" s="286" t="s">
        <v>41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B12</f>
        <v>OCBC USD</v>
      </c>
      <c r="C79" s="323" t="s">
        <v>1414</v>
      </c>
      <c r="D79" s="323" t="s">
        <v>632</v>
      </c>
      <c r="E79" s="291"/>
      <c r="F79" s="337">
        <v>100000.0</v>
      </c>
      <c r="G79" s="327" t="s">
        <v>1268</v>
      </c>
      <c r="H79" s="328" t="s">
        <v>556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B12</f>
        <v>OCBC USD</v>
      </c>
      <c r="C80" s="323" t="s">
        <v>1414</v>
      </c>
      <c r="D80" s="323" t="s">
        <v>828</v>
      </c>
      <c r="E80" s="291"/>
      <c r="F80" s="291">
        <v>43.0</v>
      </c>
      <c r="G80" s="327" t="s">
        <v>1079</v>
      </c>
      <c r="H80" s="328" t="s">
        <v>33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B12</f>
        <v>OCBC USD</v>
      </c>
      <c r="C81" s="323" t="s">
        <v>1414</v>
      </c>
      <c r="D81" s="323" t="s">
        <v>828</v>
      </c>
      <c r="E81" s="291"/>
      <c r="F81" s="291">
        <v>15.0</v>
      </c>
      <c r="G81" s="327" t="s">
        <v>1079</v>
      </c>
      <c r="H81" s="328" t="s">
        <v>33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B12</f>
        <v>OCBC USD</v>
      </c>
      <c r="C82" s="323" t="s">
        <v>1414</v>
      </c>
      <c r="D82" s="323" t="s">
        <v>1422</v>
      </c>
      <c r="E82" s="291"/>
      <c r="F82" s="291">
        <v>1800.0</v>
      </c>
      <c r="G82" s="327" t="s">
        <v>1423</v>
      </c>
      <c r="H82" s="328" t="s">
        <v>39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B12</f>
        <v>OCBC USD</v>
      </c>
      <c r="C83" s="323" t="s">
        <v>1414</v>
      </c>
      <c r="D83" s="323" t="s">
        <v>828</v>
      </c>
      <c r="E83" s="291"/>
      <c r="F83" s="291">
        <v>43.0</v>
      </c>
      <c r="G83" s="327" t="s">
        <v>1079</v>
      </c>
      <c r="H83" s="328" t="s">
        <v>33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B12</f>
        <v>OCBC USD</v>
      </c>
      <c r="C84" s="323" t="s">
        <v>1414</v>
      </c>
      <c r="D84" s="323" t="s">
        <v>828</v>
      </c>
      <c r="E84" s="291"/>
      <c r="F84" s="291">
        <v>15.0</v>
      </c>
      <c r="G84" s="327" t="s">
        <v>1079</v>
      </c>
      <c r="H84" s="328" t="s">
        <v>33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B8</f>
        <v>하나 #138</v>
      </c>
      <c r="C85" s="323" t="s">
        <v>1424</v>
      </c>
      <c r="D85" s="323" t="s">
        <v>634</v>
      </c>
      <c r="E85" s="291">
        <v>99995.0</v>
      </c>
      <c r="F85" s="291"/>
      <c r="G85" s="327" t="s">
        <v>1268</v>
      </c>
      <c r="H85" s="328" t="s">
        <v>556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1425</v>
      </c>
      <c r="D86" s="282" t="s">
        <v>1426</v>
      </c>
      <c r="E86" s="291"/>
      <c r="F86" s="326">
        <v>219500.0</v>
      </c>
      <c r="G86" s="313" t="s">
        <v>1427</v>
      </c>
      <c r="H86" s="286" t="s">
        <v>33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1425</v>
      </c>
      <c r="D87" s="282" t="s">
        <v>920</v>
      </c>
      <c r="E87" s="291"/>
      <c r="F87" s="326">
        <v>77000.0</v>
      </c>
      <c r="G87" s="327" t="s">
        <v>1006</v>
      </c>
      <c r="H87" s="328" t="s">
        <v>33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B9</f>
        <v>WISE USD</v>
      </c>
      <c r="C88" s="323" t="s">
        <v>1428</v>
      </c>
      <c r="D88" s="317" t="s">
        <v>1429</v>
      </c>
      <c r="E88" s="283"/>
      <c r="F88" s="291">
        <v>14.76</v>
      </c>
      <c r="G88" s="313" t="s">
        <v>1068</v>
      </c>
      <c r="H88" s="286" t="s">
        <v>33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B13</f>
        <v>OCBC SGD</v>
      </c>
      <c r="C89" s="323" t="s">
        <v>1425</v>
      </c>
      <c r="D89" s="282" t="s">
        <v>828</v>
      </c>
      <c r="E89" s="291"/>
      <c r="F89" s="292">
        <v>10.0</v>
      </c>
      <c r="G89" s="327" t="s">
        <v>1079</v>
      </c>
      <c r="H89" s="328" t="s">
        <v>33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B164" s="281"/>
      <c r="C164" s="282"/>
      <c r="D164" s="282"/>
      <c r="E164" s="291"/>
      <c r="F164" s="292"/>
      <c r="G164" s="313"/>
      <c r="H164" s="286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B165" s="281"/>
      <c r="C165" s="282"/>
      <c r="D165" s="282"/>
      <c r="E165" s="291"/>
      <c r="F165" s="292"/>
      <c r="G165" s="313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B166" s="281"/>
      <c r="C166" s="282"/>
      <c r="D166" s="282"/>
      <c r="E166" s="291"/>
      <c r="F166" s="292"/>
      <c r="G166" s="313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B167" s="281"/>
      <c r="C167" s="282"/>
      <c r="D167" s="282"/>
      <c r="E167" s="291"/>
      <c r="F167" s="292"/>
      <c r="G167" s="313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B168" s="281"/>
      <c r="C168" s="282"/>
      <c r="D168" s="282"/>
      <c r="E168" s="291"/>
      <c r="F168" s="292"/>
      <c r="G168" s="313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B169" s="281"/>
      <c r="C169" s="282"/>
      <c r="D169" s="282"/>
      <c r="E169" s="291"/>
      <c r="F169" s="292"/>
      <c r="G169" s="313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B170" s="281"/>
      <c r="C170" s="282"/>
      <c r="D170" s="282"/>
      <c r="E170" s="291"/>
      <c r="F170" s="292"/>
      <c r="G170" s="313"/>
      <c r="H170" s="286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B171" s="281"/>
      <c r="C171" s="282"/>
      <c r="D171" s="282"/>
      <c r="E171" s="291"/>
      <c r="F171" s="292"/>
      <c r="G171" s="313"/>
      <c r="H171" s="286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B172" s="281"/>
      <c r="C172" s="282"/>
      <c r="D172" s="282"/>
      <c r="E172" s="291"/>
      <c r="F172" s="292"/>
      <c r="G172" s="313"/>
      <c r="H172" s="286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B173" s="281"/>
      <c r="C173" s="282"/>
      <c r="D173" s="282"/>
      <c r="E173" s="291"/>
      <c r="F173" s="292"/>
      <c r="G173" s="313"/>
      <c r="H173" s="286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B174" s="281"/>
      <c r="C174" s="282"/>
      <c r="D174" s="282"/>
      <c r="E174" s="291"/>
      <c r="F174" s="292"/>
      <c r="G174" s="313"/>
      <c r="H174" s="286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B175" s="281"/>
      <c r="C175" s="282"/>
      <c r="D175" s="282"/>
      <c r="E175" s="291"/>
      <c r="F175" s="292"/>
      <c r="G175" s="313"/>
      <c r="H175" s="286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B176" s="281"/>
      <c r="C176" s="282"/>
      <c r="D176" s="282"/>
      <c r="E176" s="291"/>
      <c r="F176" s="292"/>
      <c r="G176" s="313"/>
      <c r="H176" s="286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B177" s="281"/>
      <c r="C177" s="282"/>
      <c r="D177" s="282"/>
      <c r="E177" s="291"/>
      <c r="F177" s="292"/>
      <c r="G177" s="313"/>
      <c r="H177" s="286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B178" s="281"/>
      <c r="C178" s="282"/>
      <c r="D178" s="282"/>
      <c r="E178" s="291"/>
      <c r="F178" s="292"/>
      <c r="G178" s="313"/>
      <c r="H178" s="286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B179" s="281"/>
      <c r="C179" s="282"/>
      <c r="D179" s="282"/>
      <c r="E179" s="291"/>
      <c r="F179" s="292"/>
      <c r="G179" s="313"/>
      <c r="H179" s="286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B180" s="281"/>
      <c r="C180" s="282"/>
      <c r="D180" s="282"/>
      <c r="E180" s="291"/>
      <c r="F180" s="292"/>
      <c r="G180" s="313"/>
      <c r="H180" s="286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</sheetData>
  <autoFilter ref="$B$21:$H$180">
    <sortState ref="B21:H180">
      <sortCondition ref="B21:B180"/>
    </sortState>
  </autoFilter>
  <customSheetViews>
    <customSheetView guid="{CD2BF927-9D79-47FC-BBA8-927062D6B3F5}" filter="1" showAutoFilter="1">
      <autoFilter ref="$B$21:$H$180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180">
      <formula1>$L:$L</formula1>
    </dataValidation>
  </dataValidations>
  <hyperlinks>
    <hyperlink r:id="rId1" ref="I3"/>
    <hyperlink r:id="rId2" ref="I4"/>
    <hyperlink r:id="rId3" ref="D88"/>
  </hyperlinks>
  <printOptions/>
  <pageMargins bottom="0.75" footer="0.0" header="0.0" left="0.25" right="0.25" top="0.75"/>
  <pageSetup fitToHeight="0" paperSize="9" orientation="portrait"/>
  <drawing r:id="rId4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1430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'23.08월'!G5</f>
        <v>26177729</v>
      </c>
      <c r="E5" s="227">
        <f>sumif(B22:B141,B5,E22:E143)</f>
        <v>20005469</v>
      </c>
      <c r="F5" s="228">
        <f>sumif(B22:B83,B5,F22:F144)</f>
        <v>34158054</v>
      </c>
      <c r="G5" s="229">
        <f t="shared" ref="G5:G13" si="1">D5+E5-F5</f>
        <v>12025144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'23.08월'!G6</f>
        <v>2.31</v>
      </c>
      <c r="E6" s="233">
        <f>sumif(B22:B143,B6,E22:E143)</f>
        <v>0</v>
      </c>
      <c r="F6" s="234">
        <f>sumif(B22:B83,B6,F22:F143)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'23.08월'!G7</f>
        <v>7178338</v>
      </c>
      <c r="E7" s="237">
        <f>sumif(B22:B143,B7,E22:E143)</f>
        <v>132210783</v>
      </c>
      <c r="F7" s="238">
        <f>sumif(B22:B83,B7,F22:F143)</f>
        <v>118639920</v>
      </c>
      <c r="G7" s="239">
        <f t="shared" si="1"/>
        <v>20749201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'23.08월'!G8</f>
        <v>353582.12</v>
      </c>
      <c r="E8" s="240">
        <f>sumif(B22:B143,B8,E22:E143)</f>
        <v>2.16</v>
      </c>
      <c r="F8" s="234">
        <f>sumif(B22:B83,B8,F22:F143)</f>
        <v>100000</v>
      </c>
      <c r="G8" s="235">
        <f t="shared" si="1"/>
        <v>253584.28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'23.08월'!G9</f>
        <v>58358.52</v>
      </c>
      <c r="E9" s="240">
        <f>sumif(B22:B83,B9,E22:E143)</f>
        <v>0</v>
      </c>
      <c r="F9" s="329">
        <f>sumif(B22:B83,B9,F22:F143)</f>
        <v>10</v>
      </c>
      <c r="G9" s="329">
        <f t="shared" si="1"/>
        <v>58348.52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'23.08월'!G10</f>
        <v>0</v>
      </c>
      <c r="E10" s="242">
        <f>sumif(B22:B141,B10,E22:E83)</f>
        <v>0</v>
      </c>
      <c r="F10" s="319">
        <f>sumif(B22:B83,B10,F22:F143)</f>
        <v>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'23.08월'!G11</f>
        <v>0</v>
      </c>
      <c r="E11" s="245">
        <f>sumif(B22:B143,B11,E22:E143)</f>
        <v>0</v>
      </c>
      <c r="F11" s="238">
        <f>sumif(B22:B83,B11,F22:F143)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'23.08월'!G12</f>
        <v>34802.73</v>
      </c>
      <c r="E12" s="240">
        <f>sumif(B22:B86,B12,E22:E86)</f>
        <v>0</v>
      </c>
      <c r="F12" s="234">
        <f>sumif(B22:B82,B12,F22:F144)</f>
        <v>21019.26</v>
      </c>
      <c r="G12" s="235">
        <f t="shared" si="1"/>
        <v>13783.47</v>
      </c>
      <c r="H12" s="351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'23.08월'!G13</f>
        <v>695</v>
      </c>
      <c r="E13" s="308">
        <f>sumif(B22:B143,B13,E22:E144)</f>
        <v>0</v>
      </c>
      <c r="F13" s="309">
        <f>sumif(B22:B82,B13,F22:F144)</f>
        <v>40</v>
      </c>
      <c r="G13" s="310">
        <f t="shared" si="1"/>
        <v>655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352" t="s">
        <v>11</v>
      </c>
      <c r="I14" s="352" t="s">
        <v>8</v>
      </c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33356067</v>
      </c>
      <c r="E15" s="262">
        <f t="shared" si="2"/>
        <v>152216252</v>
      </c>
      <c r="F15" s="263">
        <f t="shared" si="2"/>
        <v>152797974</v>
      </c>
      <c r="G15" s="345">
        <f>G5+G11+G7</f>
        <v>32774345</v>
      </c>
      <c r="H15" s="353">
        <f>G15</f>
        <v>32774345</v>
      </c>
      <c r="I15" s="353">
        <f>D15</f>
        <v>33356067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446745.68</v>
      </c>
      <c r="E16" s="269">
        <f t="shared" si="3"/>
        <v>2.16</v>
      </c>
      <c r="F16" s="270">
        <f t="shared" si="3"/>
        <v>121029.26</v>
      </c>
      <c r="G16" s="346">
        <f>G9+G6+G8+G12</f>
        <v>325718.58</v>
      </c>
      <c r="H16" s="265">
        <f>rounddown(G16*$J$3,0)</f>
        <v>479693895</v>
      </c>
      <c r="I16" s="265">
        <f>rounddown(D16*$J$3,0)</f>
        <v>657933531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695</v>
      </c>
      <c r="E17" s="274">
        <f t="shared" si="4"/>
        <v>0</v>
      </c>
      <c r="F17" s="275">
        <f t="shared" si="4"/>
        <v>40</v>
      </c>
      <c r="G17" s="347">
        <f t="shared" si="4"/>
        <v>655</v>
      </c>
      <c r="H17" s="277">
        <f>rounddown(G17*$J$4,0)</f>
        <v>749244</v>
      </c>
      <c r="I17" s="277">
        <f>rounddown(D17*$J$4,0)</f>
        <v>795000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513217484</v>
      </c>
      <c r="I18" s="279">
        <f t="shared" si="5"/>
        <v>692084598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-178867114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B12</f>
        <v>OCBC USD</v>
      </c>
      <c r="C22" s="323" t="s">
        <v>1431</v>
      </c>
      <c r="D22" s="323" t="s">
        <v>740</v>
      </c>
      <c r="E22" s="325"/>
      <c r="F22" s="337">
        <v>10480.58</v>
      </c>
      <c r="G22" s="327" t="s">
        <v>1432</v>
      </c>
      <c r="H22" s="328" t="s">
        <v>41</v>
      </c>
      <c r="I22" s="107"/>
      <c r="J22" s="141"/>
      <c r="K22" s="138"/>
      <c r="L22" s="83" t="s">
        <v>1327</v>
      </c>
      <c r="M22" s="84" t="s">
        <v>1328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B12</f>
        <v>OCBC USD</v>
      </c>
      <c r="C23" s="323" t="s">
        <v>1431</v>
      </c>
      <c r="D23" s="323" t="s">
        <v>1433</v>
      </c>
      <c r="E23" s="325"/>
      <c r="F23" s="337">
        <v>43.0</v>
      </c>
      <c r="G23" s="327" t="s">
        <v>1079</v>
      </c>
      <c r="H23" s="328" t="s">
        <v>33</v>
      </c>
      <c r="I23" s="107"/>
      <c r="J23" s="141"/>
      <c r="K23" s="138"/>
      <c r="L23" s="83" t="s">
        <v>1385</v>
      </c>
      <c r="M23" s="84" t="s">
        <v>1386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 t="shared" ref="B24:B25" si="6">B12</f>
        <v>OCBC USD</v>
      </c>
      <c r="C24" s="323" t="s">
        <v>1431</v>
      </c>
      <c r="D24" s="323" t="s">
        <v>1433</v>
      </c>
      <c r="E24" s="325"/>
      <c r="F24" s="337">
        <v>15.0</v>
      </c>
      <c r="G24" s="327" t="s">
        <v>1079</v>
      </c>
      <c r="H24" s="328" t="s">
        <v>33</v>
      </c>
      <c r="I24" s="107"/>
      <c r="J24" s="141"/>
      <c r="K24" s="138"/>
      <c r="L24" s="341"/>
      <c r="M24" s="341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 t="shared" si="6"/>
        <v>OCBC SGD</v>
      </c>
      <c r="C25" s="323" t="s">
        <v>1431</v>
      </c>
      <c r="D25" s="323" t="s">
        <v>1433</v>
      </c>
      <c r="E25" s="325"/>
      <c r="F25" s="337">
        <v>15.0</v>
      </c>
      <c r="G25" s="327" t="s">
        <v>1079</v>
      </c>
      <c r="H25" s="328" t="s">
        <v>33</v>
      </c>
      <c r="I25" s="107"/>
      <c r="J25" s="141"/>
      <c r="K25" s="138"/>
      <c r="L25" s="341"/>
      <c r="M25" s="341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B13</f>
        <v>OCBC SGD</v>
      </c>
      <c r="C26" s="323" t="s">
        <v>1434</v>
      </c>
      <c r="D26" s="323" t="s">
        <v>1433</v>
      </c>
      <c r="E26" s="325"/>
      <c r="F26" s="337">
        <v>10.0</v>
      </c>
      <c r="G26" s="327" t="s">
        <v>1079</v>
      </c>
      <c r="H26" s="328" t="s">
        <v>33</v>
      </c>
      <c r="I26" s="107"/>
      <c r="J26" s="141"/>
      <c r="K26" s="138"/>
      <c r="L26" s="341"/>
      <c r="M26" s="341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B5</f>
        <v>신한 #672</v>
      </c>
      <c r="C27" s="323" t="s">
        <v>1434</v>
      </c>
      <c r="D27" s="323" t="s">
        <v>789</v>
      </c>
      <c r="E27" s="325"/>
      <c r="F27" s="325">
        <v>6364600.0</v>
      </c>
      <c r="G27" s="327" t="s">
        <v>1390</v>
      </c>
      <c r="H27" s="328" t="s">
        <v>33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B5</f>
        <v>신한 #672</v>
      </c>
      <c r="C28" s="323" t="s">
        <v>1434</v>
      </c>
      <c r="D28" s="323" t="s">
        <v>1120</v>
      </c>
      <c r="E28" s="337"/>
      <c r="F28" s="325">
        <v>500.0</v>
      </c>
      <c r="G28" s="327" t="s">
        <v>1073</v>
      </c>
      <c r="H28" s="328" t="s">
        <v>33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B5</f>
        <v>신한 #672</v>
      </c>
      <c r="C29" s="323" t="s">
        <v>1434</v>
      </c>
      <c r="D29" s="323" t="s">
        <v>1230</v>
      </c>
      <c r="E29" s="337"/>
      <c r="F29" s="325">
        <v>825000.0</v>
      </c>
      <c r="G29" s="327" t="s">
        <v>1391</v>
      </c>
      <c r="H29" s="328" t="s">
        <v>33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B7</f>
        <v>하나 #304</v>
      </c>
      <c r="C30" s="323" t="s">
        <v>1435</v>
      </c>
      <c r="D30" s="323" t="s">
        <v>632</v>
      </c>
      <c r="E30" s="337">
        <v>1.322E8</v>
      </c>
      <c r="F30" s="325"/>
      <c r="G30" s="327" t="s">
        <v>679</v>
      </c>
      <c r="H30" s="328" t="s">
        <v>556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B7</f>
        <v>하나 #304</v>
      </c>
      <c r="C31" s="323" t="s">
        <v>1435</v>
      </c>
      <c r="D31" s="323" t="s">
        <v>1089</v>
      </c>
      <c r="E31" s="325"/>
      <c r="F31" s="325">
        <v>176840.0</v>
      </c>
      <c r="G31" s="327" t="s">
        <v>1436</v>
      </c>
      <c r="H31" s="328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B7</f>
        <v>하나 #304</v>
      </c>
      <c r="C32" s="323" t="s">
        <v>1435</v>
      </c>
      <c r="D32" s="323" t="s">
        <v>1017</v>
      </c>
      <c r="E32" s="337"/>
      <c r="F32" s="325">
        <v>708470.0</v>
      </c>
      <c r="G32" s="327" t="s">
        <v>1437</v>
      </c>
      <c r="H32" s="328" t="s">
        <v>31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B7</f>
        <v>하나 #304</v>
      </c>
      <c r="C33" s="323" t="s">
        <v>1435</v>
      </c>
      <c r="D33" s="323" t="s">
        <v>122</v>
      </c>
      <c r="E33" s="325"/>
      <c r="F33" s="325">
        <v>990500.0</v>
      </c>
      <c r="G33" s="327" t="s">
        <v>1438</v>
      </c>
      <c r="H33" s="328" t="s">
        <v>4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B7</f>
        <v>하나 #304</v>
      </c>
      <c r="C34" s="323" t="s">
        <v>1435</v>
      </c>
      <c r="D34" s="323" t="s">
        <v>113</v>
      </c>
      <c r="E34" s="325"/>
      <c r="F34" s="325">
        <v>14500.0</v>
      </c>
      <c r="G34" s="327" t="s">
        <v>1438</v>
      </c>
      <c r="H34" s="328" t="s">
        <v>4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323" t="s">
        <v>1435</v>
      </c>
      <c r="D35" s="323" t="s">
        <v>1052</v>
      </c>
      <c r="E35" s="337"/>
      <c r="F35" s="325">
        <v>2.00005E7</v>
      </c>
      <c r="G35" s="327" t="s">
        <v>1035</v>
      </c>
      <c r="H35" s="328" t="s">
        <v>556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 t="shared" ref="B36:B37" si="7">B7</f>
        <v>하나 #304</v>
      </c>
      <c r="C36" s="323" t="s">
        <v>1435</v>
      </c>
      <c r="D36" s="323" t="s">
        <v>1089</v>
      </c>
      <c r="E36" s="337"/>
      <c r="F36" s="325">
        <v>6908640.0</v>
      </c>
      <c r="G36" s="327" t="s">
        <v>1439</v>
      </c>
      <c r="H36" s="328" t="s">
        <v>31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 t="shared" si="7"/>
        <v>하나 #138</v>
      </c>
      <c r="C37" s="323" t="s">
        <v>1435</v>
      </c>
      <c r="D37" s="323" t="s">
        <v>632</v>
      </c>
      <c r="E37" s="337"/>
      <c r="F37" s="337">
        <v>100000.0</v>
      </c>
      <c r="G37" s="327" t="s">
        <v>679</v>
      </c>
      <c r="H37" s="328" t="s">
        <v>556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323" t="s">
        <v>1435</v>
      </c>
      <c r="D38" s="323" t="s">
        <v>1440</v>
      </c>
      <c r="E38" s="337"/>
      <c r="F38" s="325">
        <v>7017600.0</v>
      </c>
      <c r="G38" s="327" t="s">
        <v>1440</v>
      </c>
      <c r="H38" s="328" t="s">
        <v>31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1435</v>
      </c>
      <c r="D39" s="323" t="s">
        <v>1441</v>
      </c>
      <c r="E39" s="337"/>
      <c r="F39" s="325">
        <v>6962440.0</v>
      </c>
      <c r="G39" s="327" t="s">
        <v>1441</v>
      </c>
      <c r="H39" s="328" t="s">
        <v>31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323" t="s">
        <v>1435</v>
      </c>
      <c r="D40" s="323" t="s">
        <v>1442</v>
      </c>
      <c r="E40" s="337"/>
      <c r="F40" s="325">
        <v>1542260.0</v>
      </c>
      <c r="G40" s="327" t="s">
        <v>1442</v>
      </c>
      <c r="H40" s="328" t="s">
        <v>31</v>
      </c>
      <c r="I40" s="107"/>
      <c r="J40" s="141"/>
      <c r="K40" s="138"/>
      <c r="L40" s="138" t="s">
        <v>1443</v>
      </c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B5</f>
        <v>신한 #672</v>
      </c>
      <c r="C41" s="323" t="s">
        <v>1435</v>
      </c>
      <c r="D41" s="323" t="s">
        <v>1444</v>
      </c>
      <c r="E41" s="337"/>
      <c r="F41" s="325">
        <v>587050.0</v>
      </c>
      <c r="G41" s="327" t="s">
        <v>1444</v>
      </c>
      <c r="H41" s="328" t="s">
        <v>31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323" t="s">
        <v>1435</v>
      </c>
      <c r="D42" s="323" t="s">
        <v>632</v>
      </c>
      <c r="E42" s="337">
        <v>2.0E7</v>
      </c>
      <c r="F42" s="325"/>
      <c r="G42" s="327" t="s">
        <v>1035</v>
      </c>
      <c r="H42" s="328" t="s">
        <v>556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323" t="s">
        <v>1445</v>
      </c>
      <c r="D43" s="323" t="s">
        <v>906</v>
      </c>
      <c r="E43" s="325">
        <v>5469.0</v>
      </c>
      <c r="F43" s="325"/>
      <c r="G43" s="327" t="s">
        <v>1446</v>
      </c>
      <c r="H43" s="328" t="s">
        <v>75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 t="shared" ref="B44:B45" si="8">B7</f>
        <v>하나 #304</v>
      </c>
      <c r="C44" s="323" t="s">
        <v>1445</v>
      </c>
      <c r="D44" s="323" t="s">
        <v>906</v>
      </c>
      <c r="E44" s="325">
        <v>10783.0</v>
      </c>
      <c r="F44" s="325"/>
      <c r="G44" s="327" t="s">
        <v>1446</v>
      </c>
      <c r="H44" s="328" t="s">
        <v>75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44" t="str">
        <f t="shared" si="8"/>
        <v>하나 #138</v>
      </c>
      <c r="C45" s="323" t="s">
        <v>1445</v>
      </c>
      <c r="D45" s="323" t="s">
        <v>906</v>
      </c>
      <c r="E45" s="337">
        <v>2.16</v>
      </c>
      <c r="F45" s="337"/>
      <c r="G45" s="327" t="s">
        <v>1446</v>
      </c>
      <c r="H45" s="328" t="s">
        <v>75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B12</f>
        <v>OCBC USD</v>
      </c>
      <c r="C46" s="323" t="s">
        <v>1447</v>
      </c>
      <c r="D46" s="323" t="s">
        <v>740</v>
      </c>
      <c r="E46" s="325"/>
      <c r="F46" s="337">
        <v>10422.68</v>
      </c>
      <c r="G46" s="327" t="s">
        <v>1448</v>
      </c>
      <c r="H46" s="328" t="s">
        <v>41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B12</f>
        <v>OCBC USD</v>
      </c>
      <c r="C47" s="323" t="s">
        <v>1447</v>
      </c>
      <c r="D47" s="323" t="s">
        <v>1433</v>
      </c>
      <c r="E47" s="325"/>
      <c r="F47" s="337">
        <v>43.0</v>
      </c>
      <c r="G47" s="327" t="s">
        <v>1449</v>
      </c>
      <c r="H47" s="328" t="s">
        <v>33</v>
      </c>
      <c r="I47" s="107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</row>
    <row r="48" ht="15.0" customHeight="1">
      <c r="A48" s="105"/>
      <c r="B48" s="281" t="str">
        <f t="shared" ref="B48:B49" si="9">B12</f>
        <v>OCBC USD</v>
      </c>
      <c r="C48" s="323" t="s">
        <v>1447</v>
      </c>
      <c r="D48" s="323" t="s">
        <v>1433</v>
      </c>
      <c r="E48" s="325"/>
      <c r="F48" s="337">
        <v>15.0</v>
      </c>
      <c r="G48" s="327" t="s">
        <v>1449</v>
      </c>
      <c r="H48" s="328" t="s">
        <v>33</v>
      </c>
      <c r="I48" s="107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 t="shared" si="9"/>
        <v>OCBC SGD</v>
      </c>
      <c r="C49" s="323" t="s">
        <v>1450</v>
      </c>
      <c r="D49" s="323" t="s">
        <v>1433</v>
      </c>
      <c r="E49" s="325"/>
      <c r="F49" s="337">
        <v>15.0</v>
      </c>
      <c r="G49" s="327" t="s">
        <v>1079</v>
      </c>
      <c r="H49" s="328" t="s">
        <v>33</v>
      </c>
      <c r="I49" s="107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B5</f>
        <v>신한 #672</v>
      </c>
      <c r="C50" s="323" t="s">
        <v>1451</v>
      </c>
      <c r="D50" s="323" t="s">
        <v>1452</v>
      </c>
      <c r="E50" s="325"/>
      <c r="F50" s="325">
        <v>1287000.0</v>
      </c>
      <c r="G50" s="327" t="s">
        <v>1453</v>
      </c>
      <c r="H50" s="328" t="s">
        <v>930</v>
      </c>
      <c r="I50" s="107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B5</f>
        <v>신한 #672</v>
      </c>
      <c r="C51" s="323" t="s">
        <v>1447</v>
      </c>
      <c r="D51" s="323" t="s">
        <v>1454</v>
      </c>
      <c r="E51" s="291"/>
      <c r="F51" s="325">
        <v>970000.0</v>
      </c>
      <c r="G51" s="327" t="s">
        <v>1455</v>
      </c>
      <c r="H51" s="328" t="s">
        <v>4</v>
      </c>
      <c r="I51" s="107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B5</f>
        <v>신한 #672</v>
      </c>
      <c r="C52" s="323" t="s">
        <v>1456</v>
      </c>
      <c r="D52" s="323" t="s">
        <v>1202</v>
      </c>
      <c r="E52" s="283"/>
      <c r="F52" s="325">
        <v>110000.0</v>
      </c>
      <c r="G52" s="313" t="s">
        <v>1202</v>
      </c>
      <c r="H52" s="286" t="s">
        <v>33</v>
      </c>
      <c r="I52" s="107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B7</f>
        <v>하나 #304</v>
      </c>
      <c r="C53" s="323" t="s">
        <v>1457</v>
      </c>
      <c r="D53" s="282" t="s">
        <v>41</v>
      </c>
      <c r="E53" s="326"/>
      <c r="F53" s="326">
        <v>8.0990016E7</v>
      </c>
      <c r="G53" s="313" t="s">
        <v>1458</v>
      </c>
      <c r="H53" s="286" t="s">
        <v>41</v>
      </c>
      <c r="I53" s="107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B7</f>
        <v>하나 #304</v>
      </c>
      <c r="C54" s="323" t="s">
        <v>1457</v>
      </c>
      <c r="D54" s="282" t="s">
        <v>1115</v>
      </c>
      <c r="E54" s="291"/>
      <c r="F54" s="326">
        <v>7500.0</v>
      </c>
      <c r="G54" s="313" t="s">
        <v>1459</v>
      </c>
      <c r="H54" s="286" t="s">
        <v>33</v>
      </c>
      <c r="I54" s="107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B7</f>
        <v>하나 #304</v>
      </c>
      <c r="C55" s="323" t="s">
        <v>1457</v>
      </c>
      <c r="D55" s="282" t="s">
        <v>41</v>
      </c>
      <c r="E55" s="291"/>
      <c r="F55" s="326">
        <v>2016060.0</v>
      </c>
      <c r="G55" s="313" t="s">
        <v>1460</v>
      </c>
      <c r="H55" s="286" t="s">
        <v>41</v>
      </c>
      <c r="I55" s="326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B7</f>
        <v>하나 #304</v>
      </c>
      <c r="C56" s="323" t="s">
        <v>1457</v>
      </c>
      <c r="D56" s="282" t="s">
        <v>721</v>
      </c>
      <c r="E56" s="326"/>
      <c r="F56" s="326">
        <v>6826894.0</v>
      </c>
      <c r="G56" s="313" t="s">
        <v>1045</v>
      </c>
      <c r="H56" s="286" t="s">
        <v>33</v>
      </c>
      <c r="I56" s="107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B5</f>
        <v>신한 #672</v>
      </c>
      <c r="C57" s="323" t="s">
        <v>1457</v>
      </c>
      <c r="D57" s="282" t="s">
        <v>1416</v>
      </c>
      <c r="E57" s="283"/>
      <c r="F57" s="283">
        <v>55770.0</v>
      </c>
      <c r="G57" s="313" t="s">
        <v>1044</v>
      </c>
      <c r="H57" s="286" t="s">
        <v>4</v>
      </c>
      <c r="I57" s="107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>B5</f>
        <v>신한 #672</v>
      </c>
      <c r="C58" s="323" t="s">
        <v>1457</v>
      </c>
      <c r="D58" s="282" t="s">
        <v>497</v>
      </c>
      <c r="E58" s="283"/>
      <c r="F58" s="283">
        <v>330000.0</v>
      </c>
      <c r="G58" s="313" t="s">
        <v>1042</v>
      </c>
      <c r="H58" s="286" t="s">
        <v>33</v>
      </c>
      <c r="I58" s="107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>B5</f>
        <v>신한 #672</v>
      </c>
      <c r="C59" s="323" t="s">
        <v>1457</v>
      </c>
      <c r="D59" s="282" t="s">
        <v>1417</v>
      </c>
      <c r="E59" s="283"/>
      <c r="F59" s="283">
        <v>20660.0</v>
      </c>
      <c r="G59" s="313" t="s">
        <v>1039</v>
      </c>
      <c r="H59" s="286" t="s">
        <v>4</v>
      </c>
      <c r="I59" s="107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B5</f>
        <v>신한 #672</v>
      </c>
      <c r="C60" s="323" t="s">
        <v>1457</v>
      </c>
      <c r="D60" s="282" t="s">
        <v>1417</v>
      </c>
      <c r="E60" s="283"/>
      <c r="F60" s="283">
        <v>50250.0</v>
      </c>
      <c r="G60" s="313" t="s">
        <v>1040</v>
      </c>
      <c r="H60" s="286" t="s">
        <v>4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B5</f>
        <v>신한 #672</v>
      </c>
      <c r="C61" s="323" t="s">
        <v>1457</v>
      </c>
      <c r="D61" s="282" t="s">
        <v>1417</v>
      </c>
      <c r="E61" s="283"/>
      <c r="F61" s="283">
        <v>37430.0</v>
      </c>
      <c r="G61" s="313" t="s">
        <v>1038</v>
      </c>
      <c r="H61" s="286" t="s">
        <v>4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323" t="s">
        <v>1457</v>
      </c>
      <c r="D62" s="282" t="s">
        <v>1417</v>
      </c>
      <c r="E62" s="291"/>
      <c r="F62" s="283">
        <v>20660.0</v>
      </c>
      <c r="G62" s="313" t="s">
        <v>1039</v>
      </c>
      <c r="H62" s="286" t="s">
        <v>4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B5</f>
        <v>신한 #672</v>
      </c>
      <c r="C63" s="323" t="s">
        <v>1457</v>
      </c>
      <c r="D63" s="282" t="s">
        <v>1417</v>
      </c>
      <c r="E63" s="283"/>
      <c r="F63" s="283">
        <v>37430.0</v>
      </c>
      <c r="G63" s="313" t="s">
        <v>1038</v>
      </c>
      <c r="H63" s="286" t="s">
        <v>4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B5</f>
        <v>신한 #672</v>
      </c>
      <c r="C64" s="323" t="s">
        <v>1457</v>
      </c>
      <c r="D64" s="282" t="s">
        <v>623</v>
      </c>
      <c r="E64" s="326"/>
      <c r="F64" s="326">
        <v>3717232.0</v>
      </c>
      <c r="G64" s="313" t="s">
        <v>1045</v>
      </c>
      <c r="H64" s="286" t="s">
        <v>33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B5</f>
        <v>신한 #672</v>
      </c>
      <c r="C65" s="323" t="s">
        <v>1457</v>
      </c>
      <c r="D65" s="282" t="s">
        <v>1418</v>
      </c>
      <c r="E65" s="326"/>
      <c r="F65" s="326">
        <v>98000.0</v>
      </c>
      <c r="G65" s="313" t="s">
        <v>1047</v>
      </c>
      <c r="H65" s="286" t="s">
        <v>4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B9</f>
        <v>WISE USD</v>
      </c>
      <c r="C66" s="323" t="s">
        <v>1461</v>
      </c>
      <c r="D66" s="296" t="s">
        <v>542</v>
      </c>
      <c r="E66" s="283"/>
      <c r="F66" s="291">
        <v>10.0</v>
      </c>
      <c r="G66" s="313" t="s">
        <v>1068</v>
      </c>
      <c r="H66" s="286" t="s">
        <v>33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B5</f>
        <v>신한 #672</v>
      </c>
      <c r="C67" s="323" t="s">
        <v>1462</v>
      </c>
      <c r="D67" s="282" t="s">
        <v>623</v>
      </c>
      <c r="E67" s="291"/>
      <c r="F67" s="326">
        <v>1624800.0</v>
      </c>
      <c r="G67" s="313" t="s">
        <v>1045</v>
      </c>
      <c r="H67" s="286" t="s">
        <v>33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B5</f>
        <v>신한 #672</v>
      </c>
      <c r="C68" s="323" t="s">
        <v>1462</v>
      </c>
      <c r="D68" s="282" t="s">
        <v>623</v>
      </c>
      <c r="E68" s="291"/>
      <c r="F68" s="326">
        <v>2422372.0</v>
      </c>
      <c r="G68" s="313" t="s">
        <v>1045</v>
      </c>
      <c r="H68" s="286" t="s">
        <v>33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B5</f>
        <v>신한 #672</v>
      </c>
      <c r="C69" s="323" t="s">
        <v>1463</v>
      </c>
      <c r="D69" s="282" t="s">
        <v>920</v>
      </c>
      <c r="E69" s="291"/>
      <c r="F69" s="326">
        <v>77000.0</v>
      </c>
      <c r="G69" s="327" t="s">
        <v>1006</v>
      </c>
      <c r="H69" s="328" t="s">
        <v>33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/>
      <c r="C70" s="323"/>
      <c r="D70" s="282"/>
      <c r="E70" s="291"/>
      <c r="F70" s="326"/>
      <c r="G70" s="327"/>
      <c r="H70" s="328"/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/>
      <c r="C71" s="282"/>
      <c r="D71" s="282"/>
      <c r="E71" s="291"/>
      <c r="F71" s="292"/>
      <c r="G71" s="313"/>
      <c r="H71" s="286"/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/>
      <c r="C72" s="282"/>
      <c r="D72" s="282"/>
      <c r="E72" s="291"/>
      <c r="F72" s="292"/>
      <c r="G72" s="313"/>
      <c r="H72" s="286"/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/>
      <c r="C73" s="282"/>
      <c r="D73" s="282"/>
      <c r="E73" s="291"/>
      <c r="F73" s="292"/>
      <c r="G73" s="313"/>
      <c r="H73" s="286"/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/>
      <c r="C74" s="282"/>
      <c r="D74" s="282"/>
      <c r="E74" s="291"/>
      <c r="F74" s="292"/>
      <c r="G74" s="313"/>
      <c r="H74" s="286"/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/>
      <c r="C75" s="282"/>
      <c r="D75" s="282"/>
      <c r="E75" s="291"/>
      <c r="F75" s="292"/>
      <c r="G75" s="313"/>
      <c r="H75" s="286"/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282"/>
      <c r="D76" s="282"/>
      <c r="E76" s="291"/>
      <c r="F76" s="292"/>
      <c r="G76" s="313"/>
      <c r="H76" s="286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282"/>
      <c r="D77" s="282"/>
      <c r="E77" s="291"/>
      <c r="F77" s="292"/>
      <c r="G77" s="313"/>
      <c r="H77" s="286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282"/>
      <c r="D78" s="282"/>
      <c r="E78" s="291"/>
      <c r="F78" s="292"/>
      <c r="G78" s="313"/>
      <c r="H78" s="286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282"/>
      <c r="D79" s="282"/>
      <c r="E79" s="291"/>
      <c r="F79" s="292"/>
      <c r="G79" s="313"/>
      <c r="H79" s="286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282"/>
      <c r="D80" s="282"/>
      <c r="E80" s="291"/>
      <c r="F80" s="292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282"/>
      <c r="D81" s="282"/>
      <c r="E81" s="291"/>
      <c r="F81" s="292"/>
      <c r="G81" s="313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282"/>
      <c r="D82" s="282"/>
      <c r="E82" s="291"/>
      <c r="F82" s="292"/>
      <c r="G82" s="313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92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92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B163" s="281"/>
      <c r="C163" s="282"/>
      <c r="D163" s="282"/>
      <c r="E163" s="291"/>
      <c r="F163" s="292"/>
      <c r="G163" s="313"/>
      <c r="H163" s="286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</sheetData>
  <autoFilter ref="$B$21:$H$163">
    <sortState ref="B21:H163">
      <sortCondition ref="B21:B163"/>
    </sortState>
  </autoFilter>
  <customSheetViews>
    <customSheetView guid="{CD2BF927-9D79-47FC-BBA8-927062D6B3F5}" filter="1" showAutoFilter="1">
      <autoFilter ref="$B$21:$H$163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163">
      <formula1>$L:$L</formula1>
    </dataValidation>
  </dataValidations>
  <hyperlinks>
    <hyperlink r:id="rId1" ref="I3"/>
    <hyperlink r:id="rId2" ref="I4"/>
    <hyperlink r:id="rId3" ref="D66"/>
  </hyperlinks>
  <printOptions/>
  <pageMargins bottom="0.75" footer="0.0" header="0.0" left="0.25" right="0.25" top="0.75"/>
  <pageSetup fitToHeight="0" paperSize="9" orientation="portrait"/>
  <drawing r:id="rId4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1464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'23.09월'!G5</f>
        <v>12025144</v>
      </c>
      <c r="E5" s="227">
        <f>sumif(B22:B135,B5,E22:E137)</f>
        <v>20000000</v>
      </c>
      <c r="F5" s="228">
        <f>sumif(B22:B77,B5,F22:F138)</f>
        <v>24097860</v>
      </c>
      <c r="G5" s="229">
        <f t="shared" ref="G5:G13" si="1">D5+E5-F5</f>
        <v>7927284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'23.09월'!G6</f>
        <v>2.31</v>
      </c>
      <c r="E6" s="233">
        <f>sumif(B22:B137,B6,E22:E137)</f>
        <v>0</v>
      </c>
      <c r="F6" s="234">
        <f>sumif(B22:B77,B6,F22:F137)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'23.09월'!G7</f>
        <v>20749201</v>
      </c>
      <c r="E7" s="237">
        <f>sumif(B22:B137,B7,E22:E137)</f>
        <v>133311000</v>
      </c>
      <c r="F7" s="238">
        <f>sumif(B22:B77,B7,F22:F137)</f>
        <v>121836105</v>
      </c>
      <c r="G7" s="239">
        <f t="shared" si="1"/>
        <v>32224096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'23.09월'!G8</f>
        <v>253584.28</v>
      </c>
      <c r="E8" s="240">
        <f>sumif(B22:B137,B8,E22:E137)</f>
        <v>0</v>
      </c>
      <c r="F8" s="234">
        <f>sumif(B22:B77,B8,F22:F137)</f>
        <v>100000</v>
      </c>
      <c r="G8" s="235">
        <f t="shared" si="1"/>
        <v>153584.28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'23.09월'!G9</f>
        <v>58348.52</v>
      </c>
      <c r="E9" s="240">
        <f>sumif(B22:B77,B9,E22:E137)</f>
        <v>0.02</v>
      </c>
      <c r="F9" s="329">
        <f>sumif(B22:B77,B9,F22:F137)</f>
        <v>13348.23</v>
      </c>
      <c r="G9" s="329">
        <f t="shared" si="1"/>
        <v>45000.31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'23.09월'!G10</f>
        <v>0</v>
      </c>
      <c r="E10" s="242">
        <f>sumif(B22:B135,B10,E22:E77)</f>
        <v>0</v>
      </c>
      <c r="F10" s="319">
        <f>sumif(B22:B77,B10,F22:F137)</f>
        <v>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'23.09월'!G11</f>
        <v>0</v>
      </c>
      <c r="E11" s="245">
        <f>sumif(B22:B137,B11,E22:E137)</f>
        <v>2300</v>
      </c>
      <c r="F11" s="238">
        <f>sumif(B22:B77,B11,F22:F137)</f>
        <v>0</v>
      </c>
      <c r="G11" s="239">
        <f t="shared" si="1"/>
        <v>2300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'23.09월'!G12</f>
        <v>13783.47</v>
      </c>
      <c r="E12" s="240">
        <f>sumif(B22:B80,B12,E22:E80)</f>
        <v>0</v>
      </c>
      <c r="F12" s="234">
        <f>sumif(B22:B76,B12,F22:F138)</f>
        <v>2798.82</v>
      </c>
      <c r="G12" s="235">
        <f t="shared" si="1"/>
        <v>10984.65</v>
      </c>
      <c r="H12" s="351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'23.09월'!G13</f>
        <v>655</v>
      </c>
      <c r="E13" s="308">
        <f>sumif(B22:B137,B13,E22:E138)</f>
        <v>0</v>
      </c>
      <c r="F13" s="309">
        <f>sumif(B22:B76,B13,F22:F138)</f>
        <v>25</v>
      </c>
      <c r="G13" s="310">
        <f t="shared" si="1"/>
        <v>630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255"/>
      <c r="F14" s="256"/>
      <c r="G14" s="257"/>
      <c r="H14" s="352" t="s">
        <v>11</v>
      </c>
      <c r="I14" s="352" t="s">
        <v>8</v>
      </c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32774345</v>
      </c>
      <c r="E15" s="262">
        <f t="shared" si="2"/>
        <v>153313300</v>
      </c>
      <c r="F15" s="263">
        <f t="shared" si="2"/>
        <v>145933965</v>
      </c>
      <c r="G15" s="345">
        <f>G5+G11+G7</f>
        <v>40153680</v>
      </c>
      <c r="H15" s="353">
        <f>G15</f>
        <v>40153680</v>
      </c>
      <c r="I15" s="353">
        <f>D15</f>
        <v>32774345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325718.58</v>
      </c>
      <c r="E16" s="269">
        <f t="shared" si="3"/>
        <v>0.02</v>
      </c>
      <c r="F16" s="270">
        <f t="shared" si="3"/>
        <v>116147.05</v>
      </c>
      <c r="G16" s="346">
        <f>G9+G6+G8+G12</f>
        <v>209571.55</v>
      </c>
      <c r="H16" s="265">
        <f>rounddown(G16*$J$3,0)</f>
        <v>308641260</v>
      </c>
      <c r="I16" s="265">
        <f>rounddown(D16*$J$3,0)</f>
        <v>479693895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655</v>
      </c>
      <c r="E17" s="274">
        <f t="shared" si="4"/>
        <v>0</v>
      </c>
      <c r="F17" s="275">
        <f t="shared" si="4"/>
        <v>25</v>
      </c>
      <c r="G17" s="347">
        <f t="shared" si="4"/>
        <v>630</v>
      </c>
      <c r="H17" s="277">
        <f>rounddown(G17*$J$4,0)</f>
        <v>720647</v>
      </c>
      <c r="I17" s="277">
        <f>rounddown(D17*$J$4,0)</f>
        <v>749244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349515587</v>
      </c>
      <c r="I18" s="279">
        <f t="shared" si="5"/>
        <v>513217484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-163701897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B5</f>
        <v>신한 #672</v>
      </c>
      <c r="C22" s="323" t="s">
        <v>1465</v>
      </c>
      <c r="D22" s="323" t="s">
        <v>789</v>
      </c>
      <c r="E22" s="325"/>
      <c r="F22" s="325">
        <v>6357450.0</v>
      </c>
      <c r="G22" s="327" t="s">
        <v>1466</v>
      </c>
      <c r="H22" s="328" t="s">
        <v>33</v>
      </c>
      <c r="I22" s="107"/>
      <c r="J22" s="141"/>
      <c r="K22" s="138"/>
      <c r="L22" s="83" t="s">
        <v>1327</v>
      </c>
      <c r="M22" s="84" t="s">
        <v>1328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B5</f>
        <v>신한 #672</v>
      </c>
      <c r="C23" s="323" t="s">
        <v>1465</v>
      </c>
      <c r="D23" s="323" t="s">
        <v>1120</v>
      </c>
      <c r="E23" s="337"/>
      <c r="F23" s="325">
        <v>500.0</v>
      </c>
      <c r="G23" s="327" t="s">
        <v>1073</v>
      </c>
      <c r="H23" s="328" t="s">
        <v>33</v>
      </c>
      <c r="I23" s="107"/>
      <c r="J23" s="141"/>
      <c r="K23" s="138"/>
      <c r="L23" s="83" t="s">
        <v>1385</v>
      </c>
      <c r="M23" s="84" t="s">
        <v>1386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B5</f>
        <v>신한 #672</v>
      </c>
      <c r="C24" s="323" t="s">
        <v>1465</v>
      </c>
      <c r="D24" s="323" t="s">
        <v>1230</v>
      </c>
      <c r="E24" s="337"/>
      <c r="F24" s="325">
        <v>825000.0</v>
      </c>
      <c r="G24" s="327" t="s">
        <v>1467</v>
      </c>
      <c r="H24" s="328" t="s">
        <v>33</v>
      </c>
      <c r="I24" s="107"/>
      <c r="J24" s="141"/>
      <c r="K24" s="138"/>
      <c r="L24" s="341"/>
      <c r="M24" s="341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B9</f>
        <v>WISE USD</v>
      </c>
      <c r="C25" s="323" t="s">
        <v>1468</v>
      </c>
      <c r="D25" s="323" t="s">
        <v>1072</v>
      </c>
      <c r="E25" s="325"/>
      <c r="F25" s="337">
        <v>10.0</v>
      </c>
      <c r="G25" s="327" t="s">
        <v>1079</v>
      </c>
      <c r="H25" s="328" t="s">
        <v>33</v>
      </c>
      <c r="I25" s="107"/>
      <c r="J25" s="141"/>
      <c r="K25" s="138"/>
      <c r="L25" s="341"/>
      <c r="M25" s="341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B5</f>
        <v>신한 #672</v>
      </c>
      <c r="C26" s="323" t="s">
        <v>1469</v>
      </c>
      <c r="D26" s="323" t="s">
        <v>1470</v>
      </c>
      <c r="E26" s="325"/>
      <c r="F26" s="325">
        <v>1519280.0</v>
      </c>
      <c r="G26" s="354" t="s">
        <v>1470</v>
      </c>
      <c r="H26" s="328" t="s">
        <v>31</v>
      </c>
      <c r="I26" s="107"/>
      <c r="J26" s="141"/>
      <c r="K26" s="138"/>
      <c r="L26" s="341"/>
      <c r="M26" s="341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B5</f>
        <v>신한 #672</v>
      </c>
      <c r="C27" s="323" t="s">
        <v>1469</v>
      </c>
      <c r="D27" s="323" t="s">
        <v>1471</v>
      </c>
      <c r="E27" s="325"/>
      <c r="F27" s="325">
        <v>578530.0</v>
      </c>
      <c r="G27" s="354" t="s">
        <v>1471</v>
      </c>
      <c r="H27" s="328" t="s">
        <v>31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B5</f>
        <v>신한 #672</v>
      </c>
      <c r="C28" s="323" t="s">
        <v>1469</v>
      </c>
      <c r="D28" s="323" t="s">
        <v>1052</v>
      </c>
      <c r="E28" s="325">
        <v>2.0E7</v>
      </c>
      <c r="F28" s="325"/>
      <c r="G28" s="327" t="s">
        <v>1035</v>
      </c>
      <c r="H28" s="328" t="s">
        <v>556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B5</f>
        <v>신한 #672</v>
      </c>
      <c r="C29" s="323" t="s">
        <v>1469</v>
      </c>
      <c r="D29" s="323" t="s">
        <v>1472</v>
      </c>
      <c r="E29" s="337"/>
      <c r="F29" s="325">
        <v>7017600.0</v>
      </c>
      <c r="G29" s="327" t="s">
        <v>1472</v>
      </c>
      <c r="H29" s="328" t="s">
        <v>31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B5</f>
        <v>신한 #672</v>
      </c>
      <c r="C30" s="323" t="s">
        <v>1469</v>
      </c>
      <c r="D30" s="323" t="s">
        <v>1473</v>
      </c>
      <c r="E30" s="337"/>
      <c r="F30" s="325">
        <v>6962440.0</v>
      </c>
      <c r="G30" s="327" t="s">
        <v>1473</v>
      </c>
      <c r="H30" s="328" t="s">
        <v>31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 t="shared" ref="B31:B32" si="6">B7</f>
        <v>하나 #304</v>
      </c>
      <c r="C31" s="323" t="s">
        <v>1469</v>
      </c>
      <c r="D31" s="323" t="s">
        <v>632</v>
      </c>
      <c r="E31" s="325">
        <v>1.33311E8</v>
      </c>
      <c r="F31" s="325"/>
      <c r="G31" s="327" t="s">
        <v>679</v>
      </c>
      <c r="H31" s="328" t="s">
        <v>556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 t="shared" si="6"/>
        <v>하나 #138</v>
      </c>
      <c r="C32" s="323" t="s">
        <v>1469</v>
      </c>
      <c r="D32" s="323" t="s">
        <v>632</v>
      </c>
      <c r="E32" s="337"/>
      <c r="F32" s="325">
        <v>100000.0</v>
      </c>
      <c r="G32" s="327" t="s">
        <v>679</v>
      </c>
      <c r="H32" s="328" t="s">
        <v>556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B7</f>
        <v>하나 #304</v>
      </c>
      <c r="C33" s="323" t="s">
        <v>1469</v>
      </c>
      <c r="D33" s="323" t="s">
        <v>1474</v>
      </c>
      <c r="E33" s="337"/>
      <c r="F33" s="325">
        <v>6908640.0</v>
      </c>
      <c r="G33" s="327" t="s">
        <v>1475</v>
      </c>
      <c r="H33" s="328" t="s">
        <v>31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B7</f>
        <v>하나 #304</v>
      </c>
      <c r="C34" s="323" t="s">
        <v>1469</v>
      </c>
      <c r="D34" s="323" t="s">
        <v>1474</v>
      </c>
      <c r="E34" s="337"/>
      <c r="F34" s="325">
        <v>176840.0</v>
      </c>
      <c r="G34" s="327" t="s">
        <v>1476</v>
      </c>
      <c r="H34" s="328" t="s">
        <v>31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323" t="s">
        <v>1469</v>
      </c>
      <c r="D35" s="323" t="s">
        <v>1177</v>
      </c>
      <c r="E35" s="337"/>
      <c r="F35" s="325">
        <v>708470.0</v>
      </c>
      <c r="G35" s="327" t="s">
        <v>1477</v>
      </c>
      <c r="H35" s="328" t="s">
        <v>31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B7</f>
        <v>하나 #304</v>
      </c>
      <c r="C36" s="323" t="s">
        <v>1469</v>
      </c>
      <c r="D36" s="323" t="s">
        <v>115</v>
      </c>
      <c r="E36" s="337"/>
      <c r="F36" s="325">
        <v>34000.0</v>
      </c>
      <c r="G36" s="327" t="s">
        <v>1235</v>
      </c>
      <c r="H36" s="328" t="s">
        <v>4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B7</f>
        <v>하나 #304</v>
      </c>
      <c r="C37" s="323" t="s">
        <v>1469</v>
      </c>
      <c r="D37" s="323" t="s">
        <v>1115</v>
      </c>
      <c r="E37" s="337"/>
      <c r="F37" s="325">
        <v>500.0</v>
      </c>
      <c r="G37" s="327" t="s">
        <v>1119</v>
      </c>
      <c r="H37" s="328" t="s">
        <v>33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B7</f>
        <v>하나 #304</v>
      </c>
      <c r="C38" s="323" t="s">
        <v>1469</v>
      </c>
      <c r="D38" s="323" t="s">
        <v>113</v>
      </c>
      <c r="E38" s="337"/>
      <c r="F38" s="325">
        <v>28300.0</v>
      </c>
      <c r="G38" s="327" t="s">
        <v>1235</v>
      </c>
      <c r="H38" s="328" t="s">
        <v>4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B7</f>
        <v>하나 #304</v>
      </c>
      <c r="C39" s="323" t="s">
        <v>1469</v>
      </c>
      <c r="D39" s="323" t="s">
        <v>1115</v>
      </c>
      <c r="E39" s="337"/>
      <c r="F39" s="325">
        <v>500.0</v>
      </c>
      <c r="G39" s="327" t="s">
        <v>1119</v>
      </c>
      <c r="H39" s="328" t="s">
        <v>33</v>
      </c>
      <c r="I39" s="107"/>
      <c r="J39" s="141"/>
      <c r="K39" s="138"/>
      <c r="L39" s="138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B7</f>
        <v>하나 #304</v>
      </c>
      <c r="C40" s="323" t="s">
        <v>1469</v>
      </c>
      <c r="D40" s="323" t="s">
        <v>632</v>
      </c>
      <c r="E40" s="337"/>
      <c r="F40" s="325">
        <v>2.0E7</v>
      </c>
      <c r="G40" s="327" t="s">
        <v>1035</v>
      </c>
      <c r="H40" s="328" t="s">
        <v>556</v>
      </c>
      <c r="I40" s="107"/>
      <c r="J40" s="141"/>
      <c r="K40" s="138"/>
      <c r="L40" s="138" t="s">
        <v>1443</v>
      </c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B7</f>
        <v>하나 #304</v>
      </c>
      <c r="C41" s="323" t="s">
        <v>1469</v>
      </c>
      <c r="D41" s="323" t="s">
        <v>1115</v>
      </c>
      <c r="E41" s="337"/>
      <c r="F41" s="325">
        <v>500.0</v>
      </c>
      <c r="G41" s="327" t="s">
        <v>1119</v>
      </c>
      <c r="H41" s="328" t="s">
        <v>33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WISE USD</v>
      </c>
      <c r="C42" s="323" t="s">
        <v>1478</v>
      </c>
      <c r="D42" s="323" t="s">
        <v>1072</v>
      </c>
      <c r="E42" s="337">
        <v>0.02</v>
      </c>
      <c r="F42" s="325"/>
      <c r="G42" s="327" t="s">
        <v>1479</v>
      </c>
      <c r="H42" s="328" t="s">
        <v>75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WISE USD</v>
      </c>
      <c r="C43" s="323" t="s">
        <v>1478</v>
      </c>
      <c r="D43" s="323" t="s">
        <v>1480</v>
      </c>
      <c r="E43" s="325"/>
      <c r="F43" s="337">
        <v>373.91</v>
      </c>
      <c r="G43" s="327" t="s">
        <v>1481</v>
      </c>
      <c r="H43" s="328" t="s">
        <v>29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B9</f>
        <v>WISE USD</v>
      </c>
      <c r="C44" s="323" t="s">
        <v>1478</v>
      </c>
      <c r="D44" s="317" t="s">
        <v>1482</v>
      </c>
      <c r="E44" s="325"/>
      <c r="F44" s="337">
        <v>109.72</v>
      </c>
      <c r="G44" s="327" t="s">
        <v>1483</v>
      </c>
      <c r="H44" s="328" t="s">
        <v>33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44" t="str">
        <f>B9</f>
        <v>WISE USD</v>
      </c>
      <c r="C45" s="323" t="s">
        <v>1478</v>
      </c>
      <c r="D45" s="323" t="s">
        <v>894</v>
      </c>
      <c r="E45" s="337"/>
      <c r="F45" s="337">
        <v>1164.22</v>
      </c>
      <c r="G45" s="313" t="s">
        <v>1250</v>
      </c>
      <c r="H45" s="328" t="s">
        <v>33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WISE USD</v>
      </c>
      <c r="C46" s="323" t="s">
        <v>1478</v>
      </c>
      <c r="D46" s="323" t="s">
        <v>1061</v>
      </c>
      <c r="E46" s="325"/>
      <c r="F46" s="337">
        <v>4.76</v>
      </c>
      <c r="G46" s="327" t="s">
        <v>1119</v>
      </c>
      <c r="H46" s="328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WISE USD</v>
      </c>
      <c r="C47" s="323" t="s">
        <v>1478</v>
      </c>
      <c r="D47" s="323" t="s">
        <v>894</v>
      </c>
      <c r="E47" s="325"/>
      <c r="F47" s="337">
        <v>1098.35</v>
      </c>
      <c r="G47" s="313" t="s">
        <v>1250</v>
      </c>
      <c r="H47" s="328" t="s">
        <v>33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B9</f>
        <v>WISE USD</v>
      </c>
      <c r="C48" s="323" t="s">
        <v>1478</v>
      </c>
      <c r="D48" s="323" t="s">
        <v>1061</v>
      </c>
      <c r="E48" s="325"/>
      <c r="F48" s="337">
        <v>4.49</v>
      </c>
      <c r="G48" s="327" t="s">
        <v>1119</v>
      </c>
      <c r="H48" s="328" t="s">
        <v>33</v>
      </c>
      <c r="I48" s="107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>B9</f>
        <v>WISE USD</v>
      </c>
      <c r="C49" s="323" t="s">
        <v>1484</v>
      </c>
      <c r="D49" s="323" t="s">
        <v>740</v>
      </c>
      <c r="E49" s="325"/>
      <c r="F49" s="337">
        <v>10422.68</v>
      </c>
      <c r="G49" s="327" t="s">
        <v>1485</v>
      </c>
      <c r="H49" s="328" t="s">
        <v>41</v>
      </c>
      <c r="I49" s="107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B9</f>
        <v>WISE USD</v>
      </c>
      <c r="C50" s="323" t="s">
        <v>1484</v>
      </c>
      <c r="D50" s="323" t="s">
        <v>1061</v>
      </c>
      <c r="E50" s="325"/>
      <c r="F50" s="337">
        <v>0.39</v>
      </c>
      <c r="G50" s="327" t="s">
        <v>1486</v>
      </c>
      <c r="H50" s="328" t="s">
        <v>33</v>
      </c>
      <c r="I50" s="107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B9</f>
        <v>WISE USD</v>
      </c>
      <c r="C51" s="323" t="s">
        <v>1484</v>
      </c>
      <c r="D51" s="296" t="s">
        <v>542</v>
      </c>
      <c r="E51" s="283"/>
      <c r="F51" s="291">
        <v>10.0</v>
      </c>
      <c r="G51" s="313" t="s">
        <v>1068</v>
      </c>
      <c r="H51" s="286" t="s">
        <v>33</v>
      </c>
      <c r="I51" s="107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B7</f>
        <v>하나 #304</v>
      </c>
      <c r="C52" s="323" t="s">
        <v>1487</v>
      </c>
      <c r="D52" s="323" t="s">
        <v>1056</v>
      </c>
      <c r="E52" s="291"/>
      <c r="F52" s="325">
        <v>5190359.0</v>
      </c>
      <c r="G52" s="327" t="s">
        <v>1488</v>
      </c>
      <c r="H52" s="286" t="s">
        <v>33</v>
      </c>
      <c r="I52" s="107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B7</f>
        <v>하나 #304</v>
      </c>
      <c r="C53" s="323" t="s">
        <v>1487</v>
      </c>
      <c r="D53" s="323" t="s">
        <v>41</v>
      </c>
      <c r="E53" s="283"/>
      <c r="F53" s="325">
        <v>8.0999436E7</v>
      </c>
      <c r="G53" s="313" t="s">
        <v>1489</v>
      </c>
      <c r="H53" s="286" t="s">
        <v>41</v>
      </c>
      <c r="I53" s="107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B7</f>
        <v>하나 #304</v>
      </c>
      <c r="C54" s="323" t="s">
        <v>1487</v>
      </c>
      <c r="D54" s="282" t="s">
        <v>1115</v>
      </c>
      <c r="E54" s="326"/>
      <c r="F54" s="326">
        <v>7500.0</v>
      </c>
      <c r="G54" s="313" t="s">
        <v>1119</v>
      </c>
      <c r="H54" s="286" t="s">
        <v>33</v>
      </c>
      <c r="I54" s="107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B7</f>
        <v>하나 #304</v>
      </c>
      <c r="C55" s="323" t="s">
        <v>1487</v>
      </c>
      <c r="D55" s="282" t="s">
        <v>1490</v>
      </c>
      <c r="E55" s="326"/>
      <c r="F55" s="326">
        <v>2016060.0</v>
      </c>
      <c r="G55" s="313" t="s">
        <v>1491</v>
      </c>
      <c r="H55" s="286" t="s">
        <v>41</v>
      </c>
      <c r="I55" s="107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B7</f>
        <v>하나 #304</v>
      </c>
      <c r="C56" s="323" t="s">
        <v>1487</v>
      </c>
      <c r="D56" s="282" t="s">
        <v>1260</v>
      </c>
      <c r="E56" s="291"/>
      <c r="F56" s="326">
        <v>264000.0</v>
      </c>
      <c r="G56" s="313" t="s">
        <v>1492</v>
      </c>
      <c r="H56" s="286" t="s">
        <v>930</v>
      </c>
      <c r="I56" s="107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B7</f>
        <v>하나 #304</v>
      </c>
      <c r="C57" s="323" t="s">
        <v>1487</v>
      </c>
      <c r="D57" s="282" t="s">
        <v>1115</v>
      </c>
      <c r="E57" s="291"/>
      <c r="F57" s="326">
        <v>500.0</v>
      </c>
      <c r="G57" s="313" t="s">
        <v>1119</v>
      </c>
      <c r="H57" s="286" t="s">
        <v>33</v>
      </c>
      <c r="I57" s="326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>B5</f>
        <v>신한 #672</v>
      </c>
      <c r="C58" s="323" t="s">
        <v>1493</v>
      </c>
      <c r="D58" s="282" t="s">
        <v>1202</v>
      </c>
      <c r="E58" s="326"/>
      <c r="F58" s="326">
        <v>110000.0</v>
      </c>
      <c r="G58" s="313" t="s">
        <v>1202</v>
      </c>
      <c r="H58" s="286" t="s">
        <v>33</v>
      </c>
      <c r="I58" s="107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 t="shared" ref="B59:B60" si="7">B12</f>
        <v>OCBC USD</v>
      </c>
      <c r="C59" s="323" t="s">
        <v>1494</v>
      </c>
      <c r="D59" s="323" t="s">
        <v>1303</v>
      </c>
      <c r="E59" s="325"/>
      <c r="F59" s="337">
        <v>2755.82</v>
      </c>
      <c r="G59" s="327" t="s">
        <v>1304</v>
      </c>
      <c r="H59" s="328" t="s">
        <v>930</v>
      </c>
      <c r="I59" s="107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 t="shared" si="7"/>
        <v>OCBC SGD</v>
      </c>
      <c r="C60" s="323" t="s">
        <v>1487</v>
      </c>
      <c r="D60" s="323" t="s">
        <v>1433</v>
      </c>
      <c r="E60" s="337"/>
      <c r="F60" s="337">
        <v>25.0</v>
      </c>
      <c r="G60" s="327" t="s">
        <v>1305</v>
      </c>
      <c r="H60" s="328" t="s">
        <v>33</v>
      </c>
      <c r="I60" s="107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B5</f>
        <v>신한 #672</v>
      </c>
      <c r="C61" s="323" t="s">
        <v>1487</v>
      </c>
      <c r="D61" s="282" t="s">
        <v>1495</v>
      </c>
      <c r="E61" s="283"/>
      <c r="F61" s="283">
        <v>98000.0</v>
      </c>
      <c r="G61" s="313" t="s">
        <v>1047</v>
      </c>
      <c r="H61" s="286" t="s">
        <v>4</v>
      </c>
      <c r="I61" s="107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B5</f>
        <v>신한 #672</v>
      </c>
      <c r="C62" s="323" t="s">
        <v>1487</v>
      </c>
      <c r="D62" s="282" t="s">
        <v>1496</v>
      </c>
      <c r="E62" s="283"/>
      <c r="F62" s="283">
        <v>37430.0</v>
      </c>
      <c r="G62" s="313" t="s">
        <v>1038</v>
      </c>
      <c r="H62" s="286" t="s">
        <v>4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B5</f>
        <v>신한 #672</v>
      </c>
      <c r="C63" s="323" t="s">
        <v>1487</v>
      </c>
      <c r="D63" s="282" t="s">
        <v>1496</v>
      </c>
      <c r="E63" s="283"/>
      <c r="F63" s="283">
        <v>37430.0</v>
      </c>
      <c r="G63" s="313" t="s">
        <v>1038</v>
      </c>
      <c r="H63" s="286" t="s">
        <v>4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B5</f>
        <v>신한 #672</v>
      </c>
      <c r="C64" s="323" t="s">
        <v>1487</v>
      </c>
      <c r="D64" s="282" t="s">
        <v>1496</v>
      </c>
      <c r="E64" s="291"/>
      <c r="F64" s="283">
        <v>20660.0</v>
      </c>
      <c r="G64" s="313" t="s">
        <v>1039</v>
      </c>
      <c r="H64" s="286" t="s">
        <v>4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B5</f>
        <v>신한 #672</v>
      </c>
      <c r="C65" s="323" t="s">
        <v>1487</v>
      </c>
      <c r="D65" s="282" t="s">
        <v>1496</v>
      </c>
      <c r="E65" s="283"/>
      <c r="F65" s="283">
        <v>50250.0</v>
      </c>
      <c r="G65" s="313" t="s">
        <v>1040</v>
      </c>
      <c r="H65" s="286" t="s">
        <v>4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B5</f>
        <v>신한 #672</v>
      </c>
      <c r="C66" s="323" t="s">
        <v>1487</v>
      </c>
      <c r="D66" s="282" t="s">
        <v>1496</v>
      </c>
      <c r="E66" s="326"/>
      <c r="F66" s="326">
        <v>20660.0</v>
      </c>
      <c r="G66" s="313" t="s">
        <v>1039</v>
      </c>
      <c r="H66" s="286" t="s">
        <v>4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B5</f>
        <v>신한 #672</v>
      </c>
      <c r="C67" s="323" t="s">
        <v>1487</v>
      </c>
      <c r="D67" s="282" t="s">
        <v>497</v>
      </c>
      <c r="E67" s="326"/>
      <c r="F67" s="326">
        <v>330000.0</v>
      </c>
      <c r="G67" s="313" t="s">
        <v>1042</v>
      </c>
      <c r="H67" s="286" t="s">
        <v>33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B5</f>
        <v>신한 #672</v>
      </c>
      <c r="C68" s="323" t="s">
        <v>1487</v>
      </c>
      <c r="D68" s="282" t="s">
        <v>1497</v>
      </c>
      <c r="E68" s="283"/>
      <c r="F68" s="283">
        <v>55630.0</v>
      </c>
      <c r="G68" s="313" t="s">
        <v>1044</v>
      </c>
      <c r="H68" s="286" t="s">
        <v>4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B9</f>
        <v>WISE USD</v>
      </c>
      <c r="C69" s="323" t="s">
        <v>1498</v>
      </c>
      <c r="D69" s="282" t="s">
        <v>1499</v>
      </c>
      <c r="E69" s="291"/>
      <c r="F69" s="292">
        <v>148.0</v>
      </c>
      <c r="G69" s="313" t="s">
        <v>1068</v>
      </c>
      <c r="H69" s="286" t="s">
        <v>33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B7</f>
        <v>하나 #304</v>
      </c>
      <c r="C70" s="323" t="s">
        <v>1500</v>
      </c>
      <c r="D70" s="282" t="s">
        <v>1501</v>
      </c>
      <c r="E70" s="291"/>
      <c r="F70" s="292">
        <v>5500000.0</v>
      </c>
      <c r="G70" s="313" t="s">
        <v>1502</v>
      </c>
      <c r="H70" s="286" t="s">
        <v>33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B7</f>
        <v>하나 #304</v>
      </c>
      <c r="C71" s="323" t="s">
        <v>1500</v>
      </c>
      <c r="D71" s="282" t="s">
        <v>1115</v>
      </c>
      <c r="E71" s="291"/>
      <c r="F71" s="292">
        <v>500.0</v>
      </c>
      <c r="G71" s="313" t="s">
        <v>1119</v>
      </c>
      <c r="H71" s="286" t="s">
        <v>33</v>
      </c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B5</f>
        <v>신한 #672</v>
      </c>
      <c r="C72" s="323" t="s">
        <v>1503</v>
      </c>
      <c r="D72" s="282" t="s">
        <v>920</v>
      </c>
      <c r="E72" s="291"/>
      <c r="F72" s="326">
        <v>77000.0</v>
      </c>
      <c r="G72" s="327" t="s">
        <v>1006</v>
      </c>
      <c r="H72" s="328" t="s">
        <v>33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B9</f>
        <v>WISE USD</v>
      </c>
      <c r="C73" s="282" t="s">
        <v>1504</v>
      </c>
      <c r="D73" s="317" t="s">
        <v>1505</v>
      </c>
      <c r="E73" s="291"/>
      <c r="F73" s="292">
        <v>1.71</v>
      </c>
      <c r="G73" s="313" t="s">
        <v>1506</v>
      </c>
      <c r="H73" s="328" t="s">
        <v>33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B11</f>
        <v>WISE KRW</v>
      </c>
      <c r="C74" s="282" t="s">
        <v>1503</v>
      </c>
      <c r="D74" s="317" t="s">
        <v>1505</v>
      </c>
      <c r="E74" s="291">
        <v>2300.0</v>
      </c>
      <c r="F74" s="292"/>
      <c r="G74" s="313" t="s">
        <v>1507</v>
      </c>
      <c r="H74" s="328" t="s">
        <v>33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">
        <v>746</v>
      </c>
      <c r="C75" s="282" t="s">
        <v>1494</v>
      </c>
      <c r="D75" s="282" t="s">
        <v>1433</v>
      </c>
      <c r="E75" s="291"/>
      <c r="F75" s="292">
        <v>43.0</v>
      </c>
      <c r="G75" s="313" t="s">
        <v>1506</v>
      </c>
      <c r="H75" s="328" t="s">
        <v>33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282"/>
      <c r="D76" s="282"/>
      <c r="E76" s="291"/>
      <c r="F76" s="292"/>
      <c r="G76" s="313"/>
      <c r="H76" s="286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282"/>
      <c r="D77" s="282"/>
      <c r="E77" s="291"/>
      <c r="F77" s="292"/>
      <c r="G77" s="313"/>
      <c r="H77" s="286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282"/>
      <c r="D78" s="282"/>
      <c r="E78" s="291"/>
      <c r="F78" s="292"/>
      <c r="G78" s="313"/>
      <c r="H78" s="286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282"/>
      <c r="D79" s="282"/>
      <c r="E79" s="291"/>
      <c r="F79" s="292"/>
      <c r="G79" s="313"/>
      <c r="H79" s="286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282"/>
      <c r="D80" s="282"/>
      <c r="E80" s="291"/>
      <c r="F80" s="292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282"/>
      <c r="D81" s="282"/>
      <c r="E81" s="291"/>
      <c r="F81" s="292"/>
      <c r="G81" s="313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282"/>
      <c r="D82" s="282"/>
      <c r="E82" s="291"/>
      <c r="F82" s="292"/>
      <c r="G82" s="313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92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92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</sheetData>
  <autoFilter ref="$B$21:$H$157">
    <sortState ref="B21:H157">
      <sortCondition ref="B21:B157"/>
    </sortState>
  </autoFilter>
  <customSheetViews>
    <customSheetView guid="{CD2BF927-9D79-47FC-BBA8-927062D6B3F5}" filter="1" showAutoFilter="1">
      <autoFilter ref="$B$21:$H$157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157">
      <formula1>$L:$L</formula1>
    </dataValidation>
  </dataValidations>
  <hyperlinks>
    <hyperlink r:id="rId1" ref="I3"/>
    <hyperlink r:id="rId2" ref="I4"/>
    <hyperlink r:id="rId3" ref="D44"/>
    <hyperlink r:id="rId4" ref="D51"/>
    <hyperlink r:id="rId5" ref="D73"/>
    <hyperlink r:id="rId6" ref="D74"/>
  </hyperlinks>
  <printOptions/>
  <pageMargins bottom="0.75" footer="0.0" header="0.0" left="0.25" right="0.25" top="0.75"/>
  <pageSetup fitToHeight="0" paperSize="9" orientation="portrait"/>
  <drawing r:id="rId7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1508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'23.10월'!G5</f>
        <v>7927284</v>
      </c>
      <c r="E5" s="355">
        <f>sumif(B22:B139,B5,E22:E139)</f>
        <v>20000000</v>
      </c>
      <c r="F5" s="356">
        <f>sumif(B22:B140,B5,F22:F140)</f>
        <v>18140837</v>
      </c>
      <c r="G5" s="229">
        <f t="shared" ref="G5:G13" si="1">D5+E5-F5</f>
        <v>9786447</v>
      </c>
      <c r="H5" s="125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'23.10월'!G6</f>
        <v>2.31</v>
      </c>
      <c r="E6" s="357">
        <f>sumif(B22:B139,B6,E22:E139)</f>
        <v>0</v>
      </c>
      <c r="F6" s="358">
        <f>sumif(B22:B139,B6,F22:F139)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'23.10월'!G7</f>
        <v>32224096</v>
      </c>
      <c r="E7" s="359">
        <f>sumif(B22:B139,B7,E22:E139)</f>
        <v>130539000</v>
      </c>
      <c r="F7" s="360">
        <f>sumif(B22:B139,B7,F22:F139)</f>
        <v>128324270</v>
      </c>
      <c r="G7" s="239">
        <f t="shared" si="1"/>
        <v>34438826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'23.10월'!G8</f>
        <v>153584.28</v>
      </c>
      <c r="E8" s="361">
        <f>sumif(B22:B139,B8,E22:E139)</f>
        <v>0</v>
      </c>
      <c r="F8" s="358">
        <f>sumif(B22:B139,B8,F22:F139)</f>
        <v>115000</v>
      </c>
      <c r="G8" s="235">
        <f t="shared" si="1"/>
        <v>38584.28</v>
      </c>
      <c r="H8" s="125"/>
      <c r="I8" s="105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'23.10월'!G9</f>
        <v>45000.31</v>
      </c>
      <c r="E9" s="361">
        <f>sumif(B22:B139,B9,E22:E139)</f>
        <v>0</v>
      </c>
      <c r="F9" s="362">
        <f>sumif(B22:B139,B9,F22:F139)</f>
        <v>43635.14</v>
      </c>
      <c r="G9" s="329">
        <f t="shared" si="1"/>
        <v>1365.17</v>
      </c>
      <c r="H9" s="125"/>
      <c r="I9" s="105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'23.10월'!G10</f>
        <v>0</v>
      </c>
      <c r="E10" s="363">
        <f>sumif(B22:B137,B10,E22:E137)</f>
        <v>46000</v>
      </c>
      <c r="F10" s="364">
        <f>sumif(B22:B139,B10,F22:F139)</f>
        <v>46000</v>
      </c>
      <c r="G10" s="320">
        <f t="shared" si="1"/>
        <v>0</v>
      </c>
      <c r="H10" s="125"/>
      <c r="I10" s="105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'23.10월'!G11</f>
        <v>2300</v>
      </c>
      <c r="E11" s="365">
        <f>sumif(B22:B139,B11,E22:E139)</f>
        <v>0</v>
      </c>
      <c r="F11" s="360">
        <f>sumif(B22:B79,B11,F22:F139)</f>
        <v>2300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'23.10월'!G12</f>
        <v>10984.65</v>
      </c>
      <c r="E12" s="361">
        <f>sumif(B22:B140,B12,E22:E82)</f>
        <v>15000</v>
      </c>
      <c r="F12" s="358">
        <f>sumif(B22:B140,B12,F22:F140)</f>
        <v>24824.03</v>
      </c>
      <c r="G12" s="235">
        <f t="shared" si="1"/>
        <v>1160.62</v>
      </c>
      <c r="H12" s="351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'23.10월'!G13</f>
        <v>630</v>
      </c>
      <c r="E13" s="366">
        <f>sumif(B22:B140,B13,E22:E140)</f>
        <v>19000</v>
      </c>
      <c r="F13" s="367">
        <f>sumif(B22:B140,B13,F22:F140)</f>
        <v>14454.41</v>
      </c>
      <c r="G13" s="310">
        <f t="shared" si="1"/>
        <v>5175.59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368"/>
      <c r="F14" s="369"/>
      <c r="G14" s="257"/>
      <c r="H14" s="352" t="s">
        <v>11</v>
      </c>
      <c r="I14" s="352" t="s">
        <v>8</v>
      </c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40153680</v>
      </c>
      <c r="E15" s="262">
        <f t="shared" si="2"/>
        <v>150539000</v>
      </c>
      <c r="F15" s="263">
        <f t="shared" si="2"/>
        <v>146467407</v>
      </c>
      <c r="G15" s="345">
        <f>G5+G11+G7</f>
        <v>44225273</v>
      </c>
      <c r="H15" s="353">
        <f>G15</f>
        <v>44225273</v>
      </c>
      <c r="I15" s="353">
        <f>D15</f>
        <v>40153680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209571.55</v>
      </c>
      <c r="E16" s="269">
        <f t="shared" si="3"/>
        <v>15000</v>
      </c>
      <c r="F16" s="270">
        <f t="shared" si="3"/>
        <v>183459.17</v>
      </c>
      <c r="G16" s="346">
        <f>G9+G6+G8+G12</f>
        <v>41112.38</v>
      </c>
      <c r="H16" s="265">
        <f>rounddown(G16*$J$3,0)</f>
        <v>60547229</v>
      </c>
      <c r="I16" s="265">
        <f>rounddown(D16*$J$3,0)</f>
        <v>308641260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630</v>
      </c>
      <c r="E17" s="274">
        <f t="shared" si="4"/>
        <v>65000</v>
      </c>
      <c r="F17" s="275">
        <f t="shared" si="4"/>
        <v>60454.41</v>
      </c>
      <c r="G17" s="347">
        <f t="shared" si="4"/>
        <v>5175.59</v>
      </c>
      <c r="H17" s="277">
        <f>rounddown(G17*$J$4,0)</f>
        <v>5920279</v>
      </c>
      <c r="I17" s="277">
        <f>rounddown(D17*$J$4,0)</f>
        <v>720647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110692781</v>
      </c>
      <c r="I18" s="279">
        <f t="shared" si="5"/>
        <v>349515587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-238822806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B7</f>
        <v>하나 #304</v>
      </c>
      <c r="C22" s="323" t="s">
        <v>1509</v>
      </c>
      <c r="D22" s="323" t="s">
        <v>789</v>
      </c>
      <c r="E22" s="325"/>
      <c r="F22" s="325">
        <v>6105770.0</v>
      </c>
      <c r="G22" s="327" t="s">
        <v>1510</v>
      </c>
      <c r="H22" s="328" t="s">
        <v>33</v>
      </c>
      <c r="I22" s="107"/>
      <c r="J22" s="141"/>
      <c r="K22" s="138"/>
      <c r="L22" s="83" t="s">
        <v>1327</v>
      </c>
      <c r="M22" s="84" t="s">
        <v>1328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B7</f>
        <v>하나 #304</v>
      </c>
      <c r="C23" s="323" t="s">
        <v>1509</v>
      </c>
      <c r="D23" s="323" t="s">
        <v>1230</v>
      </c>
      <c r="E23" s="337"/>
      <c r="F23" s="325">
        <v>1375000.0</v>
      </c>
      <c r="G23" s="327" t="s">
        <v>1511</v>
      </c>
      <c r="H23" s="328" t="s">
        <v>33</v>
      </c>
      <c r="I23" s="107"/>
      <c r="J23" s="141"/>
      <c r="K23" s="138"/>
      <c r="L23" s="83" t="s">
        <v>1385</v>
      </c>
      <c r="M23" s="84" t="s">
        <v>1386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B7</f>
        <v>하나 #304</v>
      </c>
      <c r="C24" s="323" t="s">
        <v>1509</v>
      </c>
      <c r="D24" s="323" t="s">
        <v>113</v>
      </c>
      <c r="E24" s="337"/>
      <c r="F24" s="325">
        <v>135500.0</v>
      </c>
      <c r="G24" s="327" t="s">
        <v>1438</v>
      </c>
      <c r="H24" s="328" t="s">
        <v>4</v>
      </c>
      <c r="I24" s="107"/>
      <c r="J24" s="141"/>
      <c r="K24" s="138"/>
      <c r="L24" s="341"/>
      <c r="M24" s="341"/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B7</f>
        <v>하나 #304</v>
      </c>
      <c r="C25" s="323" t="s">
        <v>1509</v>
      </c>
      <c r="D25" s="323" t="s">
        <v>1115</v>
      </c>
      <c r="E25" s="325"/>
      <c r="F25" s="337">
        <v>1500.0</v>
      </c>
      <c r="G25" s="327" t="s">
        <v>1073</v>
      </c>
      <c r="H25" s="328" t="s">
        <v>33</v>
      </c>
      <c r="I25" s="107"/>
      <c r="J25" s="141"/>
      <c r="K25" s="138"/>
      <c r="L25" s="341"/>
      <c r="M25" s="341"/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B9</f>
        <v>WISE USD</v>
      </c>
      <c r="C26" s="323" t="s">
        <v>1512</v>
      </c>
      <c r="D26" s="323" t="s">
        <v>1513</v>
      </c>
      <c r="E26" s="325"/>
      <c r="F26" s="337">
        <v>1000.0</v>
      </c>
      <c r="G26" s="327" t="s">
        <v>1514</v>
      </c>
      <c r="H26" s="328" t="s">
        <v>556</v>
      </c>
      <c r="I26" s="107"/>
      <c r="J26" s="141"/>
      <c r="K26" s="138"/>
      <c r="L26" s="341"/>
      <c r="M26" s="341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B9</f>
        <v>WISE USD</v>
      </c>
      <c r="C27" s="323" t="s">
        <v>1512</v>
      </c>
      <c r="D27" s="323" t="s">
        <v>1061</v>
      </c>
      <c r="E27" s="325"/>
      <c r="F27" s="337">
        <v>0.39</v>
      </c>
      <c r="G27" s="327" t="s">
        <v>1119</v>
      </c>
      <c r="H27" s="328" t="s">
        <v>33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 t="shared" ref="B28:B29" si="6">B9</f>
        <v>WISE USD</v>
      </c>
      <c r="C28" s="323" t="s">
        <v>1515</v>
      </c>
      <c r="D28" s="323" t="s">
        <v>1513</v>
      </c>
      <c r="E28" s="337"/>
      <c r="F28" s="337">
        <v>4448.03</v>
      </c>
      <c r="G28" s="327" t="s">
        <v>1514</v>
      </c>
      <c r="H28" s="328" t="s">
        <v>556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 t="shared" si="6"/>
        <v>WISE SGD</v>
      </c>
      <c r="C29" s="323" t="s">
        <v>1515</v>
      </c>
      <c r="D29" s="323" t="s">
        <v>1513</v>
      </c>
      <c r="E29" s="337">
        <v>6000.0</v>
      </c>
      <c r="F29" s="337"/>
      <c r="G29" s="327" t="s">
        <v>1514</v>
      </c>
      <c r="H29" s="328" t="s">
        <v>556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B10</f>
        <v>WISE SGD</v>
      </c>
      <c r="C30" s="323" t="s">
        <v>1515</v>
      </c>
      <c r="D30" s="323" t="s">
        <v>1516</v>
      </c>
      <c r="E30" s="337"/>
      <c r="F30" s="337">
        <v>5520.0</v>
      </c>
      <c r="G30" s="327" t="s">
        <v>1517</v>
      </c>
      <c r="H30" s="328" t="s">
        <v>33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B12</f>
        <v>OCBC USD</v>
      </c>
      <c r="C31" s="323" t="s">
        <v>1515</v>
      </c>
      <c r="D31" s="323" t="s">
        <v>740</v>
      </c>
      <c r="E31" s="325"/>
      <c r="F31" s="337">
        <v>10422.68</v>
      </c>
      <c r="G31" s="327" t="s">
        <v>1518</v>
      </c>
      <c r="H31" s="328" t="s">
        <v>41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B12</f>
        <v>OCBC USD</v>
      </c>
      <c r="C32" s="323" t="s">
        <v>1515</v>
      </c>
      <c r="D32" s="323" t="s">
        <v>1433</v>
      </c>
      <c r="E32" s="325"/>
      <c r="F32" s="337">
        <f>43+15</f>
        <v>58</v>
      </c>
      <c r="G32" s="327" t="s">
        <v>1519</v>
      </c>
      <c r="H32" s="328" t="s">
        <v>33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B8</f>
        <v>하나 #138</v>
      </c>
      <c r="C33" s="323" t="s">
        <v>1520</v>
      </c>
      <c r="D33" s="323" t="s">
        <v>632</v>
      </c>
      <c r="E33" s="337"/>
      <c r="F33" s="337">
        <v>100000.0</v>
      </c>
      <c r="G33" s="327" t="s">
        <v>679</v>
      </c>
      <c r="H33" s="328" t="s">
        <v>556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B7</f>
        <v>하나 #304</v>
      </c>
      <c r="C34" s="323" t="s">
        <v>1520</v>
      </c>
      <c r="D34" s="323" t="s">
        <v>632</v>
      </c>
      <c r="E34" s="325">
        <v>1.30539E8</v>
      </c>
      <c r="F34" s="325"/>
      <c r="G34" s="327" t="s">
        <v>679</v>
      </c>
      <c r="H34" s="328" t="s">
        <v>556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323" t="s">
        <v>1520</v>
      </c>
      <c r="D35" s="323" t="s">
        <v>1474</v>
      </c>
      <c r="E35" s="337"/>
      <c r="F35" s="325">
        <v>6908640.0</v>
      </c>
      <c r="G35" s="327" t="s">
        <v>1521</v>
      </c>
      <c r="H35" s="328" t="s">
        <v>31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B7</f>
        <v>하나 #304</v>
      </c>
      <c r="C36" s="323" t="s">
        <v>1520</v>
      </c>
      <c r="D36" s="323" t="s">
        <v>1474</v>
      </c>
      <c r="E36" s="337"/>
      <c r="F36" s="325">
        <v>176840.0</v>
      </c>
      <c r="G36" s="327" t="s">
        <v>1522</v>
      </c>
      <c r="H36" s="328" t="s">
        <v>31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B7</f>
        <v>하나 #304</v>
      </c>
      <c r="C37" s="323" t="s">
        <v>1520</v>
      </c>
      <c r="D37" s="323" t="s">
        <v>1177</v>
      </c>
      <c r="E37" s="337"/>
      <c r="F37" s="325">
        <v>708470.0</v>
      </c>
      <c r="G37" s="327" t="s">
        <v>1523</v>
      </c>
      <c r="H37" s="328" t="s">
        <v>31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B7</f>
        <v>하나 #304</v>
      </c>
      <c r="C38" s="323" t="s">
        <v>1520</v>
      </c>
      <c r="D38" s="323" t="s">
        <v>632</v>
      </c>
      <c r="E38" s="337"/>
      <c r="F38" s="325">
        <v>2.0E7</v>
      </c>
      <c r="G38" s="327" t="s">
        <v>1035</v>
      </c>
      <c r="H38" s="328" t="s">
        <v>556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B7</f>
        <v>하나 #304</v>
      </c>
      <c r="C39" s="323" t="s">
        <v>1520</v>
      </c>
      <c r="D39" s="323" t="s">
        <v>1115</v>
      </c>
      <c r="E39" s="337"/>
      <c r="F39" s="325">
        <v>500.0</v>
      </c>
      <c r="G39" s="327" t="s">
        <v>1119</v>
      </c>
      <c r="H39" s="328" t="s">
        <v>33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323" t="s">
        <v>1520</v>
      </c>
      <c r="D40" s="323" t="s">
        <v>1470</v>
      </c>
      <c r="E40" s="325"/>
      <c r="F40" s="325">
        <v>1519280.0</v>
      </c>
      <c r="G40" s="327" t="s">
        <v>1524</v>
      </c>
      <c r="H40" s="328" t="s">
        <v>31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B5</f>
        <v>신한 #672</v>
      </c>
      <c r="C41" s="323" t="s">
        <v>1520</v>
      </c>
      <c r="D41" s="323" t="s">
        <v>1471</v>
      </c>
      <c r="E41" s="325"/>
      <c r="F41" s="325">
        <v>578530.0</v>
      </c>
      <c r="G41" s="327" t="s">
        <v>1525</v>
      </c>
      <c r="H41" s="328" t="s">
        <v>31</v>
      </c>
      <c r="I41" s="107"/>
      <c r="J41" s="141"/>
      <c r="K41" s="138"/>
      <c r="L41" s="138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323" t="s">
        <v>1520</v>
      </c>
      <c r="D42" s="323" t="s">
        <v>1052</v>
      </c>
      <c r="E42" s="325">
        <v>2.0E7</v>
      </c>
      <c r="F42" s="325"/>
      <c r="G42" s="327" t="s">
        <v>1035</v>
      </c>
      <c r="H42" s="328" t="s">
        <v>556</v>
      </c>
      <c r="I42" s="107"/>
      <c r="J42" s="141"/>
      <c r="K42" s="138"/>
      <c r="L42" s="138" t="s">
        <v>1443</v>
      </c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323" t="s">
        <v>1520</v>
      </c>
      <c r="D43" s="323" t="s">
        <v>1472</v>
      </c>
      <c r="E43" s="337"/>
      <c r="F43" s="325">
        <v>7017600.0</v>
      </c>
      <c r="G43" s="327" t="s">
        <v>1526</v>
      </c>
      <c r="H43" s="328" t="s">
        <v>31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B5</f>
        <v>신한 #672</v>
      </c>
      <c r="C44" s="323" t="s">
        <v>1520</v>
      </c>
      <c r="D44" s="323" t="s">
        <v>1473</v>
      </c>
      <c r="E44" s="337"/>
      <c r="F44" s="325">
        <v>6943600.0</v>
      </c>
      <c r="G44" s="327" t="s">
        <v>1527</v>
      </c>
      <c r="H44" s="328" t="s">
        <v>31</v>
      </c>
      <c r="I44" s="107"/>
      <c r="J44" s="141"/>
      <c r="K44" s="138"/>
      <c r="L44" s="99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WISE USD</v>
      </c>
      <c r="C45" s="323" t="s">
        <v>1520</v>
      </c>
      <c r="D45" s="323" t="s">
        <v>1528</v>
      </c>
      <c r="E45" s="325"/>
      <c r="F45" s="337">
        <v>8000.0</v>
      </c>
      <c r="G45" s="327" t="s">
        <v>1529</v>
      </c>
      <c r="H45" s="328" t="s">
        <v>33</v>
      </c>
      <c r="I45" s="107"/>
      <c r="J45" s="141"/>
      <c r="K45" s="138"/>
      <c r="L45" s="99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WISE USD</v>
      </c>
      <c r="C46" s="323" t="s">
        <v>1520</v>
      </c>
      <c r="D46" s="318" t="s">
        <v>1061</v>
      </c>
      <c r="E46" s="325"/>
      <c r="F46" s="337">
        <v>0.39</v>
      </c>
      <c r="G46" s="327" t="s">
        <v>1119</v>
      </c>
      <c r="H46" s="328" t="s">
        <v>33</v>
      </c>
      <c r="I46" s="107"/>
      <c r="J46" s="141"/>
      <c r="K46" s="138"/>
      <c r="L46" s="99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44" t="str">
        <f>B7</f>
        <v>하나 #304</v>
      </c>
      <c r="C47" s="323" t="s">
        <v>1530</v>
      </c>
      <c r="D47" s="323" t="s">
        <v>41</v>
      </c>
      <c r="E47" s="337"/>
      <c r="F47" s="325">
        <v>8.275343E7</v>
      </c>
      <c r="G47" s="313" t="s">
        <v>1531</v>
      </c>
      <c r="H47" s="286" t="s">
        <v>41</v>
      </c>
      <c r="I47" s="107"/>
      <c r="J47" s="141"/>
      <c r="K47" s="138"/>
      <c r="L47" s="99"/>
      <c r="M47" s="99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B7</f>
        <v>하나 #304</v>
      </c>
      <c r="C48" s="323" t="s">
        <v>1530</v>
      </c>
      <c r="D48" s="282" t="s">
        <v>1115</v>
      </c>
      <c r="E48" s="325"/>
      <c r="F48" s="325">
        <v>7500.0</v>
      </c>
      <c r="G48" s="313" t="s">
        <v>1119</v>
      </c>
      <c r="H48" s="286" t="s">
        <v>33</v>
      </c>
      <c r="I48" s="107"/>
      <c r="J48" s="141"/>
      <c r="K48" s="138"/>
      <c r="L48" s="99"/>
      <c r="M48" s="99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B7</f>
        <v>하나 #304</v>
      </c>
      <c r="C49" s="323" t="s">
        <v>1530</v>
      </c>
      <c r="D49" s="282" t="s">
        <v>1490</v>
      </c>
      <c r="E49" s="325"/>
      <c r="F49" s="325">
        <v>403210.0</v>
      </c>
      <c r="G49" s="313" t="s">
        <v>1491</v>
      </c>
      <c r="H49" s="286" t="s">
        <v>41</v>
      </c>
      <c r="I49" s="107"/>
      <c r="J49" s="141"/>
      <c r="K49" s="138"/>
      <c r="L49" s="99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B7</f>
        <v>하나 #304</v>
      </c>
      <c r="C50" s="323" t="s">
        <v>1532</v>
      </c>
      <c r="D50" s="323" t="s">
        <v>1056</v>
      </c>
      <c r="E50" s="325"/>
      <c r="F50" s="325">
        <v>9713596.0</v>
      </c>
      <c r="G50" s="327" t="s">
        <v>1488</v>
      </c>
      <c r="H50" s="286" t="s">
        <v>33</v>
      </c>
      <c r="I50" s="107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 t="shared" ref="B51:B52" si="7">B7</f>
        <v>하나 #304</v>
      </c>
      <c r="C51" s="323" t="s">
        <v>1532</v>
      </c>
      <c r="D51" s="323" t="s">
        <v>1533</v>
      </c>
      <c r="E51" s="325"/>
      <c r="F51" s="337">
        <v>34314.0</v>
      </c>
      <c r="G51" s="313" t="s">
        <v>1119</v>
      </c>
      <c r="H51" s="286" t="s">
        <v>33</v>
      </c>
      <c r="I51" s="107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 t="shared" si="7"/>
        <v>하나 #138</v>
      </c>
      <c r="C52" s="323" t="s">
        <v>1532</v>
      </c>
      <c r="D52" s="323" t="s">
        <v>634</v>
      </c>
      <c r="E52" s="325"/>
      <c r="F52" s="337">
        <v>15000.0</v>
      </c>
      <c r="G52" s="327" t="s">
        <v>1534</v>
      </c>
      <c r="H52" s="328" t="s">
        <v>930</v>
      </c>
      <c r="I52" s="107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B5</f>
        <v>신한 #672</v>
      </c>
      <c r="C53" s="323" t="s">
        <v>1535</v>
      </c>
      <c r="D53" s="282" t="s">
        <v>1202</v>
      </c>
      <c r="E53" s="326"/>
      <c r="F53" s="326">
        <v>110000.0</v>
      </c>
      <c r="G53" s="313" t="s">
        <v>1202</v>
      </c>
      <c r="H53" s="286" t="s">
        <v>33</v>
      </c>
      <c r="I53" s="107"/>
      <c r="J53" s="141"/>
      <c r="K53" s="141"/>
      <c r="L53" s="141"/>
      <c r="M53" s="141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B5</f>
        <v>신한 #672</v>
      </c>
      <c r="C54" s="323" t="s">
        <v>1536</v>
      </c>
      <c r="D54" s="323" t="s">
        <v>1537</v>
      </c>
      <c r="E54" s="291"/>
      <c r="F54" s="325">
        <v>682000.0</v>
      </c>
      <c r="G54" s="327" t="s">
        <v>1538</v>
      </c>
      <c r="H54" s="286" t="s">
        <v>33</v>
      </c>
      <c r="I54" s="107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B9</f>
        <v>WISE USD</v>
      </c>
      <c r="C55" s="323" t="s">
        <v>1539</v>
      </c>
      <c r="D55" s="296" t="s">
        <v>542</v>
      </c>
      <c r="E55" s="283"/>
      <c r="F55" s="291">
        <v>10.0</v>
      </c>
      <c r="G55" s="313" t="s">
        <v>1068</v>
      </c>
      <c r="H55" s="286" t="s">
        <v>33</v>
      </c>
      <c r="I55" s="107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 t="shared" ref="B56:B59" si="8">B9</f>
        <v>WISE USD</v>
      </c>
      <c r="C56" s="323" t="s">
        <v>1540</v>
      </c>
      <c r="D56" s="282" t="s">
        <v>1375</v>
      </c>
      <c r="E56" s="326"/>
      <c r="F56" s="291">
        <v>98.15</v>
      </c>
      <c r="G56" s="313" t="s">
        <v>1327</v>
      </c>
      <c r="H56" s="286" t="s">
        <v>12</v>
      </c>
      <c r="I56" s="107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 t="shared" si="8"/>
        <v>WISE SGD</v>
      </c>
      <c r="C57" s="323" t="s">
        <v>1540</v>
      </c>
      <c r="D57" s="282" t="s">
        <v>1375</v>
      </c>
      <c r="E57" s="326"/>
      <c r="F57" s="291">
        <v>480.0</v>
      </c>
      <c r="G57" s="313" t="s">
        <v>1327</v>
      </c>
      <c r="H57" s="286" t="s">
        <v>12</v>
      </c>
      <c r="I57" s="107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 t="shared" si="8"/>
        <v>WISE KRW</v>
      </c>
      <c r="C58" s="323" t="s">
        <v>1540</v>
      </c>
      <c r="D58" s="282" t="s">
        <v>1375</v>
      </c>
      <c r="E58" s="291"/>
      <c r="F58" s="325">
        <v>2300.0</v>
      </c>
      <c r="G58" s="313" t="s">
        <v>1327</v>
      </c>
      <c r="H58" s="286" t="s">
        <v>12</v>
      </c>
      <c r="I58" s="107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 t="shared" si="8"/>
        <v>OCBC USD</v>
      </c>
      <c r="C59" s="323" t="s">
        <v>1532</v>
      </c>
      <c r="D59" s="323" t="s">
        <v>1541</v>
      </c>
      <c r="E59" s="370">
        <v>15000.0</v>
      </c>
      <c r="F59" s="371"/>
      <c r="G59" s="327" t="s">
        <v>1542</v>
      </c>
      <c r="H59" s="328" t="s">
        <v>930</v>
      </c>
      <c r="I59" s="107"/>
      <c r="J59" s="141"/>
      <c r="K59" s="141"/>
      <c r="L59" s="141"/>
      <c r="M59" s="141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 t="shared" ref="B60:B61" si="9">B12</f>
        <v>OCBC USD</v>
      </c>
      <c r="C60" s="323" t="s">
        <v>1532</v>
      </c>
      <c r="D60" s="323" t="s">
        <v>634</v>
      </c>
      <c r="E60" s="291"/>
      <c r="F60" s="291">
        <v>11311.36</v>
      </c>
      <c r="G60" s="313" t="s">
        <v>1543</v>
      </c>
      <c r="H60" s="286" t="s">
        <v>556</v>
      </c>
      <c r="I60" s="107"/>
      <c r="J60" s="141"/>
      <c r="K60" s="141"/>
      <c r="L60" s="141"/>
      <c r="M60" s="141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 t="shared" si="9"/>
        <v>OCBC SGD</v>
      </c>
      <c r="C61" s="323" t="s">
        <v>1532</v>
      </c>
      <c r="D61" s="323" t="s">
        <v>634</v>
      </c>
      <c r="E61" s="291">
        <v>15000.0</v>
      </c>
      <c r="F61" s="371"/>
      <c r="G61" s="313" t="s">
        <v>1543</v>
      </c>
      <c r="H61" s="286" t="s">
        <v>556</v>
      </c>
      <c r="I61" s="107"/>
      <c r="J61" s="141"/>
      <c r="K61" s="141"/>
      <c r="L61" s="141"/>
      <c r="M61" s="141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 t="shared" ref="B62:B63" si="10">B9</f>
        <v>WISE USD</v>
      </c>
      <c r="C62" s="323" t="s">
        <v>1532</v>
      </c>
      <c r="D62" s="323" t="s">
        <v>634</v>
      </c>
      <c r="E62" s="291"/>
      <c r="F62" s="371">
        <v>30000.0</v>
      </c>
      <c r="G62" s="313" t="s">
        <v>1543</v>
      </c>
      <c r="H62" s="286" t="s">
        <v>556</v>
      </c>
      <c r="I62" s="107"/>
      <c r="J62" s="141"/>
      <c r="K62" s="141"/>
      <c r="L62" s="141"/>
      <c r="M62" s="141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281" t="str">
        <f t="shared" si="10"/>
        <v>WISE SGD</v>
      </c>
      <c r="C63" s="323" t="s">
        <v>1532</v>
      </c>
      <c r="D63" s="323" t="s">
        <v>634</v>
      </c>
      <c r="E63" s="371">
        <v>39896.08</v>
      </c>
      <c r="F63" s="326"/>
      <c r="G63" s="313" t="s">
        <v>1543</v>
      </c>
      <c r="H63" s="286" t="s">
        <v>556</v>
      </c>
      <c r="I63" s="107"/>
      <c r="J63" s="141"/>
      <c r="K63" s="141"/>
      <c r="L63" s="141"/>
      <c r="M63" s="141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281" t="str">
        <f t="shared" ref="B64:B65" si="11">B9</f>
        <v>WISE USD</v>
      </c>
      <c r="C64" s="323" t="s">
        <v>1532</v>
      </c>
      <c r="D64" s="323" t="s">
        <v>634</v>
      </c>
      <c r="E64" s="291"/>
      <c r="F64" s="371">
        <v>78.18</v>
      </c>
      <c r="G64" s="313" t="s">
        <v>1543</v>
      </c>
      <c r="H64" s="286" t="s">
        <v>556</v>
      </c>
      <c r="I64" s="107"/>
      <c r="J64" s="141"/>
      <c r="K64" s="141"/>
      <c r="L64" s="141"/>
      <c r="M64" s="141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 t="shared" si="11"/>
        <v>WISE SGD</v>
      </c>
      <c r="C65" s="323" t="s">
        <v>1532</v>
      </c>
      <c r="D65" s="323" t="s">
        <v>634</v>
      </c>
      <c r="E65" s="371">
        <v>103.92</v>
      </c>
      <c r="F65" s="326"/>
      <c r="G65" s="313" t="s">
        <v>1543</v>
      </c>
      <c r="H65" s="286" t="s">
        <v>556</v>
      </c>
      <c r="I65" s="107"/>
      <c r="J65" s="141"/>
      <c r="K65" s="141"/>
      <c r="L65" s="141"/>
      <c r="M65" s="141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B10</f>
        <v>WISE SGD</v>
      </c>
      <c r="C66" s="323" t="s">
        <v>1532</v>
      </c>
      <c r="D66" s="282" t="s">
        <v>1544</v>
      </c>
      <c r="E66" s="283"/>
      <c r="F66" s="291">
        <v>40000.0</v>
      </c>
      <c r="G66" s="313" t="s">
        <v>1545</v>
      </c>
      <c r="H66" s="286" t="s">
        <v>31</v>
      </c>
      <c r="I66" s="107"/>
      <c r="J66" s="141"/>
      <c r="K66" s="141"/>
      <c r="L66" s="141"/>
      <c r="M66" s="141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B13</f>
        <v>OCBC SGD</v>
      </c>
      <c r="C67" s="323" t="s">
        <v>1546</v>
      </c>
      <c r="D67" s="282" t="s">
        <v>1544</v>
      </c>
      <c r="E67" s="283"/>
      <c r="F67" s="291">
        <v>14429.41</v>
      </c>
      <c r="G67" s="313" t="s">
        <v>1545</v>
      </c>
      <c r="H67" s="286" t="s">
        <v>31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B5</f>
        <v>신한 #672</v>
      </c>
      <c r="C68" s="323" t="s">
        <v>1532</v>
      </c>
      <c r="D68" s="282" t="s">
        <v>1495</v>
      </c>
      <c r="E68" s="283"/>
      <c r="F68" s="283">
        <v>98000.0</v>
      </c>
      <c r="G68" s="313" t="s">
        <v>1047</v>
      </c>
      <c r="H68" s="286" t="s">
        <v>4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B5</f>
        <v>신한 #672</v>
      </c>
      <c r="C69" s="323" t="s">
        <v>1532</v>
      </c>
      <c r="D69" s="282" t="s">
        <v>1496</v>
      </c>
      <c r="E69" s="283"/>
      <c r="F69" s="283">
        <v>37430.0</v>
      </c>
      <c r="G69" s="313" t="s">
        <v>1038</v>
      </c>
      <c r="H69" s="286" t="s">
        <v>4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B5</f>
        <v>신한 #672</v>
      </c>
      <c r="C70" s="323" t="s">
        <v>1532</v>
      </c>
      <c r="D70" s="282" t="s">
        <v>1496</v>
      </c>
      <c r="E70" s="283"/>
      <c r="F70" s="283">
        <v>37430.0</v>
      </c>
      <c r="G70" s="313" t="s">
        <v>1038</v>
      </c>
      <c r="H70" s="286" t="s">
        <v>4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B5</f>
        <v>신한 #672</v>
      </c>
      <c r="C71" s="323" t="s">
        <v>1532</v>
      </c>
      <c r="D71" s="282" t="s">
        <v>1496</v>
      </c>
      <c r="E71" s="291"/>
      <c r="F71" s="283">
        <v>20660.0</v>
      </c>
      <c r="G71" s="313" t="s">
        <v>1039</v>
      </c>
      <c r="H71" s="286" t="s">
        <v>4</v>
      </c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B5</f>
        <v>신한 #672</v>
      </c>
      <c r="C72" s="323" t="s">
        <v>1532</v>
      </c>
      <c r="D72" s="282" t="s">
        <v>1496</v>
      </c>
      <c r="E72" s="283"/>
      <c r="F72" s="283">
        <v>50250.0</v>
      </c>
      <c r="G72" s="313" t="s">
        <v>1040</v>
      </c>
      <c r="H72" s="286" t="s">
        <v>4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B5</f>
        <v>신한 #672</v>
      </c>
      <c r="C73" s="323" t="s">
        <v>1532</v>
      </c>
      <c r="D73" s="282" t="s">
        <v>1496</v>
      </c>
      <c r="E73" s="326"/>
      <c r="F73" s="326">
        <v>20660.0</v>
      </c>
      <c r="G73" s="313" t="s">
        <v>1039</v>
      </c>
      <c r="H73" s="286" t="s">
        <v>4</v>
      </c>
      <c r="I73" s="141"/>
      <c r="J73" s="141"/>
      <c r="K73" s="138"/>
      <c r="L73" s="138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B5</f>
        <v>신한 #672</v>
      </c>
      <c r="C74" s="323" t="s">
        <v>1532</v>
      </c>
      <c r="D74" s="282" t="s">
        <v>497</v>
      </c>
      <c r="E74" s="326"/>
      <c r="F74" s="326">
        <v>330000.0</v>
      </c>
      <c r="G74" s="313" t="s">
        <v>1042</v>
      </c>
      <c r="H74" s="286" t="s">
        <v>33</v>
      </c>
      <c r="I74" s="141"/>
      <c r="J74" s="141"/>
      <c r="K74" s="138"/>
      <c r="L74" s="138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B5</f>
        <v>신한 #672</v>
      </c>
      <c r="C75" s="323" t="s">
        <v>1532</v>
      </c>
      <c r="D75" s="282" t="s">
        <v>1497</v>
      </c>
      <c r="E75" s="283"/>
      <c r="F75" s="283">
        <v>55660.0</v>
      </c>
      <c r="G75" s="313" t="s">
        <v>1044</v>
      </c>
      <c r="H75" s="286" t="s">
        <v>4</v>
      </c>
      <c r="I75" s="141"/>
      <c r="J75" s="141"/>
      <c r="K75" s="138"/>
      <c r="L75" s="138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B5</f>
        <v>신한 #672</v>
      </c>
      <c r="C76" s="323" t="s">
        <v>1532</v>
      </c>
      <c r="D76" s="323" t="s">
        <v>1056</v>
      </c>
      <c r="E76" s="291"/>
      <c r="F76" s="325">
        <v>562737.0</v>
      </c>
      <c r="G76" s="327" t="s">
        <v>1488</v>
      </c>
      <c r="H76" s="286" t="s">
        <v>33</v>
      </c>
      <c r="I76" s="141"/>
      <c r="J76" s="141"/>
      <c r="K76" s="138"/>
      <c r="L76" s="138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B5</f>
        <v>신한 #672</v>
      </c>
      <c r="C77" s="323" t="s">
        <v>1547</v>
      </c>
      <c r="D77" s="282" t="s">
        <v>920</v>
      </c>
      <c r="E77" s="291"/>
      <c r="F77" s="326">
        <v>77000.0</v>
      </c>
      <c r="G77" s="327" t="s">
        <v>1006</v>
      </c>
      <c r="H77" s="328" t="s">
        <v>33</v>
      </c>
      <c r="I77" s="141"/>
      <c r="J77" s="141"/>
      <c r="K77" s="138"/>
      <c r="L77" s="138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B13</f>
        <v>OCBC SGD</v>
      </c>
      <c r="C78" s="323" t="s">
        <v>1547</v>
      </c>
      <c r="D78" s="323" t="s">
        <v>634</v>
      </c>
      <c r="E78" s="291">
        <v>4000.0</v>
      </c>
      <c r="F78" s="371"/>
      <c r="G78" s="313" t="s">
        <v>1543</v>
      </c>
      <c r="H78" s="286" t="s">
        <v>556</v>
      </c>
      <c r="I78" s="141"/>
      <c r="J78" s="141"/>
      <c r="K78" s="138"/>
      <c r="L78" s="138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B13</f>
        <v>OCBC SGD</v>
      </c>
      <c r="C79" s="323" t="s">
        <v>1547</v>
      </c>
      <c r="D79" s="323" t="s">
        <v>1433</v>
      </c>
      <c r="E79" s="325"/>
      <c r="F79" s="337">
        <v>15.0</v>
      </c>
      <c r="G79" s="327" t="s">
        <v>1548</v>
      </c>
      <c r="H79" s="328" t="s">
        <v>33</v>
      </c>
      <c r="I79" s="141"/>
      <c r="J79" s="141"/>
      <c r="K79" s="138"/>
      <c r="L79" s="138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B13</f>
        <v>OCBC SGD</v>
      </c>
      <c r="C80" s="323" t="s">
        <v>1509</v>
      </c>
      <c r="D80" s="323" t="s">
        <v>1433</v>
      </c>
      <c r="E80" s="325"/>
      <c r="F80" s="337">
        <v>10.0</v>
      </c>
      <c r="G80" s="327" t="s">
        <v>1548</v>
      </c>
      <c r="H80" s="328" t="s">
        <v>33</v>
      </c>
      <c r="I80" s="141"/>
      <c r="J80" s="141"/>
      <c r="K80" s="138"/>
      <c r="L80" s="138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">
        <v>746</v>
      </c>
      <c r="C81" s="282" t="s">
        <v>1547</v>
      </c>
      <c r="D81" s="282" t="s">
        <v>634</v>
      </c>
      <c r="E81" s="291"/>
      <c r="F81" s="292">
        <v>3024.57</v>
      </c>
      <c r="G81" s="313" t="s">
        <v>1543</v>
      </c>
      <c r="H81" s="286" t="s">
        <v>556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">
        <v>746</v>
      </c>
      <c r="C82" s="323" t="s">
        <v>1532</v>
      </c>
      <c r="D82" s="323" t="s">
        <v>1433</v>
      </c>
      <c r="E82" s="291"/>
      <c r="F82" s="292">
        <v>7.42</v>
      </c>
      <c r="G82" s="327" t="s">
        <v>1548</v>
      </c>
      <c r="H82" s="328" t="s">
        <v>33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92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92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</sheetData>
  <autoFilter ref="$B$21:$H$159">
    <sortState ref="B21:H159">
      <sortCondition ref="B21:B159"/>
    </sortState>
  </autoFilter>
  <customSheetViews>
    <customSheetView guid="{CD2BF927-9D79-47FC-BBA8-927062D6B3F5}" filter="1" showAutoFilter="1">
      <autoFilter ref="$B$21:$H$159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159">
      <formula1>$L:$L</formula1>
    </dataValidation>
  </dataValidations>
  <hyperlinks>
    <hyperlink r:id="rId1" ref="I3"/>
    <hyperlink r:id="rId2" ref="I4"/>
    <hyperlink r:id="rId3" ref="D55"/>
  </hyperlinks>
  <printOptions/>
  <pageMargins bottom="0.75" footer="0.0" header="0.0" left="0.25" right="0.25" top="0.75"/>
  <pageSetup fitToHeight="0" paperSize="9" orientation="portrait"/>
  <drawing r:id="rId4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1.0" topLeftCell="A22" activePane="bottomLeft" state="frozen"/>
      <selection activeCell="B23" sqref="B23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1549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'23.11월'!G5</f>
        <v>9786447</v>
      </c>
      <c r="E5" s="355">
        <f>sumif(B22:B131,B5,E22:E131)</f>
        <v>13002631</v>
      </c>
      <c r="F5" s="356">
        <f>sumif(B22:B132,B5,F22:F132)</f>
        <v>19689019</v>
      </c>
      <c r="G5" s="229">
        <f t="shared" ref="G5:G13" si="1">D5+E5-F5</f>
        <v>3100059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'23.11월'!G6</f>
        <v>2.31</v>
      </c>
      <c r="E6" s="357">
        <f>sumif(B22:B131,B6,E22:E131)</f>
        <v>0</v>
      </c>
      <c r="F6" s="358">
        <f>sumif(B22:B131,B6,F22:F131)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'23.11월'!G7</f>
        <v>34438826</v>
      </c>
      <c r="E7" s="359">
        <f>sumif(B22:B131,B7,E22:E131)</f>
        <v>85735959</v>
      </c>
      <c r="F7" s="360">
        <f>sumif(B22:B131,B7,F22:F131)</f>
        <v>111606373</v>
      </c>
      <c r="G7" s="239">
        <f t="shared" si="1"/>
        <v>8568412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'23.11월'!G8</f>
        <v>38584.28</v>
      </c>
      <c r="E8" s="361">
        <f>sumif(B22:B131,B8,E22:E131)</f>
        <v>3.35</v>
      </c>
      <c r="F8" s="358">
        <f>sumif(B22:B131,B8,F22:F131)</f>
        <v>38584.28</v>
      </c>
      <c r="G8" s="235">
        <f t="shared" si="1"/>
        <v>3.35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18</v>
      </c>
      <c r="C9" s="231" t="s">
        <v>19</v>
      </c>
      <c r="D9" s="232">
        <f>'23.11월'!G9</f>
        <v>1365.17</v>
      </c>
      <c r="E9" s="361">
        <f>sumif(B22:B131,B9,E22:E131)</f>
        <v>0</v>
      </c>
      <c r="F9" s="362">
        <f>sumif(B22:B131,B9,F22:F131)</f>
        <v>847.96</v>
      </c>
      <c r="G9" s="329">
        <f t="shared" si="1"/>
        <v>517.21</v>
      </c>
      <c r="H9" s="125"/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22</v>
      </c>
      <c r="C10" s="231" t="s">
        <v>23</v>
      </c>
      <c r="D10" s="241">
        <f>'23.11월'!G10</f>
        <v>0</v>
      </c>
      <c r="E10" s="363">
        <f>sumif(B22:B129,B10,E22:E129)</f>
        <v>1100</v>
      </c>
      <c r="F10" s="364">
        <f>sumif(B22:B131,B10,F22:F131)</f>
        <v>0</v>
      </c>
      <c r="G10" s="320">
        <f t="shared" si="1"/>
        <v>1100</v>
      </c>
      <c r="H10" s="125"/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26</v>
      </c>
      <c r="C11" s="231" t="s">
        <v>15</v>
      </c>
      <c r="D11" s="236">
        <f>'23.11월'!G11</f>
        <v>0</v>
      </c>
      <c r="E11" s="365">
        <f>sumif(B22:B131,B11,E22:E131)</f>
        <v>0</v>
      </c>
      <c r="F11" s="360">
        <f>sumif(B22:B71,B11,F22:F131)</f>
        <v>0</v>
      </c>
      <c r="G11" s="239">
        <f t="shared" si="1"/>
        <v>0</v>
      </c>
      <c r="H11" s="125"/>
      <c r="I11" s="10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746</v>
      </c>
      <c r="C12" s="231" t="s">
        <v>19</v>
      </c>
      <c r="D12" s="232">
        <f>'23.11월'!G12</f>
        <v>1160.62</v>
      </c>
      <c r="E12" s="361">
        <f>sumif(B22:B132,B12,E22:E74)</f>
        <v>0</v>
      </c>
      <c r="F12" s="358">
        <f>sumif(B22:B132,B12,F22:F132)</f>
        <v>0</v>
      </c>
      <c r="G12" s="235">
        <f t="shared" si="1"/>
        <v>1160.62</v>
      </c>
      <c r="H12" s="351"/>
      <c r="I12" s="105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305" t="s">
        <v>747</v>
      </c>
      <c r="C13" s="306" t="s">
        <v>23</v>
      </c>
      <c r="D13" s="307">
        <f>'23.11월'!G13</f>
        <v>5175.59</v>
      </c>
      <c r="E13" s="366">
        <f>sumif(B22:B132,B13,E22:E132)</f>
        <v>0</v>
      </c>
      <c r="F13" s="367">
        <f>sumif(B22:B132,B13,F22:F132)</f>
        <v>4010</v>
      </c>
      <c r="G13" s="310">
        <f t="shared" si="1"/>
        <v>1165.59</v>
      </c>
      <c r="H13" s="125"/>
      <c r="I13" s="105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52"/>
      <c r="C14" s="253"/>
      <c r="D14" s="254"/>
      <c r="E14" s="368"/>
      <c r="F14" s="369"/>
      <c r="G14" s="257"/>
      <c r="H14" s="352" t="s">
        <v>11</v>
      </c>
      <c r="I14" s="352" t="s">
        <v>8</v>
      </c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outlineLevel="1">
      <c r="A15" s="109"/>
      <c r="B15" s="259" t="s">
        <v>35</v>
      </c>
      <c r="C15" s="260"/>
      <c r="D15" s="261">
        <f t="shared" ref="D15:F15" si="2">D5+D7+D11</f>
        <v>44225273</v>
      </c>
      <c r="E15" s="262">
        <f t="shared" si="2"/>
        <v>98738590</v>
      </c>
      <c r="F15" s="263">
        <f t="shared" si="2"/>
        <v>131295392</v>
      </c>
      <c r="G15" s="345">
        <f>G5+G11+G7</f>
        <v>11668471</v>
      </c>
      <c r="H15" s="353">
        <f>G15</f>
        <v>11668471</v>
      </c>
      <c r="I15" s="353">
        <f>D15</f>
        <v>44225273</v>
      </c>
      <c r="J15" s="133"/>
      <c r="K15" s="133"/>
      <c r="L15" s="83" t="s">
        <v>39</v>
      </c>
      <c r="M15" s="84" t="s">
        <v>40</v>
      </c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</row>
    <row r="16" outlineLevel="1">
      <c r="A16" s="109"/>
      <c r="B16" s="266" t="s">
        <v>38</v>
      </c>
      <c r="C16" s="267"/>
      <c r="D16" s="268">
        <f t="shared" ref="D16:F16" si="3">D6+D8+D9+D12</f>
        <v>41112.38</v>
      </c>
      <c r="E16" s="269">
        <f t="shared" si="3"/>
        <v>3.35</v>
      </c>
      <c r="F16" s="270">
        <f t="shared" si="3"/>
        <v>39432.24</v>
      </c>
      <c r="G16" s="346">
        <f>G9+G6+G8+G12</f>
        <v>1683.49</v>
      </c>
      <c r="H16" s="265">
        <f>rounddown(G16*$J$3,0)</f>
        <v>2479317</v>
      </c>
      <c r="I16" s="265">
        <f>rounddown(D16*$J$3,0)</f>
        <v>60547229</v>
      </c>
      <c r="J16" s="134"/>
      <c r="K16" s="134"/>
      <c r="L16" s="83" t="s">
        <v>29</v>
      </c>
      <c r="M16" s="83" t="s">
        <v>30</v>
      </c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</row>
    <row r="17" outlineLevel="1">
      <c r="A17" s="109"/>
      <c r="B17" s="272" t="s">
        <v>677</v>
      </c>
      <c r="C17" s="273"/>
      <c r="D17" s="274">
        <f t="shared" ref="D17:G17" si="4">D10+D13</f>
        <v>5175.59</v>
      </c>
      <c r="E17" s="274">
        <f t="shared" si="4"/>
        <v>1100</v>
      </c>
      <c r="F17" s="275">
        <f t="shared" si="4"/>
        <v>4010</v>
      </c>
      <c r="G17" s="347">
        <f t="shared" si="4"/>
        <v>2265.59</v>
      </c>
      <c r="H17" s="277">
        <f>rounddown(G17*$J$4,0)</f>
        <v>2591574</v>
      </c>
      <c r="I17" s="277">
        <f>rounddown(D17*$J$4,0)</f>
        <v>5920279</v>
      </c>
      <c r="J17" s="103"/>
      <c r="K17" s="103"/>
      <c r="L17" s="83" t="s">
        <v>33</v>
      </c>
      <c r="M17" s="84" t="s">
        <v>34</v>
      </c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</row>
    <row r="18" outlineLevel="1">
      <c r="A18" s="109"/>
      <c r="B18" s="181"/>
      <c r="C18" s="181"/>
      <c r="D18" s="278"/>
      <c r="E18" s="278"/>
      <c r="F18" s="278"/>
      <c r="G18" s="278"/>
      <c r="H18" s="279">
        <f t="shared" ref="H18:I18" si="5">SUM(H15:H17)</f>
        <v>16739362</v>
      </c>
      <c r="I18" s="279">
        <f t="shared" si="5"/>
        <v>110692781</v>
      </c>
      <c r="J18" s="103"/>
      <c r="K18" s="10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t="13.5" customHeight="1">
      <c r="A19" s="115"/>
      <c r="B19" s="280"/>
      <c r="C19" s="280"/>
      <c r="D19" s="280"/>
      <c r="E19" s="311"/>
      <c r="F19" s="311"/>
      <c r="G19" s="280"/>
      <c r="H19" s="336">
        <f>H18-I18</f>
        <v>-93953419</v>
      </c>
      <c r="I19" s="138"/>
      <c r="J19" s="99"/>
      <c r="K19" s="99"/>
      <c r="L19" s="83" t="s">
        <v>27</v>
      </c>
      <c r="M19" s="83" t="s">
        <v>28</v>
      </c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</row>
    <row r="20" ht="13.5" customHeight="1">
      <c r="A20" s="103"/>
      <c r="B20" s="136" t="s">
        <v>43</v>
      </c>
      <c r="C20" s="136"/>
      <c r="D20" s="136"/>
      <c r="E20" s="137"/>
      <c r="F20" s="137"/>
      <c r="G20" s="136"/>
      <c r="H20" s="280"/>
      <c r="I20" s="138"/>
      <c r="J20" s="99"/>
      <c r="K20" s="99"/>
      <c r="L20" s="83" t="s">
        <v>930</v>
      </c>
      <c r="M20" s="83" t="s">
        <v>931</v>
      </c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</row>
    <row r="21" ht="13.5" customHeight="1">
      <c r="A21" s="115"/>
      <c r="B21" s="182" t="s">
        <v>6</v>
      </c>
      <c r="C21" s="182" t="s">
        <v>44</v>
      </c>
      <c r="D21" s="182" t="s">
        <v>45</v>
      </c>
      <c r="E21" s="182" t="s">
        <v>46</v>
      </c>
      <c r="F21" s="182" t="s">
        <v>47</v>
      </c>
      <c r="G21" s="183" t="s">
        <v>48</v>
      </c>
      <c r="H21" s="182" t="s">
        <v>1</v>
      </c>
      <c r="I21" s="141"/>
      <c r="J21" s="107"/>
      <c r="K21" s="99"/>
      <c r="L21" s="83" t="s">
        <v>945</v>
      </c>
      <c r="M21" s="84" t="s">
        <v>78</v>
      </c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</row>
    <row r="22" ht="15.0" customHeight="1">
      <c r="A22" s="105"/>
      <c r="B22" s="281" t="str">
        <f>B7</f>
        <v>하나 #304</v>
      </c>
      <c r="C22" s="323" t="s">
        <v>1550</v>
      </c>
      <c r="D22" s="323" t="s">
        <v>789</v>
      </c>
      <c r="E22" s="325"/>
      <c r="F22" s="325">
        <v>6170450.0</v>
      </c>
      <c r="G22" s="327" t="s">
        <v>1551</v>
      </c>
      <c r="H22" s="328" t="s">
        <v>33</v>
      </c>
      <c r="I22" s="107"/>
      <c r="J22" s="141"/>
      <c r="K22" s="138"/>
      <c r="L22" s="83" t="s">
        <v>1327</v>
      </c>
      <c r="M22" s="84" t="s">
        <v>1328</v>
      </c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</row>
    <row r="23" ht="15.0" customHeight="1">
      <c r="A23" s="105"/>
      <c r="B23" s="281" t="str">
        <f>B7</f>
        <v>하나 #304</v>
      </c>
      <c r="C23" s="323" t="s">
        <v>1550</v>
      </c>
      <c r="D23" s="323" t="s">
        <v>1230</v>
      </c>
      <c r="E23" s="337"/>
      <c r="F23" s="325">
        <v>825000.0</v>
      </c>
      <c r="G23" s="327" t="s">
        <v>872</v>
      </c>
      <c r="H23" s="328" t="s">
        <v>33</v>
      </c>
      <c r="I23" s="107"/>
      <c r="J23" s="141"/>
      <c r="K23" s="138"/>
      <c r="L23" s="83" t="s">
        <v>1385</v>
      </c>
      <c r="M23" s="84" t="s">
        <v>1386</v>
      </c>
      <c r="N23" s="99"/>
      <c r="O23" s="99"/>
      <c r="P23" s="99"/>
      <c r="Q23" s="99"/>
      <c r="R23" s="99"/>
      <c r="S23" s="99"/>
      <c r="T23" s="99"/>
      <c r="U23" s="99"/>
      <c r="V23" s="99"/>
      <c r="W23" s="99"/>
      <c r="X23" s="99"/>
      <c r="Y23" s="99"/>
    </row>
    <row r="24" ht="15.0" customHeight="1">
      <c r="A24" s="105"/>
      <c r="B24" s="281" t="str">
        <f>B7</f>
        <v>하나 #304</v>
      </c>
      <c r="C24" s="323" t="s">
        <v>1550</v>
      </c>
      <c r="D24" s="323" t="s">
        <v>1552</v>
      </c>
      <c r="E24" s="337"/>
      <c r="F24" s="325">
        <v>98527.0</v>
      </c>
      <c r="G24" s="327" t="s">
        <v>1553</v>
      </c>
      <c r="H24" s="328" t="s">
        <v>33</v>
      </c>
      <c r="I24" s="107"/>
      <c r="J24" s="141"/>
      <c r="K24" s="138"/>
      <c r="L24" s="83" t="s">
        <v>1554</v>
      </c>
      <c r="M24" s="84" t="s">
        <v>1554</v>
      </c>
      <c r="N24" s="99"/>
      <c r="O24" s="99"/>
      <c r="P24" s="99"/>
      <c r="Q24" s="99"/>
      <c r="R24" s="99"/>
      <c r="S24" s="99"/>
      <c r="T24" s="99"/>
      <c r="U24" s="99"/>
      <c r="V24" s="99"/>
      <c r="W24" s="99"/>
      <c r="X24" s="99"/>
      <c r="Y24" s="99"/>
    </row>
    <row r="25" ht="15.0" customHeight="1">
      <c r="A25" s="105"/>
      <c r="B25" s="281" t="str">
        <f>B7</f>
        <v>하나 #304</v>
      </c>
      <c r="C25" s="323" t="s">
        <v>1550</v>
      </c>
      <c r="D25" s="323" t="s">
        <v>1115</v>
      </c>
      <c r="E25" s="325"/>
      <c r="F25" s="337">
        <v>1000.0</v>
      </c>
      <c r="G25" s="327" t="s">
        <v>1119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B13</f>
        <v>OCBC SGD</v>
      </c>
      <c r="C26" s="323" t="s">
        <v>1550</v>
      </c>
      <c r="D26" s="323" t="s">
        <v>1556</v>
      </c>
      <c r="E26" s="325"/>
      <c r="F26" s="337">
        <v>4000.0</v>
      </c>
      <c r="G26" s="327" t="s">
        <v>1557</v>
      </c>
      <c r="H26" s="328" t="s">
        <v>33</v>
      </c>
      <c r="I26" s="107"/>
      <c r="J26" s="141"/>
      <c r="K26" s="138"/>
      <c r="L26" s="83"/>
      <c r="M26" s="84"/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B13</f>
        <v>OCBC SGD</v>
      </c>
      <c r="C27" s="323" t="s">
        <v>1550</v>
      </c>
      <c r="D27" s="323" t="s">
        <v>828</v>
      </c>
      <c r="E27" s="325"/>
      <c r="F27" s="337">
        <v>10.0</v>
      </c>
      <c r="G27" s="327" t="s">
        <v>1119</v>
      </c>
      <c r="H27" s="328" t="s">
        <v>33</v>
      </c>
      <c r="I27" s="107"/>
      <c r="J27" s="141"/>
      <c r="K27" s="138"/>
      <c r="L27" s="99"/>
      <c r="M27" s="99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 t="shared" ref="B28:B29" si="6">B7</f>
        <v>하나 #304</v>
      </c>
      <c r="C28" s="323" t="s">
        <v>1558</v>
      </c>
      <c r="D28" s="323" t="s">
        <v>632</v>
      </c>
      <c r="E28" s="325">
        <v>5.0205093E7</v>
      </c>
      <c r="F28" s="325"/>
      <c r="G28" s="327" t="s">
        <v>679</v>
      </c>
      <c r="H28" s="328" t="s">
        <v>556</v>
      </c>
      <c r="I28" s="107"/>
      <c r="J28" s="141"/>
      <c r="K28" s="138"/>
      <c r="L28" s="99"/>
      <c r="M28" s="99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 t="shared" si="6"/>
        <v>하나 #138</v>
      </c>
      <c r="C29" s="323" t="s">
        <v>1558</v>
      </c>
      <c r="D29" s="323" t="s">
        <v>632</v>
      </c>
      <c r="E29" s="337"/>
      <c r="F29" s="337">
        <v>38584.28</v>
      </c>
      <c r="G29" s="327" t="s">
        <v>679</v>
      </c>
      <c r="H29" s="328" t="s">
        <v>556</v>
      </c>
      <c r="I29" s="107"/>
      <c r="J29" s="141"/>
      <c r="K29" s="138"/>
      <c r="L29" s="99"/>
      <c r="M29" s="99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B7</f>
        <v>하나 #304</v>
      </c>
      <c r="C30" s="323" t="s">
        <v>1559</v>
      </c>
      <c r="D30" s="323" t="s">
        <v>1297</v>
      </c>
      <c r="E30" s="337"/>
      <c r="F30" s="325">
        <v>6897000.0</v>
      </c>
      <c r="G30" s="327" t="s">
        <v>1560</v>
      </c>
      <c r="H30" s="328" t="s">
        <v>31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B7</f>
        <v>하나 #304</v>
      </c>
      <c r="C31" s="323" t="s">
        <v>1559</v>
      </c>
      <c r="D31" s="323" t="s">
        <v>1297</v>
      </c>
      <c r="E31" s="325"/>
      <c r="F31" s="325">
        <v>35360.0</v>
      </c>
      <c r="G31" s="327" t="s">
        <v>1561</v>
      </c>
      <c r="H31" s="328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B7</f>
        <v>하나 #304</v>
      </c>
      <c r="C32" s="323" t="s">
        <v>1559</v>
      </c>
      <c r="D32" s="323" t="s">
        <v>1299</v>
      </c>
      <c r="E32" s="325"/>
      <c r="F32" s="325">
        <v>693160.0</v>
      </c>
      <c r="G32" s="327" t="s">
        <v>1562</v>
      </c>
      <c r="H32" s="328" t="s">
        <v>31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B7</f>
        <v>하나 #304</v>
      </c>
      <c r="C33" s="323" t="s">
        <v>1559</v>
      </c>
      <c r="D33" s="323" t="s">
        <v>1563</v>
      </c>
      <c r="E33" s="337"/>
      <c r="F33" s="325">
        <v>12800.0</v>
      </c>
      <c r="G33" s="327" t="s">
        <v>1564</v>
      </c>
      <c r="H33" s="328" t="s">
        <v>31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B7</f>
        <v>하나 #304</v>
      </c>
      <c r="C34" s="323" t="s">
        <v>1559</v>
      </c>
      <c r="D34" s="323" t="s">
        <v>1120</v>
      </c>
      <c r="E34" s="325"/>
      <c r="F34" s="325">
        <v>1.3E7</v>
      </c>
      <c r="G34" s="327" t="s">
        <v>1035</v>
      </c>
      <c r="H34" s="328" t="s">
        <v>556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323" t="s">
        <v>1559</v>
      </c>
      <c r="D35" s="323" t="s">
        <v>1115</v>
      </c>
      <c r="E35" s="337"/>
      <c r="F35" s="325">
        <v>1000.0</v>
      </c>
      <c r="G35" s="327" t="s">
        <v>1565</v>
      </c>
      <c r="H35" s="328" t="s">
        <v>33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323" t="s">
        <v>1559</v>
      </c>
      <c r="D36" s="323" t="s">
        <v>1203</v>
      </c>
      <c r="E36" s="325">
        <v>1.3E7</v>
      </c>
      <c r="F36" s="325"/>
      <c r="G36" s="327" t="s">
        <v>1035</v>
      </c>
      <c r="H36" s="328" t="s">
        <v>556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B5</f>
        <v>신한 #672</v>
      </c>
      <c r="C37" s="323" t="s">
        <v>1559</v>
      </c>
      <c r="D37" s="323" t="s">
        <v>1566</v>
      </c>
      <c r="E37" s="325"/>
      <c r="F37" s="325">
        <v>578380.0</v>
      </c>
      <c r="G37" s="327" t="s">
        <v>1566</v>
      </c>
      <c r="H37" s="328" t="s">
        <v>31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323" t="s">
        <v>1559</v>
      </c>
      <c r="D38" s="323" t="s">
        <v>1567</v>
      </c>
      <c r="E38" s="325"/>
      <c r="F38" s="325">
        <v>1552240.0</v>
      </c>
      <c r="G38" s="327" t="s">
        <v>1567</v>
      </c>
      <c r="H38" s="328" t="s">
        <v>31</v>
      </c>
      <c r="I38" s="141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1559</v>
      </c>
      <c r="D39" s="323" t="s">
        <v>1568</v>
      </c>
      <c r="E39" s="325"/>
      <c r="F39" s="325">
        <v>7017600.0</v>
      </c>
      <c r="G39" s="327" t="s">
        <v>1568</v>
      </c>
      <c r="H39" s="328" t="s">
        <v>31</v>
      </c>
      <c r="I39" s="141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323" t="s">
        <v>1559</v>
      </c>
      <c r="D40" s="323" t="s">
        <v>1569</v>
      </c>
      <c r="E40" s="325"/>
      <c r="F40" s="325">
        <v>6962440.0</v>
      </c>
      <c r="G40" s="327" t="s">
        <v>1569</v>
      </c>
      <c r="H40" s="328" t="s">
        <v>31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B7</f>
        <v>하나 #304</v>
      </c>
      <c r="C41" s="323" t="s">
        <v>1559</v>
      </c>
      <c r="D41" s="282" t="s">
        <v>122</v>
      </c>
      <c r="E41" s="325">
        <v>3.0E7</v>
      </c>
      <c r="F41" s="325"/>
      <c r="G41" s="327" t="s">
        <v>1570</v>
      </c>
      <c r="H41" s="286" t="s">
        <v>1554</v>
      </c>
      <c r="I41" s="141"/>
      <c r="J41" s="141"/>
      <c r="K41" s="138"/>
      <c r="L41" s="138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323" t="s">
        <v>1571</v>
      </c>
      <c r="D42" s="323" t="s">
        <v>1120</v>
      </c>
      <c r="E42" s="325">
        <v>2631.0</v>
      </c>
      <c r="F42" s="325"/>
      <c r="G42" s="327" t="s">
        <v>906</v>
      </c>
      <c r="H42" s="328" t="s">
        <v>75</v>
      </c>
      <c r="I42" s="141"/>
      <c r="J42" s="141"/>
      <c r="K42" s="138"/>
      <c r="L42" s="138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323" t="s">
        <v>1572</v>
      </c>
      <c r="D43" s="282" t="s">
        <v>1202</v>
      </c>
      <c r="E43" s="326"/>
      <c r="F43" s="326">
        <v>110000.0</v>
      </c>
      <c r="G43" s="313" t="s">
        <v>1202</v>
      </c>
      <c r="H43" s="286" t="s">
        <v>33</v>
      </c>
      <c r="I43" s="141"/>
      <c r="J43" s="141"/>
      <c r="K43" s="138"/>
      <c r="L43" s="138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 t="shared" ref="B44:B45" si="7">B7</f>
        <v>하나 #304</v>
      </c>
      <c r="C44" s="323" t="s">
        <v>1571</v>
      </c>
      <c r="D44" s="282" t="s">
        <v>1115</v>
      </c>
      <c r="E44" s="325">
        <v>15666.0</v>
      </c>
      <c r="F44" s="325"/>
      <c r="G44" s="327" t="s">
        <v>906</v>
      </c>
      <c r="H44" s="328" t="s">
        <v>75</v>
      </c>
      <c r="I44" s="141"/>
      <c r="J44" s="141"/>
      <c r="K44" s="138"/>
      <c r="L44" s="138"/>
      <c r="M44" s="99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 t="shared" si="7"/>
        <v>하나 #138</v>
      </c>
      <c r="C45" s="323" t="s">
        <v>1571</v>
      </c>
      <c r="D45" s="282" t="s">
        <v>1115</v>
      </c>
      <c r="E45" s="337">
        <v>3.35</v>
      </c>
      <c r="F45" s="325"/>
      <c r="G45" s="327" t="s">
        <v>906</v>
      </c>
      <c r="H45" s="328" t="s">
        <v>75</v>
      </c>
      <c r="I45" s="141"/>
      <c r="J45" s="141"/>
      <c r="K45" s="138"/>
      <c r="L45" s="138"/>
      <c r="M45" s="99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B7</f>
        <v>하나 #304</v>
      </c>
      <c r="C46" s="323" t="s">
        <v>1573</v>
      </c>
      <c r="D46" s="282" t="s">
        <v>41</v>
      </c>
      <c r="E46" s="325"/>
      <c r="F46" s="325">
        <v>8.0721136E7</v>
      </c>
      <c r="G46" s="327" t="s">
        <v>925</v>
      </c>
      <c r="H46" s="286" t="s">
        <v>41</v>
      </c>
      <c r="I46" s="141"/>
      <c r="J46" s="141"/>
      <c r="K46" s="138"/>
      <c r="L46" s="138"/>
      <c r="M46" s="99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B7</f>
        <v>하나 #304</v>
      </c>
      <c r="C47" s="323" t="s">
        <v>1573</v>
      </c>
      <c r="D47" s="282" t="s">
        <v>1115</v>
      </c>
      <c r="E47" s="325"/>
      <c r="F47" s="325">
        <v>7000.0</v>
      </c>
      <c r="G47" s="327" t="s">
        <v>1119</v>
      </c>
      <c r="H47" s="286" t="s">
        <v>33</v>
      </c>
      <c r="I47" s="141"/>
      <c r="J47" s="141"/>
      <c r="K47" s="138"/>
      <c r="L47" s="138"/>
      <c r="M47" s="99"/>
      <c r="N47" s="99"/>
      <c r="O47" s="99"/>
      <c r="P47" s="141"/>
      <c r="Q47" s="141"/>
      <c r="R47" s="141"/>
      <c r="S47" s="141"/>
      <c r="T47" s="141"/>
      <c r="U47" s="141"/>
      <c r="V47" s="141"/>
      <c r="W47" s="141"/>
      <c r="X47" s="141"/>
      <c r="Y47" s="141"/>
    </row>
    <row r="48" ht="15.0" customHeight="1">
      <c r="A48" s="105"/>
      <c r="B48" s="281" t="str">
        <f>B5</f>
        <v>신한 #672</v>
      </c>
      <c r="C48" s="323" t="s">
        <v>1574</v>
      </c>
      <c r="D48" s="282" t="s">
        <v>1495</v>
      </c>
      <c r="E48" s="283"/>
      <c r="F48" s="283">
        <v>98000.0</v>
      </c>
      <c r="G48" s="313" t="s">
        <v>1047</v>
      </c>
      <c r="H48" s="286" t="s">
        <v>4</v>
      </c>
      <c r="I48" s="141"/>
      <c r="J48" s="141"/>
      <c r="K48" s="138"/>
      <c r="L48" s="138"/>
      <c r="M48" s="99"/>
      <c r="N48" s="99"/>
      <c r="O48" s="99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>B5</f>
        <v>신한 #672</v>
      </c>
      <c r="C49" s="323" t="s">
        <v>1574</v>
      </c>
      <c r="D49" s="282" t="s">
        <v>1496</v>
      </c>
      <c r="E49" s="283"/>
      <c r="F49" s="283">
        <v>37430.0</v>
      </c>
      <c r="G49" s="313" t="s">
        <v>1038</v>
      </c>
      <c r="H49" s="286" t="s">
        <v>4</v>
      </c>
      <c r="I49" s="141"/>
      <c r="J49" s="141"/>
      <c r="K49" s="138"/>
      <c r="L49" s="138"/>
      <c r="M49" s="99"/>
      <c r="N49" s="99"/>
      <c r="O49" s="99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B5</f>
        <v>신한 #672</v>
      </c>
      <c r="C50" s="323" t="s">
        <v>1574</v>
      </c>
      <c r="D50" s="282" t="s">
        <v>1496</v>
      </c>
      <c r="E50" s="283"/>
      <c r="F50" s="283">
        <v>37430.0</v>
      </c>
      <c r="G50" s="313" t="s">
        <v>1038</v>
      </c>
      <c r="H50" s="286" t="s">
        <v>4</v>
      </c>
      <c r="I50" s="141"/>
      <c r="J50" s="141"/>
      <c r="K50" s="138"/>
      <c r="L50" s="138"/>
      <c r="M50" s="99"/>
      <c r="N50" s="99"/>
      <c r="O50" s="99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B5</f>
        <v>신한 #672</v>
      </c>
      <c r="C51" s="323" t="s">
        <v>1574</v>
      </c>
      <c r="D51" s="282" t="s">
        <v>1496</v>
      </c>
      <c r="E51" s="291"/>
      <c r="F51" s="283">
        <v>20660.0</v>
      </c>
      <c r="G51" s="313" t="s">
        <v>1039</v>
      </c>
      <c r="H51" s="286" t="s">
        <v>4</v>
      </c>
      <c r="I51" s="141"/>
      <c r="J51" s="141"/>
      <c r="K51" s="138"/>
      <c r="L51" s="138"/>
      <c r="M51" s="99"/>
      <c r="N51" s="99"/>
      <c r="O51" s="99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B5</f>
        <v>신한 #672</v>
      </c>
      <c r="C52" s="323" t="s">
        <v>1574</v>
      </c>
      <c r="D52" s="282" t="s">
        <v>1496</v>
      </c>
      <c r="E52" s="283"/>
      <c r="F52" s="283">
        <v>50250.0</v>
      </c>
      <c r="G52" s="313" t="s">
        <v>1040</v>
      </c>
      <c r="H52" s="286" t="s">
        <v>4</v>
      </c>
      <c r="I52" s="141"/>
      <c r="J52" s="141"/>
      <c r="K52" s="138"/>
      <c r="L52" s="138"/>
      <c r="M52" s="99"/>
      <c r="N52" s="99"/>
      <c r="O52" s="99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B5</f>
        <v>신한 #672</v>
      </c>
      <c r="C53" s="323" t="s">
        <v>1574</v>
      </c>
      <c r="D53" s="282" t="s">
        <v>1496</v>
      </c>
      <c r="E53" s="326"/>
      <c r="F53" s="326">
        <v>20660.0</v>
      </c>
      <c r="G53" s="313" t="s">
        <v>1039</v>
      </c>
      <c r="H53" s="286" t="s">
        <v>4</v>
      </c>
      <c r="I53" s="141"/>
      <c r="J53" s="141"/>
      <c r="K53" s="138"/>
      <c r="L53" s="138"/>
      <c r="M53" s="99"/>
      <c r="N53" s="99"/>
      <c r="O53" s="99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B5</f>
        <v>신한 #672</v>
      </c>
      <c r="C54" s="323" t="s">
        <v>1574</v>
      </c>
      <c r="D54" s="282" t="s">
        <v>497</v>
      </c>
      <c r="E54" s="326"/>
      <c r="F54" s="326">
        <v>330000.0</v>
      </c>
      <c r="G54" s="313" t="s">
        <v>1042</v>
      </c>
      <c r="H54" s="286" t="s">
        <v>33</v>
      </c>
      <c r="I54" s="107"/>
      <c r="J54" s="141"/>
      <c r="K54" s="141"/>
      <c r="L54" s="141"/>
      <c r="M54" s="141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B5</f>
        <v>신한 #672</v>
      </c>
      <c r="C55" s="323" t="s">
        <v>1574</v>
      </c>
      <c r="D55" s="282" t="s">
        <v>1497</v>
      </c>
      <c r="E55" s="283"/>
      <c r="F55" s="283">
        <v>55750.0</v>
      </c>
      <c r="G55" s="313" t="s">
        <v>1044</v>
      </c>
      <c r="H55" s="286" t="s">
        <v>4</v>
      </c>
      <c r="I55" s="107"/>
      <c r="J55" s="141"/>
      <c r="K55" s="141"/>
      <c r="L55" s="141"/>
      <c r="M55" s="141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B5</f>
        <v>신한 #672</v>
      </c>
      <c r="C56" s="323" t="s">
        <v>1574</v>
      </c>
      <c r="D56" s="323" t="s">
        <v>623</v>
      </c>
      <c r="E56" s="291"/>
      <c r="F56" s="325">
        <v>2741179.0</v>
      </c>
      <c r="G56" s="327" t="s">
        <v>1488</v>
      </c>
      <c r="H56" s="286" t="s">
        <v>33</v>
      </c>
      <c r="I56" s="107"/>
      <c r="J56" s="141"/>
      <c r="K56" s="141"/>
      <c r="L56" s="141"/>
      <c r="M56" s="141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B7</f>
        <v>하나 #304</v>
      </c>
      <c r="C57" s="323" t="s">
        <v>1574</v>
      </c>
      <c r="D57" s="323" t="s">
        <v>1056</v>
      </c>
      <c r="E57" s="291"/>
      <c r="F57" s="325">
        <v>3143940.0</v>
      </c>
      <c r="G57" s="327" t="s">
        <v>1488</v>
      </c>
      <c r="H57" s="286" t="s">
        <v>33</v>
      </c>
      <c r="I57" s="107"/>
      <c r="J57" s="141"/>
      <c r="K57" s="141"/>
      <c r="L57" s="141"/>
      <c r="M57" s="141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350" t="str">
        <f>B7</f>
        <v>하나 #304</v>
      </c>
      <c r="C58" s="323" t="s">
        <v>1574</v>
      </c>
      <c r="D58" s="282" t="s">
        <v>1575</v>
      </c>
      <c r="E58" s="283">
        <v>3600000.0</v>
      </c>
      <c r="F58" s="291"/>
      <c r="G58" s="313" t="s">
        <v>1576</v>
      </c>
      <c r="H58" s="286" t="s">
        <v>1555</v>
      </c>
      <c r="I58" s="107"/>
      <c r="J58" s="141"/>
      <c r="K58" s="141"/>
      <c r="L58" s="141"/>
      <c r="M58" s="141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>B7</f>
        <v>하나 #304</v>
      </c>
      <c r="C59" s="374" t="s">
        <v>1577</v>
      </c>
      <c r="D59" s="282" t="s">
        <v>1578</v>
      </c>
      <c r="E59" s="283">
        <v>1915200.0</v>
      </c>
      <c r="F59" s="291"/>
      <c r="G59" s="313" t="s">
        <v>1579</v>
      </c>
      <c r="H59" s="286" t="s">
        <v>1555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374" t="s">
        <v>1577</v>
      </c>
      <c r="D60" s="282" t="s">
        <v>920</v>
      </c>
      <c r="E60" s="291"/>
      <c r="F60" s="326">
        <v>77000.0</v>
      </c>
      <c r="G60" s="327" t="s">
        <v>1006</v>
      </c>
      <c r="H60" s="328" t="s">
        <v>33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B9</f>
        <v>WISE USD</v>
      </c>
      <c r="C61" s="323" t="s">
        <v>1580</v>
      </c>
      <c r="D61" s="296" t="s">
        <v>542</v>
      </c>
      <c r="E61" s="283"/>
      <c r="F61" s="291">
        <v>10.0</v>
      </c>
      <c r="G61" s="313" t="s">
        <v>1068</v>
      </c>
      <c r="H61" s="286" t="s">
        <v>33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 t="shared" ref="B62:B63" si="8">B9</f>
        <v>WISE USD</v>
      </c>
      <c r="C62" s="374" t="s">
        <v>1577</v>
      </c>
      <c r="D62" s="323" t="s">
        <v>634</v>
      </c>
      <c r="E62" s="283"/>
      <c r="F62" s="291">
        <v>837.96</v>
      </c>
      <c r="G62" s="313" t="s">
        <v>1543</v>
      </c>
      <c r="H62" s="286" t="s">
        <v>556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 t="shared" si="8"/>
        <v>WISE SGD</v>
      </c>
      <c r="C63" s="374" t="s">
        <v>1577</v>
      </c>
      <c r="D63" s="323" t="s">
        <v>634</v>
      </c>
      <c r="E63" s="291">
        <v>1100.0</v>
      </c>
      <c r="F63" s="283"/>
      <c r="G63" s="313" t="s">
        <v>1543</v>
      </c>
      <c r="H63" s="286" t="s">
        <v>556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/>
      <c r="C64" s="323"/>
      <c r="D64" s="282"/>
      <c r="E64" s="283"/>
      <c r="F64" s="283"/>
      <c r="G64" s="313"/>
      <c r="H64" s="286"/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/>
      <c r="C65" s="323"/>
      <c r="D65" s="282"/>
      <c r="E65" s="326"/>
      <c r="F65" s="326"/>
      <c r="G65" s="313"/>
      <c r="H65" s="286"/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/>
      <c r="C66" s="323"/>
      <c r="D66" s="282"/>
      <c r="E66" s="326"/>
      <c r="F66" s="326"/>
      <c r="G66" s="313"/>
      <c r="H66" s="286"/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/>
      <c r="C67" s="323"/>
      <c r="D67" s="282"/>
      <c r="E67" s="283"/>
      <c r="F67" s="283"/>
      <c r="G67" s="313"/>
      <c r="H67" s="286"/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/>
      <c r="C68" s="323"/>
      <c r="D68" s="323"/>
      <c r="E68" s="291"/>
      <c r="F68" s="325"/>
      <c r="G68" s="327"/>
      <c r="H68" s="286"/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/>
      <c r="C69" s="323"/>
      <c r="D69" s="282"/>
      <c r="E69" s="291"/>
      <c r="F69" s="326"/>
      <c r="G69" s="327"/>
      <c r="H69" s="328"/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/>
      <c r="C70" s="282"/>
      <c r="D70" s="282"/>
      <c r="E70" s="291"/>
      <c r="F70" s="292"/>
      <c r="G70" s="313"/>
      <c r="H70" s="286"/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/>
      <c r="C71" s="282"/>
      <c r="D71" s="282"/>
      <c r="E71" s="291"/>
      <c r="F71" s="292"/>
      <c r="G71" s="313"/>
      <c r="H71" s="286"/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/>
      <c r="C72" s="282"/>
      <c r="D72" s="282"/>
      <c r="E72" s="291"/>
      <c r="F72" s="292"/>
      <c r="G72" s="313"/>
      <c r="H72" s="286"/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/>
      <c r="C73" s="282"/>
      <c r="D73" s="282"/>
      <c r="E73" s="291"/>
      <c r="F73" s="292"/>
      <c r="G73" s="313"/>
      <c r="H73" s="286"/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/>
      <c r="C74" s="282"/>
      <c r="D74" s="282"/>
      <c r="E74" s="291"/>
      <c r="F74" s="292"/>
      <c r="G74" s="313"/>
      <c r="H74" s="286"/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/>
      <c r="C75" s="282"/>
      <c r="D75" s="282"/>
      <c r="E75" s="291"/>
      <c r="F75" s="292"/>
      <c r="G75" s="313"/>
      <c r="H75" s="286"/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282"/>
      <c r="D76" s="282"/>
      <c r="E76" s="291"/>
      <c r="F76" s="292"/>
      <c r="G76" s="313"/>
      <c r="H76" s="286"/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282"/>
      <c r="D77" s="282"/>
      <c r="E77" s="291"/>
      <c r="F77" s="292"/>
      <c r="G77" s="313"/>
      <c r="H77" s="286"/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282"/>
      <c r="D78" s="282"/>
      <c r="E78" s="291"/>
      <c r="F78" s="292"/>
      <c r="G78" s="313"/>
      <c r="H78" s="286"/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282"/>
      <c r="D79" s="282"/>
      <c r="E79" s="291"/>
      <c r="F79" s="292"/>
      <c r="G79" s="313"/>
      <c r="H79" s="286"/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282"/>
      <c r="D80" s="282"/>
      <c r="E80" s="291"/>
      <c r="F80" s="292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282"/>
      <c r="D81" s="282"/>
      <c r="E81" s="291"/>
      <c r="F81" s="292"/>
      <c r="G81" s="313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282"/>
      <c r="D82" s="282"/>
      <c r="E82" s="291"/>
      <c r="F82" s="292"/>
      <c r="G82" s="313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92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92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92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92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91"/>
      <c r="F87" s="292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91"/>
      <c r="F88" s="292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91"/>
      <c r="F89" s="292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92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91"/>
      <c r="F91" s="292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291"/>
      <c r="F92" s="292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291"/>
      <c r="F93" s="292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91"/>
      <c r="F94" s="292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92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282"/>
      <c r="E96" s="291"/>
      <c r="F96" s="292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282"/>
      <c r="E97" s="291"/>
      <c r="F97" s="292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</sheetData>
  <autoFilter ref="$B$21:$H$151">
    <sortState ref="B21:H151">
      <sortCondition ref="B21:B151"/>
    </sortState>
  </autoFilter>
  <customSheetViews>
    <customSheetView guid="{CD2BF927-9D79-47FC-BBA8-927062D6B3F5}" filter="1" showAutoFilter="1">
      <autoFilter ref="$B$21:$H$151"/>
    </customSheetView>
  </customSheetViews>
  <mergeCells count="4">
    <mergeCell ref="B1:G1"/>
    <mergeCell ref="B15:C15"/>
    <mergeCell ref="B16:C16"/>
    <mergeCell ref="B17:C17"/>
  </mergeCells>
  <dataValidations>
    <dataValidation type="list" allowBlank="1" sqref="H22:H151">
      <formula1>$L:$L</formula1>
    </dataValidation>
  </dataValidations>
  <hyperlinks>
    <hyperlink r:id="rId1" ref="I3"/>
    <hyperlink r:id="rId2" ref="I4"/>
    <hyperlink r:id="rId3" ref="D61"/>
  </hyperlinks>
  <printOptions/>
  <pageMargins bottom="0.75" footer="0.0" header="0.0" left="0.25" right="0.25" top="0.75"/>
  <pageSetup fitToHeight="0" paperSize="9" orientation="portrait"/>
  <drawing r:id="rId4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1581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'23.12월'!G5</f>
        <v>3100059</v>
      </c>
      <c r="E5" s="355">
        <f>sumif(B25:B129,B5,E25:E129)</f>
        <v>17500003</v>
      </c>
      <c r="F5" s="356">
        <f>sumif(B25:B130,B5,F25:F130)</f>
        <v>20278579</v>
      </c>
      <c r="G5" s="229">
        <f t="shared" ref="G5:G16" si="1">D5+E5-F5</f>
        <v>321483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'23.12월'!G6</f>
        <v>2.31</v>
      </c>
      <c r="E6" s="357">
        <f>sumif(B25:B129,B6,E25:E129)</f>
        <v>0</v>
      </c>
      <c r="F6" s="358">
        <f>sumif(B25:B129,B6,F25:F129)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'23.12월'!G7</f>
        <v>8568412</v>
      </c>
      <c r="E7" s="359">
        <f>sumif(B25:B129,B7,E25:E129)</f>
        <v>58550000</v>
      </c>
      <c r="F7" s="360">
        <f>sumif(B25:B129,B7,F25:F129)</f>
        <v>63362500</v>
      </c>
      <c r="G7" s="239">
        <f t="shared" si="1"/>
        <v>3755912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'23.12월'!G8</f>
        <v>3.35</v>
      </c>
      <c r="E8" s="361">
        <f>sumif(B25:B129,B8,E25:E129)</f>
        <v>0</v>
      </c>
      <c r="F8" s="358">
        <f>sumif(B25:B129,B8,F25:F129)</f>
        <v>0</v>
      </c>
      <c r="G8" s="235">
        <f t="shared" si="1"/>
        <v>3.35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236">
        <v>0.0</v>
      </c>
      <c r="E9" s="359">
        <f>sumif(B25:B130,B9,E25:E130)</f>
        <v>200001643</v>
      </c>
      <c r="F9" s="360">
        <f>sumif(B25:B131,B9,F25:F131)</f>
        <v>115991877</v>
      </c>
      <c r="G9" s="239">
        <f t="shared" si="1"/>
        <v>84009766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236">
        <v>0.0</v>
      </c>
      <c r="E10" s="359">
        <f>sumif(B25:B131,B10,E25:E131)</f>
        <v>400000000</v>
      </c>
      <c r="F10" s="360">
        <f>sumif(B25:B132,B10,F25:F132)</f>
        <v>216000000</v>
      </c>
      <c r="G10" s="239">
        <f t="shared" si="1"/>
        <v>184000000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v>0.0</v>
      </c>
      <c r="E11" s="361">
        <f>sumif(B25:B132,B11,E25:E132)</f>
        <v>0</v>
      </c>
      <c r="F11" s="358">
        <f>sumif(B25:B132,B11,F25:F132)</f>
        <v>0</v>
      </c>
      <c r="G11" s="235">
        <f t="shared" si="1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'23.12월'!G9</f>
        <v>517.21</v>
      </c>
      <c r="E12" s="361">
        <f>sumif(B25:B129,B12,E25:E129)</f>
        <v>20743.68</v>
      </c>
      <c r="F12" s="362">
        <f>sumif(B25:B129,B12,F25:F129)</f>
        <v>10386.37</v>
      </c>
      <c r="G12" s="329">
        <f t="shared" si="1"/>
        <v>10874.52</v>
      </c>
      <c r="H12" s="125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41">
        <f>'23.12월'!G10</f>
        <v>1100</v>
      </c>
      <c r="E13" s="363">
        <f>sumif(B25:B127,B13,E25:E127)</f>
        <v>0</v>
      </c>
      <c r="F13" s="364">
        <f>sumif(B25:B129,B13,F25:F129)</f>
        <v>994.6</v>
      </c>
      <c r="G13" s="320">
        <f t="shared" si="1"/>
        <v>105.4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236">
        <f>'23.12월'!G11</f>
        <v>0</v>
      </c>
      <c r="E14" s="365">
        <f>sumif(B25:B129,B14,E25:E129)</f>
        <v>0</v>
      </c>
      <c r="F14" s="360">
        <f>sumif(B25:B69,B14,F25:F129)</f>
        <v>0</v>
      </c>
      <c r="G14" s="239">
        <f t="shared" si="1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'23.12월'!G12</f>
        <v>1160.62</v>
      </c>
      <c r="E15" s="361">
        <f>sumif(B25:B130,B15,E25:E72)</f>
        <v>0</v>
      </c>
      <c r="F15" s="358">
        <f>sumif(B25:B130,B15,F25:F130)</f>
        <v>0</v>
      </c>
      <c r="G15" s="235">
        <f t="shared" si="1"/>
        <v>1160.62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07">
        <f>'23.12월'!G13</f>
        <v>1165.59</v>
      </c>
      <c r="E16" s="366">
        <f>sumif(B25:B130,B16,E25:E130)</f>
        <v>0</v>
      </c>
      <c r="F16" s="367">
        <f>sumif(B25:B130,B16,F25:F130)</f>
        <v>10</v>
      </c>
      <c r="G16" s="310">
        <f t="shared" si="1"/>
        <v>1155.59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2">D5+D7+D14+D9+D10</f>
        <v>11668471</v>
      </c>
      <c r="E18" s="262">
        <f t="shared" si="2"/>
        <v>676051646</v>
      </c>
      <c r="F18" s="263">
        <f t="shared" si="2"/>
        <v>415632956</v>
      </c>
      <c r="G18" s="345">
        <f t="shared" si="2"/>
        <v>272087161</v>
      </c>
      <c r="H18" s="353">
        <f>G18</f>
        <v>272087161</v>
      </c>
      <c r="I18" s="353">
        <f>D18</f>
        <v>11668471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3">D6+D8+D12+D15+D11</f>
        <v>1683.49</v>
      </c>
      <c r="E19" s="269">
        <f t="shared" si="3"/>
        <v>20743.68</v>
      </c>
      <c r="F19" s="270">
        <f t="shared" si="3"/>
        <v>10386.37</v>
      </c>
      <c r="G19" s="346">
        <f t="shared" si="3"/>
        <v>12040.8</v>
      </c>
      <c r="H19" s="265">
        <f>rounddown(G19*$J$3,0)</f>
        <v>17732787</v>
      </c>
      <c r="I19" s="265">
        <f>rounddown(D19*$J$3,0)</f>
        <v>2479317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4">D13+D16</f>
        <v>2265.59</v>
      </c>
      <c r="E20" s="274">
        <f t="shared" si="4"/>
        <v>0</v>
      </c>
      <c r="F20" s="275">
        <f t="shared" si="4"/>
        <v>1004.6</v>
      </c>
      <c r="G20" s="347">
        <f t="shared" si="4"/>
        <v>1260.99</v>
      </c>
      <c r="H20" s="277">
        <f>rounddown(G20*$J$4,0)</f>
        <v>1442427</v>
      </c>
      <c r="I20" s="277">
        <f>rounddown(D20*$J$4,0)</f>
        <v>2591574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5">SUM(H18:H20)</f>
        <v>291262375</v>
      </c>
      <c r="I21" s="279">
        <f t="shared" si="5"/>
        <v>16739362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274523013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B7</f>
        <v>하나 #304</v>
      </c>
      <c r="C25" s="323" t="s">
        <v>1587</v>
      </c>
      <c r="D25" s="323" t="s">
        <v>789</v>
      </c>
      <c r="E25" s="325"/>
      <c r="F25" s="325">
        <v>6219510.0</v>
      </c>
      <c r="G25" s="327" t="s">
        <v>1588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B7</f>
        <v>하나 #304</v>
      </c>
      <c r="C26" s="323" t="s">
        <v>1587</v>
      </c>
      <c r="D26" s="323" t="s">
        <v>1115</v>
      </c>
      <c r="E26" s="325"/>
      <c r="F26" s="325">
        <v>500.0</v>
      </c>
      <c r="G26" s="327" t="s">
        <v>1119</v>
      </c>
      <c r="H26" s="328" t="s">
        <v>33</v>
      </c>
      <c r="I26" s="107"/>
      <c r="J26" s="141"/>
      <c r="K26" s="138"/>
      <c r="L26" s="83" t="s">
        <v>1589</v>
      </c>
      <c r="M26" s="84" t="s">
        <v>1590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B5</f>
        <v>신한 #672</v>
      </c>
      <c r="C27" s="323" t="s">
        <v>1587</v>
      </c>
      <c r="D27" s="323" t="s">
        <v>1230</v>
      </c>
      <c r="E27" s="337"/>
      <c r="F27" s="325">
        <v>825000.0</v>
      </c>
      <c r="G27" s="327" t="s">
        <v>1591</v>
      </c>
      <c r="H27" s="328" t="s">
        <v>33</v>
      </c>
      <c r="I27" s="107"/>
      <c r="J27" s="141"/>
      <c r="K27" s="138"/>
      <c r="L27" s="83"/>
      <c r="M27" s="84"/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B7</f>
        <v>하나 #304</v>
      </c>
      <c r="C28" s="323" t="s">
        <v>1587</v>
      </c>
      <c r="D28" s="282" t="s">
        <v>122</v>
      </c>
      <c r="E28" s="325">
        <v>2.0E7</v>
      </c>
      <c r="F28" s="325"/>
      <c r="G28" s="327" t="s">
        <v>1570</v>
      </c>
      <c r="H28" s="286" t="s">
        <v>1554</v>
      </c>
      <c r="I28" s="107"/>
      <c r="J28" s="141"/>
      <c r="K28" s="138"/>
      <c r="L28" s="83"/>
      <c r="M28" s="84"/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">
        <v>747</v>
      </c>
      <c r="C29" s="323" t="s">
        <v>1587</v>
      </c>
      <c r="D29" s="323" t="s">
        <v>828</v>
      </c>
      <c r="E29" s="325"/>
      <c r="F29" s="337">
        <v>10.0</v>
      </c>
      <c r="G29" s="327" t="s">
        <v>1119</v>
      </c>
      <c r="H29" s="328" t="s">
        <v>33</v>
      </c>
      <c r="I29" s="107"/>
      <c r="J29" s="141"/>
      <c r="K29" s="138"/>
      <c r="L29" s="83"/>
      <c r="M29" s="84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B7</f>
        <v>하나 #304</v>
      </c>
      <c r="C30" s="323" t="s">
        <v>1592</v>
      </c>
      <c r="D30" s="323" t="s">
        <v>1297</v>
      </c>
      <c r="E30" s="337"/>
      <c r="F30" s="325">
        <v>6907710.0</v>
      </c>
      <c r="G30" s="327" t="s">
        <v>1593</v>
      </c>
      <c r="H30" s="328" t="s">
        <v>31</v>
      </c>
      <c r="I30" s="107"/>
      <c r="J30" s="141"/>
      <c r="K30" s="138"/>
      <c r="L30" s="99"/>
      <c r="M30" s="99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B7</f>
        <v>하나 #304</v>
      </c>
      <c r="C31" s="323" t="s">
        <v>1592</v>
      </c>
      <c r="D31" s="323" t="s">
        <v>1299</v>
      </c>
      <c r="E31" s="325"/>
      <c r="F31" s="325">
        <v>690690.0</v>
      </c>
      <c r="G31" s="327" t="s">
        <v>1594</v>
      </c>
      <c r="H31" s="328" t="s">
        <v>31</v>
      </c>
      <c r="I31" s="107"/>
      <c r="J31" s="141"/>
      <c r="K31" s="138"/>
      <c r="L31" s="99"/>
      <c r="M31" s="99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B7</f>
        <v>하나 #304</v>
      </c>
      <c r="C32" s="323" t="s">
        <v>1592</v>
      </c>
      <c r="D32" s="323" t="s">
        <v>1120</v>
      </c>
      <c r="E32" s="325"/>
      <c r="F32" s="325">
        <v>1.4E7</v>
      </c>
      <c r="G32" s="327" t="s">
        <v>1035</v>
      </c>
      <c r="H32" s="328" t="s">
        <v>556</v>
      </c>
      <c r="I32" s="107"/>
      <c r="J32" s="141"/>
      <c r="K32" s="138"/>
      <c r="L32" s="99"/>
      <c r="M32" s="99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B7</f>
        <v>하나 #304</v>
      </c>
      <c r="C33" s="323" t="s">
        <v>1592</v>
      </c>
      <c r="D33" s="323" t="s">
        <v>1115</v>
      </c>
      <c r="E33" s="337"/>
      <c r="F33" s="325">
        <v>500.0</v>
      </c>
      <c r="G33" s="327" t="s">
        <v>1565</v>
      </c>
      <c r="H33" s="328" t="s">
        <v>33</v>
      </c>
      <c r="I33" s="107"/>
      <c r="J33" s="141"/>
      <c r="K33" s="138"/>
      <c r="L33" s="99"/>
      <c r="M33" s="99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B5</f>
        <v>신한 #672</v>
      </c>
      <c r="C34" s="323" t="s">
        <v>1592</v>
      </c>
      <c r="D34" s="323" t="s">
        <v>1595</v>
      </c>
      <c r="E34" s="325">
        <v>1.0</v>
      </c>
      <c r="F34" s="325"/>
      <c r="G34" s="327" t="s">
        <v>1596</v>
      </c>
      <c r="H34" s="328" t="s">
        <v>1555</v>
      </c>
      <c r="I34" s="107"/>
      <c r="J34" s="141"/>
      <c r="K34" s="138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323" t="s">
        <v>1592</v>
      </c>
      <c r="D35" s="323" t="s">
        <v>1595</v>
      </c>
      <c r="E35" s="325"/>
      <c r="F35" s="325">
        <v>300000.0</v>
      </c>
      <c r="G35" s="327" t="s">
        <v>1597</v>
      </c>
      <c r="H35" s="328" t="s">
        <v>556</v>
      </c>
      <c r="I35" s="107"/>
      <c r="J35" s="141"/>
      <c r="K35" s="138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323" t="s">
        <v>1592</v>
      </c>
      <c r="D36" s="323" t="s">
        <v>1203</v>
      </c>
      <c r="E36" s="325">
        <v>1.4E7</v>
      </c>
      <c r="F36" s="325"/>
      <c r="G36" s="327" t="s">
        <v>1035</v>
      </c>
      <c r="H36" s="328" t="s">
        <v>556</v>
      </c>
      <c r="I36" s="107"/>
      <c r="J36" s="141"/>
      <c r="K36" s="138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B5</f>
        <v>신한 #672</v>
      </c>
      <c r="C37" s="323" t="s">
        <v>1598</v>
      </c>
      <c r="D37" s="323" t="s">
        <v>1599</v>
      </c>
      <c r="E37" s="325"/>
      <c r="F37" s="325">
        <v>6911240.0</v>
      </c>
      <c r="G37" s="327" t="s">
        <v>1599</v>
      </c>
      <c r="H37" s="328" t="s">
        <v>31</v>
      </c>
      <c r="I37" s="107"/>
      <c r="J37" s="141"/>
      <c r="K37" s="138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323" t="s">
        <v>1598</v>
      </c>
      <c r="D38" s="323" t="s">
        <v>1600</v>
      </c>
      <c r="E38" s="337"/>
      <c r="F38" s="325">
        <v>1511350.0</v>
      </c>
      <c r="G38" s="327" t="s">
        <v>1600</v>
      </c>
      <c r="H38" s="328" t="s">
        <v>31</v>
      </c>
      <c r="I38" s="107"/>
      <c r="J38" s="141"/>
      <c r="K38" s="138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1598</v>
      </c>
      <c r="D39" s="323" t="s">
        <v>1601</v>
      </c>
      <c r="E39" s="325"/>
      <c r="F39" s="325">
        <v>6934720.0</v>
      </c>
      <c r="G39" s="327" t="s">
        <v>1601</v>
      </c>
      <c r="H39" s="328" t="s">
        <v>31</v>
      </c>
      <c r="I39" s="107"/>
      <c r="J39" s="141"/>
      <c r="K39" s="138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323" t="s">
        <v>1598</v>
      </c>
      <c r="D40" s="323" t="s">
        <v>1602</v>
      </c>
      <c r="E40" s="325"/>
      <c r="F40" s="325">
        <v>560140.0</v>
      </c>
      <c r="G40" s="327" t="s">
        <v>1602</v>
      </c>
      <c r="H40" s="328" t="s">
        <v>31</v>
      </c>
      <c r="I40" s="107"/>
      <c r="J40" s="141"/>
      <c r="K40" s="138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B5</f>
        <v>신한 #672</v>
      </c>
      <c r="C41" s="323" t="s">
        <v>1598</v>
      </c>
      <c r="D41" s="323" t="s">
        <v>1603</v>
      </c>
      <c r="E41" s="325">
        <v>1.0</v>
      </c>
      <c r="F41" s="325"/>
      <c r="G41" s="327" t="s">
        <v>1596</v>
      </c>
      <c r="H41" s="328" t="s">
        <v>1555</v>
      </c>
      <c r="I41" s="107"/>
      <c r="J41" s="141"/>
      <c r="K41" s="138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323" t="s">
        <v>1598</v>
      </c>
      <c r="D42" s="323" t="s">
        <v>1604</v>
      </c>
      <c r="E42" s="325">
        <v>1.0</v>
      </c>
      <c r="F42" s="325"/>
      <c r="G42" s="327" t="s">
        <v>1596</v>
      </c>
      <c r="H42" s="328" t="s">
        <v>1555</v>
      </c>
      <c r="I42" s="107"/>
      <c r="J42" s="141"/>
      <c r="K42" s="138"/>
      <c r="L42" s="99"/>
      <c r="M42" s="99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B7</f>
        <v>하나 #304</v>
      </c>
      <c r="C43" s="323" t="s">
        <v>1605</v>
      </c>
      <c r="D43" s="323" t="s">
        <v>1120</v>
      </c>
      <c r="E43" s="325"/>
      <c r="F43" s="325">
        <v>500000.0</v>
      </c>
      <c r="G43" s="327" t="s">
        <v>1035</v>
      </c>
      <c r="H43" s="328" t="s">
        <v>556</v>
      </c>
      <c r="I43" s="107"/>
      <c r="J43" s="141"/>
      <c r="K43" s="138"/>
      <c r="L43" s="99"/>
      <c r="M43" s="99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B7</f>
        <v>하나 #304</v>
      </c>
      <c r="C44" s="323" t="s">
        <v>1605</v>
      </c>
      <c r="D44" s="323" t="s">
        <v>1115</v>
      </c>
      <c r="E44" s="337"/>
      <c r="F44" s="325">
        <v>500.0</v>
      </c>
      <c r="G44" s="327" t="s">
        <v>1565</v>
      </c>
      <c r="H44" s="328" t="s">
        <v>33</v>
      </c>
      <c r="I44" s="107"/>
      <c r="J44" s="141"/>
      <c r="K44" s="141"/>
      <c r="L44" s="141"/>
      <c r="M44" s="141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</row>
    <row r="45" ht="15.0" customHeight="1">
      <c r="A45" s="105"/>
      <c r="B45" s="281" t="str">
        <f>B5</f>
        <v>신한 #672</v>
      </c>
      <c r="C45" s="323" t="s">
        <v>1605</v>
      </c>
      <c r="D45" s="323" t="s">
        <v>1203</v>
      </c>
      <c r="E45" s="325">
        <v>500000.0</v>
      </c>
      <c r="F45" s="325"/>
      <c r="G45" s="327" t="s">
        <v>1035</v>
      </c>
      <c r="H45" s="328" t="s">
        <v>556</v>
      </c>
      <c r="I45" s="107"/>
      <c r="J45" s="141"/>
      <c r="K45" s="141"/>
      <c r="L45" s="141"/>
      <c r="M45" s="141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</row>
    <row r="46" ht="15.0" customHeight="1">
      <c r="A46" s="105"/>
      <c r="B46" s="281" t="str">
        <f t="shared" ref="B46:B47" si="6">B12</f>
        <v>WISE USD</v>
      </c>
      <c r="C46" s="323" t="s">
        <v>1606</v>
      </c>
      <c r="D46" s="296" t="s">
        <v>542</v>
      </c>
      <c r="E46" s="283"/>
      <c r="F46" s="291">
        <v>10.0</v>
      </c>
      <c r="G46" s="313" t="s">
        <v>1068</v>
      </c>
      <c r="H46" s="286" t="s">
        <v>33</v>
      </c>
      <c r="I46" s="107"/>
      <c r="J46" s="141"/>
      <c r="K46" s="141"/>
      <c r="L46" s="141"/>
      <c r="M46" s="141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</row>
    <row r="47" ht="15.0" customHeight="1">
      <c r="A47" s="105"/>
      <c r="B47" s="281" t="str">
        <f t="shared" si="6"/>
        <v>WISE SGD</v>
      </c>
      <c r="C47" s="323" t="s">
        <v>1587</v>
      </c>
      <c r="D47" s="282" t="s">
        <v>1607</v>
      </c>
      <c r="E47" s="283"/>
      <c r="F47" s="291">
        <v>994.6</v>
      </c>
      <c r="G47" s="313" t="s">
        <v>1608</v>
      </c>
      <c r="H47" s="286" t="s">
        <v>33</v>
      </c>
      <c r="I47" s="107"/>
      <c r="J47" s="141"/>
      <c r="K47" s="141"/>
      <c r="L47" s="141"/>
      <c r="M47" s="141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</row>
    <row r="48" ht="15.0" customHeight="1">
      <c r="A48" s="105"/>
      <c r="B48" s="281" t="str">
        <f>B5</f>
        <v>신한 #672</v>
      </c>
      <c r="C48" s="323" t="s">
        <v>1609</v>
      </c>
      <c r="D48" s="323" t="s">
        <v>632</v>
      </c>
      <c r="E48" s="326"/>
      <c r="F48" s="325">
        <v>550000.0</v>
      </c>
      <c r="G48" s="327" t="s">
        <v>1035</v>
      </c>
      <c r="H48" s="328" t="s">
        <v>556</v>
      </c>
      <c r="I48" s="107"/>
      <c r="J48" s="141"/>
      <c r="K48" s="141"/>
      <c r="L48" s="141"/>
      <c r="M48" s="141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>B5</f>
        <v>신한 #672</v>
      </c>
      <c r="C49" s="323" t="s">
        <v>1609</v>
      </c>
      <c r="D49" s="323" t="s">
        <v>1120</v>
      </c>
      <c r="E49" s="325"/>
      <c r="F49" s="325">
        <v>500.0</v>
      </c>
      <c r="G49" s="327" t="s">
        <v>1565</v>
      </c>
      <c r="H49" s="328" t="s">
        <v>556</v>
      </c>
      <c r="I49" s="107"/>
      <c r="J49" s="141"/>
      <c r="K49" s="141"/>
      <c r="L49" s="141"/>
      <c r="M49" s="141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B7</f>
        <v>하나 #304</v>
      </c>
      <c r="C50" s="323" t="s">
        <v>1609</v>
      </c>
      <c r="D50" s="323" t="s">
        <v>632</v>
      </c>
      <c r="E50" s="325">
        <v>550000.0</v>
      </c>
      <c r="F50" s="325"/>
      <c r="G50" s="327" t="s">
        <v>1035</v>
      </c>
      <c r="H50" s="328" t="s">
        <v>33</v>
      </c>
      <c r="I50" s="107"/>
      <c r="J50" s="141"/>
      <c r="K50" s="141"/>
      <c r="L50" s="141"/>
      <c r="M50" s="141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B7</f>
        <v>하나 #304</v>
      </c>
      <c r="C51" s="323" t="s">
        <v>1609</v>
      </c>
      <c r="D51" s="323" t="s">
        <v>122</v>
      </c>
      <c r="E51" s="283">
        <v>3000000.0</v>
      </c>
      <c r="F51" s="325"/>
      <c r="G51" s="327" t="s">
        <v>1570</v>
      </c>
      <c r="H51" s="286" t="s">
        <v>1554</v>
      </c>
      <c r="I51" s="107"/>
      <c r="J51" s="141"/>
      <c r="K51" s="141"/>
      <c r="L51" s="141"/>
      <c r="M51" s="141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B7</f>
        <v>하나 #304</v>
      </c>
      <c r="C52" s="323" t="s">
        <v>1609</v>
      </c>
      <c r="D52" s="282" t="s">
        <v>1610</v>
      </c>
      <c r="E52" s="326"/>
      <c r="F52" s="326">
        <v>2800000.0</v>
      </c>
      <c r="G52" s="313" t="s">
        <v>1611</v>
      </c>
      <c r="H52" s="286" t="s">
        <v>33</v>
      </c>
      <c r="I52" s="107"/>
      <c r="J52" s="141"/>
      <c r="K52" s="141"/>
      <c r="L52" s="141"/>
      <c r="M52" s="141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B7</f>
        <v>하나 #304</v>
      </c>
      <c r="C53" s="323" t="s">
        <v>1609</v>
      </c>
      <c r="D53" s="282" t="s">
        <v>1115</v>
      </c>
      <c r="E53" s="283"/>
      <c r="F53" s="283">
        <v>500.0</v>
      </c>
      <c r="G53" s="327" t="s">
        <v>1565</v>
      </c>
      <c r="H53" s="286" t="s">
        <v>33</v>
      </c>
      <c r="I53" s="107"/>
      <c r="J53" s="141"/>
      <c r="K53" s="138"/>
      <c r="L53" s="99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B7</f>
        <v>하나 #304</v>
      </c>
      <c r="C54" s="323" t="s">
        <v>1609</v>
      </c>
      <c r="D54" s="282" t="s">
        <v>1610</v>
      </c>
      <c r="E54" s="291"/>
      <c r="F54" s="326">
        <v>800000.0</v>
      </c>
      <c r="G54" s="327" t="s">
        <v>1612</v>
      </c>
      <c r="H54" s="286" t="s">
        <v>33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1609</v>
      </c>
      <c r="D55" s="282" t="s">
        <v>1115</v>
      </c>
      <c r="E55" s="283"/>
      <c r="F55" s="283">
        <v>500.0</v>
      </c>
      <c r="G55" s="327" t="s">
        <v>1565</v>
      </c>
      <c r="H55" s="286" t="s">
        <v>33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B10</f>
        <v>기업 #020</v>
      </c>
      <c r="C56" s="323" t="s">
        <v>1609</v>
      </c>
      <c r="D56" s="282" t="s">
        <v>1613</v>
      </c>
      <c r="E56" s="326">
        <v>4.0E8</v>
      </c>
      <c r="F56" s="326"/>
      <c r="G56" s="313" t="s">
        <v>1614</v>
      </c>
      <c r="H56" s="286" t="s">
        <v>1589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B56</f>
        <v>기업 #020</v>
      </c>
      <c r="C57" s="323" t="s">
        <v>1615</v>
      </c>
      <c r="D57" s="323" t="s">
        <v>632</v>
      </c>
      <c r="E57" s="326"/>
      <c r="F57" s="325">
        <v>2.0E8</v>
      </c>
      <c r="G57" s="327" t="s">
        <v>1035</v>
      </c>
      <c r="H57" s="328" t="s">
        <v>556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 t="shared" ref="B58:B59" si="7">B9</f>
        <v>기업 #019</v>
      </c>
      <c r="C58" s="323" t="s">
        <v>1615</v>
      </c>
      <c r="D58" s="323" t="s">
        <v>632</v>
      </c>
      <c r="E58" s="325">
        <v>2.0E8</v>
      </c>
      <c r="F58" s="325"/>
      <c r="G58" s="327" t="s">
        <v>1035</v>
      </c>
      <c r="H58" s="328" t="s">
        <v>556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 t="shared" si="7"/>
        <v>기업 #020</v>
      </c>
      <c r="C59" s="323" t="s">
        <v>1615</v>
      </c>
      <c r="D59" s="323" t="s">
        <v>632</v>
      </c>
      <c r="E59" s="326"/>
      <c r="F59" s="325">
        <v>1.5E7</v>
      </c>
      <c r="G59" s="327" t="s">
        <v>1035</v>
      </c>
      <c r="H59" s="328" t="s">
        <v>556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B10</f>
        <v>기업 #020</v>
      </c>
      <c r="C60" s="323" t="s">
        <v>1615</v>
      </c>
      <c r="D60" s="323" t="s">
        <v>632</v>
      </c>
      <c r="E60" s="326"/>
      <c r="F60" s="325">
        <v>1000000.0</v>
      </c>
      <c r="G60" s="327" t="s">
        <v>1035</v>
      </c>
      <c r="H60" s="328" t="s">
        <v>556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B5</f>
        <v>신한 #672</v>
      </c>
      <c r="C61" s="323" t="s">
        <v>1615</v>
      </c>
      <c r="D61" s="323" t="s">
        <v>632</v>
      </c>
      <c r="E61" s="325">
        <v>1000000.0</v>
      </c>
      <c r="F61" s="325"/>
      <c r="G61" s="327" t="s">
        <v>1035</v>
      </c>
      <c r="H61" s="328" t="s">
        <v>556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B7</f>
        <v>하나 #304</v>
      </c>
      <c r="C62" s="323" t="s">
        <v>1615</v>
      </c>
      <c r="D62" s="323" t="s">
        <v>632</v>
      </c>
      <c r="E62" s="325">
        <v>1.5E7</v>
      </c>
      <c r="F62" s="325"/>
      <c r="G62" s="327" t="s">
        <v>1035</v>
      </c>
      <c r="H62" s="328" t="s">
        <v>556</v>
      </c>
      <c r="I62" s="107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B7</f>
        <v>하나 #304</v>
      </c>
      <c r="C63" s="323" t="s">
        <v>1615</v>
      </c>
      <c r="D63" s="323" t="s">
        <v>634</v>
      </c>
      <c r="E63" s="326"/>
      <c r="F63" s="326">
        <v>1.4006431E7</v>
      </c>
      <c r="G63" s="327" t="s">
        <v>1534</v>
      </c>
      <c r="H63" s="328" t="s">
        <v>930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B7</f>
        <v>하나 #304</v>
      </c>
      <c r="C64" s="323" t="s">
        <v>1615</v>
      </c>
      <c r="D64" s="323" t="s">
        <v>1533</v>
      </c>
      <c r="E64" s="325"/>
      <c r="F64" s="337">
        <v>55024.0</v>
      </c>
      <c r="G64" s="313" t="s">
        <v>1119</v>
      </c>
      <c r="H64" s="286" t="s">
        <v>33</v>
      </c>
      <c r="I64" s="141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B12</f>
        <v>WISE USD</v>
      </c>
      <c r="C65" s="323" t="s">
        <v>1615</v>
      </c>
      <c r="D65" s="323" t="s">
        <v>1541</v>
      </c>
      <c r="E65" s="370">
        <v>10371.84</v>
      </c>
      <c r="F65" s="371"/>
      <c r="G65" s="327" t="s">
        <v>1542</v>
      </c>
      <c r="H65" s="328" t="s">
        <v>930</v>
      </c>
      <c r="I65" s="141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B12</f>
        <v>WISE USD</v>
      </c>
      <c r="C66" s="323" t="s">
        <v>1616</v>
      </c>
      <c r="D66" s="323" t="s">
        <v>740</v>
      </c>
      <c r="E66" s="325"/>
      <c r="F66" s="337">
        <v>10375.98</v>
      </c>
      <c r="G66" s="327" t="s">
        <v>1617</v>
      </c>
      <c r="H66" s="328" t="s">
        <v>41</v>
      </c>
      <c r="I66" s="141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B12</f>
        <v>WISE USD</v>
      </c>
      <c r="C67" s="323" t="s">
        <v>1616</v>
      </c>
      <c r="D67" s="323" t="s">
        <v>740</v>
      </c>
      <c r="E67" s="325"/>
      <c r="F67" s="337">
        <v>0.39</v>
      </c>
      <c r="G67" s="327" t="s">
        <v>1119</v>
      </c>
      <c r="H67" s="328" t="s">
        <v>33</v>
      </c>
      <c r="I67" s="141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B5</f>
        <v>신한 #672</v>
      </c>
      <c r="C68" s="282" t="s">
        <v>1618</v>
      </c>
      <c r="D68" s="282" t="s">
        <v>1202</v>
      </c>
      <c r="E68" s="326"/>
      <c r="F68" s="326">
        <v>110000.0</v>
      </c>
      <c r="G68" s="313" t="s">
        <v>1202</v>
      </c>
      <c r="H68" s="286" t="s">
        <v>33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B9</f>
        <v>기업 #019</v>
      </c>
      <c r="C69" s="282" t="s">
        <v>1618</v>
      </c>
      <c r="D69" s="323" t="s">
        <v>1619</v>
      </c>
      <c r="E69" s="326">
        <v>1643.0</v>
      </c>
      <c r="F69" s="325"/>
      <c r="G69" s="327" t="s">
        <v>906</v>
      </c>
      <c r="H69" s="328" t="s">
        <v>75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B9</f>
        <v>기업 #019</v>
      </c>
      <c r="C70" s="282" t="s">
        <v>1620</v>
      </c>
      <c r="D70" s="323" t="s">
        <v>632</v>
      </c>
      <c r="E70" s="326"/>
      <c r="F70" s="325">
        <v>2000000.0</v>
      </c>
      <c r="G70" s="327" t="s">
        <v>1035</v>
      </c>
      <c r="H70" s="328" t="s">
        <v>556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B9</f>
        <v>기업 #019</v>
      </c>
      <c r="C71" s="282" t="s">
        <v>1620</v>
      </c>
      <c r="D71" s="323" t="s">
        <v>632</v>
      </c>
      <c r="E71" s="325"/>
      <c r="F71" s="325">
        <v>5000000.0</v>
      </c>
      <c r="G71" s="327" t="s">
        <v>1035</v>
      </c>
      <c r="H71" s="328" t="s">
        <v>556</v>
      </c>
      <c r="I71" s="107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B5</f>
        <v>신한 #672</v>
      </c>
      <c r="C72" s="282" t="s">
        <v>1620</v>
      </c>
      <c r="D72" s="323" t="s">
        <v>632</v>
      </c>
      <c r="E72" s="325">
        <v>2000000.0</v>
      </c>
      <c r="F72" s="325"/>
      <c r="G72" s="327" t="s">
        <v>1035</v>
      </c>
      <c r="H72" s="328" t="s">
        <v>556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B7</f>
        <v>하나 #304</v>
      </c>
      <c r="C73" s="282" t="s">
        <v>1620</v>
      </c>
      <c r="D73" s="323" t="s">
        <v>632</v>
      </c>
      <c r="E73" s="325">
        <v>5000000.0</v>
      </c>
      <c r="F73" s="325"/>
      <c r="G73" s="327" t="s">
        <v>1035</v>
      </c>
      <c r="H73" s="328" t="s">
        <v>556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B7</f>
        <v>하나 #304</v>
      </c>
      <c r="C74" s="282" t="s">
        <v>1621</v>
      </c>
      <c r="D74" s="323" t="s">
        <v>1056</v>
      </c>
      <c r="E74" s="291"/>
      <c r="F74" s="325">
        <v>3357541.0</v>
      </c>
      <c r="G74" s="327" t="s">
        <v>1488</v>
      </c>
      <c r="H74" s="286" t="s">
        <v>33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B9</f>
        <v>기업 #019</v>
      </c>
      <c r="C75" s="282" t="s">
        <v>1621</v>
      </c>
      <c r="D75" s="282" t="s">
        <v>1622</v>
      </c>
      <c r="E75" s="291"/>
      <c r="F75" s="284">
        <v>8.0736976E7</v>
      </c>
      <c r="G75" s="313" t="s">
        <v>41</v>
      </c>
      <c r="H75" s="286" t="s">
        <v>41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B9</f>
        <v>기업 #019</v>
      </c>
      <c r="C76" s="282" t="s">
        <v>1621</v>
      </c>
      <c r="D76" s="282" t="s">
        <v>1623</v>
      </c>
      <c r="E76" s="291"/>
      <c r="F76" s="284">
        <v>1030640.0</v>
      </c>
      <c r="G76" s="313" t="s">
        <v>1624</v>
      </c>
      <c r="H76" s="286" t="s">
        <v>41</v>
      </c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B9</f>
        <v>기업 #019</v>
      </c>
      <c r="C77" s="282" t="s">
        <v>1621</v>
      </c>
      <c r="D77" s="282" t="s">
        <v>1094</v>
      </c>
      <c r="E77" s="291"/>
      <c r="F77" s="284">
        <v>3501989.0</v>
      </c>
      <c r="G77" s="313" t="s">
        <v>1625</v>
      </c>
      <c r="H77" s="286" t="s">
        <v>33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B9</f>
        <v>기업 #019</v>
      </c>
      <c r="C78" s="282" t="s">
        <v>1621</v>
      </c>
      <c r="D78" s="282" t="s">
        <v>1094</v>
      </c>
      <c r="E78" s="291"/>
      <c r="F78" s="284">
        <v>21052.0</v>
      </c>
      <c r="G78" s="313" t="s">
        <v>1626</v>
      </c>
      <c r="H78" s="286" t="s">
        <v>33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B9</f>
        <v>기업 #019</v>
      </c>
      <c r="C79" s="282" t="s">
        <v>1621</v>
      </c>
      <c r="D79" s="282" t="s">
        <v>497</v>
      </c>
      <c r="E79" s="291"/>
      <c r="F79" s="284">
        <v>2750000.0</v>
      </c>
      <c r="G79" s="313" t="s">
        <v>1627</v>
      </c>
      <c r="H79" s="286" t="s">
        <v>33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B9</f>
        <v>기업 #019</v>
      </c>
      <c r="C80" s="282" t="s">
        <v>1621</v>
      </c>
      <c r="D80" s="282" t="s">
        <v>1552</v>
      </c>
      <c r="E80" s="291"/>
      <c r="F80" s="284">
        <v>209220.0</v>
      </c>
      <c r="G80" s="313" t="s">
        <v>1628</v>
      </c>
      <c r="H80" s="286" t="s">
        <v>33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B9</f>
        <v>기업 #019</v>
      </c>
      <c r="C81" s="282" t="s">
        <v>1621</v>
      </c>
      <c r="D81" s="282" t="s">
        <v>1629</v>
      </c>
      <c r="E81" s="291"/>
      <c r="F81" s="284">
        <v>4950000.0</v>
      </c>
      <c r="G81" s="313" t="s">
        <v>1630</v>
      </c>
      <c r="H81" s="286" t="s">
        <v>33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B9</f>
        <v>기업 #019</v>
      </c>
      <c r="C82" s="282" t="s">
        <v>1621</v>
      </c>
      <c r="D82" s="282" t="s">
        <v>1631</v>
      </c>
      <c r="E82" s="291"/>
      <c r="F82" s="284">
        <v>792000.0</v>
      </c>
      <c r="G82" s="313" t="s">
        <v>1632</v>
      </c>
      <c r="H82" s="286" t="s">
        <v>33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B5</f>
        <v>신한 #672</v>
      </c>
      <c r="C83" s="282" t="s">
        <v>1621</v>
      </c>
      <c r="D83" s="282" t="s">
        <v>1495</v>
      </c>
      <c r="E83" s="283"/>
      <c r="F83" s="283">
        <v>98000.0</v>
      </c>
      <c r="G83" s="313" t="s">
        <v>1047</v>
      </c>
      <c r="H83" s="286" t="s">
        <v>4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282" t="s">
        <v>1621</v>
      </c>
      <c r="D84" s="282" t="s">
        <v>1496</v>
      </c>
      <c r="E84" s="283"/>
      <c r="F84" s="283">
        <v>37430.0</v>
      </c>
      <c r="G84" s="313" t="s">
        <v>1038</v>
      </c>
      <c r="H84" s="286" t="s">
        <v>4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282" t="s">
        <v>1621</v>
      </c>
      <c r="D85" s="282" t="s">
        <v>1496</v>
      </c>
      <c r="E85" s="283"/>
      <c r="F85" s="283">
        <v>37430.0</v>
      </c>
      <c r="G85" s="313" t="s">
        <v>1038</v>
      </c>
      <c r="H85" s="286" t="s">
        <v>4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282" t="s">
        <v>1621</v>
      </c>
      <c r="D86" s="282" t="s">
        <v>1496</v>
      </c>
      <c r="E86" s="291"/>
      <c r="F86" s="283">
        <v>20660.0</v>
      </c>
      <c r="G86" s="313" t="s">
        <v>1039</v>
      </c>
      <c r="H86" s="286" t="s">
        <v>4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282" t="s">
        <v>1621</v>
      </c>
      <c r="D87" s="282" t="s">
        <v>1496</v>
      </c>
      <c r="E87" s="283"/>
      <c r="F87" s="283">
        <v>50250.0</v>
      </c>
      <c r="G87" s="313" t="s">
        <v>1040</v>
      </c>
      <c r="H87" s="286" t="s">
        <v>4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B5</f>
        <v>신한 #672</v>
      </c>
      <c r="C88" s="282" t="s">
        <v>1621</v>
      </c>
      <c r="D88" s="282" t="s">
        <v>1496</v>
      </c>
      <c r="E88" s="326"/>
      <c r="F88" s="326">
        <v>20660.0</v>
      </c>
      <c r="G88" s="313" t="s">
        <v>1039</v>
      </c>
      <c r="H88" s="286" t="s">
        <v>4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B5</f>
        <v>신한 #672</v>
      </c>
      <c r="C89" s="282" t="s">
        <v>1621</v>
      </c>
      <c r="D89" s="282" t="s">
        <v>497</v>
      </c>
      <c r="E89" s="326"/>
      <c r="F89" s="326">
        <v>330000.0</v>
      </c>
      <c r="G89" s="313" t="s">
        <v>1042</v>
      </c>
      <c r="H89" s="286" t="s">
        <v>33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B5</f>
        <v>신한 #672</v>
      </c>
      <c r="C90" s="282" t="s">
        <v>1621</v>
      </c>
      <c r="D90" s="282" t="s">
        <v>1497</v>
      </c>
      <c r="E90" s="283"/>
      <c r="F90" s="283">
        <v>56990.0</v>
      </c>
      <c r="G90" s="313" t="s">
        <v>1044</v>
      </c>
      <c r="H90" s="286" t="s">
        <v>4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B5</f>
        <v>신한 #672</v>
      </c>
      <c r="C91" s="282" t="s">
        <v>1621</v>
      </c>
      <c r="D91" s="282" t="s">
        <v>1633</v>
      </c>
      <c r="E91" s="291"/>
      <c r="F91" s="284">
        <v>1847209.0</v>
      </c>
      <c r="G91" s="313" t="s">
        <v>1634</v>
      </c>
      <c r="H91" s="286" t="s">
        <v>33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B9</f>
        <v>기업 #019</v>
      </c>
      <c r="C92" s="282" t="s">
        <v>1635</v>
      </c>
      <c r="D92" s="323" t="s">
        <v>632</v>
      </c>
      <c r="E92" s="325"/>
      <c r="F92" s="325">
        <v>1.5E7</v>
      </c>
      <c r="G92" s="327" t="s">
        <v>1035</v>
      </c>
      <c r="H92" s="328" t="s">
        <v>556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B7</f>
        <v>하나 #304</v>
      </c>
      <c r="C93" s="282" t="s">
        <v>1635</v>
      </c>
      <c r="D93" s="323" t="s">
        <v>632</v>
      </c>
      <c r="E93" s="325">
        <v>1.5E7</v>
      </c>
      <c r="F93" s="325"/>
      <c r="G93" s="327" t="s">
        <v>1035</v>
      </c>
      <c r="H93" s="328" t="s">
        <v>556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B7</f>
        <v>하나 #304</v>
      </c>
      <c r="C94" s="282" t="s">
        <v>1635</v>
      </c>
      <c r="D94" s="323" t="s">
        <v>634</v>
      </c>
      <c r="E94" s="326"/>
      <c r="F94" s="326">
        <v>1.3968144E7</v>
      </c>
      <c r="G94" s="327" t="s">
        <v>1534</v>
      </c>
      <c r="H94" s="328" t="s">
        <v>930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B7</f>
        <v>하나 #304</v>
      </c>
      <c r="C95" s="282" t="s">
        <v>1635</v>
      </c>
      <c r="D95" s="323" t="s">
        <v>1533</v>
      </c>
      <c r="E95" s="325"/>
      <c r="F95" s="326">
        <v>54950.0</v>
      </c>
      <c r="G95" s="313" t="s">
        <v>1119</v>
      </c>
      <c r="H95" s="286" t="s">
        <v>33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B12</f>
        <v>WISE USD</v>
      </c>
      <c r="C96" s="282" t="s">
        <v>1635</v>
      </c>
      <c r="D96" s="323" t="s">
        <v>1541</v>
      </c>
      <c r="E96" s="370">
        <v>10371.84</v>
      </c>
      <c r="F96" s="371"/>
      <c r="G96" s="327" t="s">
        <v>1542</v>
      </c>
      <c r="H96" s="328" t="s">
        <v>930</v>
      </c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B5</f>
        <v>신한 #672</v>
      </c>
      <c r="C97" s="282" t="s">
        <v>1635</v>
      </c>
      <c r="D97" s="282" t="s">
        <v>920</v>
      </c>
      <c r="E97" s="291"/>
      <c r="F97" s="326">
        <v>77000.0</v>
      </c>
      <c r="G97" s="327" t="s">
        <v>1006</v>
      </c>
      <c r="H97" s="328" t="s">
        <v>33</v>
      </c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282"/>
      <c r="E98" s="291"/>
      <c r="F98" s="292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282"/>
      <c r="E99" s="291"/>
      <c r="F99" s="292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282"/>
      <c r="E100" s="291"/>
      <c r="F100" s="292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292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</sheetData>
  <autoFilter ref="$B$24:$H$150">
    <sortState ref="B24:H150">
      <sortCondition ref="B24:B150"/>
    </sortState>
  </autoFilter>
  <customSheetViews>
    <customSheetView guid="{CD2BF927-9D79-47FC-BBA8-927062D6B3F5}" filter="1" showAutoFilter="1">
      <autoFilter ref="$B$24:$H$150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50">
      <formula1>$L:$L</formula1>
    </dataValidation>
  </dataValidations>
  <hyperlinks>
    <hyperlink r:id="rId1" ref="I3"/>
    <hyperlink r:id="rId2" ref="I4"/>
    <hyperlink r:id="rId3" ref="D46"/>
  </hyperlinks>
  <printOptions/>
  <pageMargins bottom="0.75" footer="0.0" header="0.0" left="0.25" right="0.25" top="0.75"/>
  <pageSetup fitToHeight="0" paperSize="9" orientation="portrait"/>
  <drawing r:id="rId4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hidden="1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hidden="1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hidden="1" customHeight="1" outlineLevel="1">
      <c r="A3" s="101"/>
      <c r="B3" s="136" t="s">
        <v>3</v>
      </c>
      <c r="C3" s="136"/>
      <c r="D3" s="104"/>
      <c r="E3" s="104"/>
      <c r="F3" s="104"/>
      <c r="G3" s="218" t="s">
        <v>1636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hidden="1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hidden="1" customHeight="1" outlineLevel="1">
      <c r="A5" s="105"/>
      <c r="B5" s="224" t="s">
        <v>14</v>
      </c>
      <c r="C5" s="225" t="s">
        <v>15</v>
      </c>
      <c r="D5" s="226">
        <f>'24.01월'!G5</f>
        <v>321483</v>
      </c>
      <c r="E5" s="355">
        <f>sumif(B25:B134,B5,E25:E134)</f>
        <v>27518190</v>
      </c>
      <c r="F5" s="356">
        <f>sumif(B25:B135,B5,F25:F135)</f>
        <v>21822397</v>
      </c>
      <c r="G5" s="229">
        <f t="shared" ref="G5:G16" si="1">D5+E5-F5</f>
        <v>6017276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hidden="1" customHeight="1" outlineLevel="1">
      <c r="A6" s="105"/>
      <c r="B6" s="230" t="s">
        <v>551</v>
      </c>
      <c r="C6" s="231" t="s">
        <v>19</v>
      </c>
      <c r="D6" s="232">
        <f>'24.01월'!G6</f>
        <v>2.31</v>
      </c>
      <c r="E6" s="357">
        <f>sumif(B25:B134,B6,E25:E134)</f>
        <v>0</v>
      </c>
      <c r="F6" s="358">
        <f>sumif(B25:B134,B6,F25:F134)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hidden="1" customHeight="1" outlineLevel="1">
      <c r="A7" s="105"/>
      <c r="B7" s="230" t="s">
        <v>552</v>
      </c>
      <c r="C7" s="231" t="s">
        <v>15</v>
      </c>
      <c r="D7" s="236">
        <f>'24.01월'!G7</f>
        <v>3755912</v>
      </c>
      <c r="E7" s="359">
        <f>sumif(B25:B134,B7,E25:E134)</f>
        <v>40000000</v>
      </c>
      <c r="F7" s="360">
        <f>sumif(B25:B134,B7,F25:F134)</f>
        <v>39849163</v>
      </c>
      <c r="G7" s="239">
        <f t="shared" si="1"/>
        <v>3906749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hidden="1" customHeight="1" outlineLevel="1">
      <c r="A8" s="105"/>
      <c r="B8" s="230" t="s">
        <v>553</v>
      </c>
      <c r="C8" s="231" t="s">
        <v>19</v>
      </c>
      <c r="D8" s="232">
        <f>'24.01월'!G8</f>
        <v>3.35</v>
      </c>
      <c r="E8" s="361">
        <f>sumif(B25:B134,B8,E25:E134)</f>
        <v>0</v>
      </c>
      <c r="F8" s="358">
        <f>sumif(B25:B134,B8,F25:F134)</f>
        <v>0</v>
      </c>
      <c r="G8" s="235">
        <f t="shared" si="1"/>
        <v>3.35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hidden="1" customHeight="1" outlineLevel="1">
      <c r="A9" s="105"/>
      <c r="B9" s="230" t="s">
        <v>1582</v>
      </c>
      <c r="C9" s="231" t="s">
        <v>15</v>
      </c>
      <c r="D9" s="236">
        <f>'24.01월'!G9</f>
        <v>84009766</v>
      </c>
      <c r="E9" s="359">
        <f>sumif(B25:B135,B9,E25:E135)</f>
        <v>184006638</v>
      </c>
      <c r="F9" s="360">
        <f>sumif(B25:B136,B9,F25:F136)</f>
        <v>181345433</v>
      </c>
      <c r="G9" s="239">
        <f t="shared" si="1"/>
        <v>86670971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hidden="1" customHeight="1" outlineLevel="1">
      <c r="A10" s="105"/>
      <c r="B10" s="230" t="s">
        <v>1584</v>
      </c>
      <c r="C10" s="231" t="s">
        <v>15</v>
      </c>
      <c r="D10" s="236">
        <f>'24.01월'!G10</f>
        <v>184000000</v>
      </c>
      <c r="E10" s="359">
        <f>sumif(B25:B136,B10,E25:E136)</f>
        <v>0</v>
      </c>
      <c r="F10" s="360">
        <f>sumif(B25:B137,B10,F25:F137)</f>
        <v>184000000</v>
      </c>
      <c r="G10" s="239">
        <f t="shared" si="1"/>
        <v>0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hidden="1" customHeight="1" outlineLevel="1">
      <c r="A11" s="105"/>
      <c r="B11" s="230" t="s">
        <v>1586</v>
      </c>
      <c r="C11" s="231" t="s">
        <v>19</v>
      </c>
      <c r="D11" s="232">
        <f>'24.01월'!G11</f>
        <v>0</v>
      </c>
      <c r="E11" s="361">
        <f>sumif(B25:B137,B11,E25:E137)</f>
        <v>0</v>
      </c>
      <c r="F11" s="358">
        <f>sumif(B25:B137,B11,F25:F137)</f>
        <v>0</v>
      </c>
      <c r="G11" s="235">
        <f t="shared" si="1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hidden="1" customHeight="1" outlineLevel="1">
      <c r="A12" s="105"/>
      <c r="B12" s="230" t="s">
        <v>18</v>
      </c>
      <c r="C12" s="231" t="s">
        <v>19</v>
      </c>
      <c r="D12" s="232">
        <f>'24.01월'!G12</f>
        <v>10874.52</v>
      </c>
      <c r="E12" s="361">
        <f>sumif(B25:B134,B12,E25:E134)</f>
        <v>25995.86</v>
      </c>
      <c r="F12" s="362">
        <f>sumif(B25:B134,B12,F25:F134)</f>
        <v>26026.41</v>
      </c>
      <c r="G12" s="329">
        <f t="shared" si="1"/>
        <v>10843.97</v>
      </c>
      <c r="H12" s="125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hidden="1" customHeight="1" outlineLevel="1">
      <c r="A13" s="105"/>
      <c r="B13" s="230" t="s">
        <v>22</v>
      </c>
      <c r="C13" s="231" t="s">
        <v>23</v>
      </c>
      <c r="D13" s="241">
        <f>'24.01월'!G13</f>
        <v>105.4</v>
      </c>
      <c r="E13" s="363">
        <f>sumif(B25:B132,B13,E25:E132)</f>
        <v>0</v>
      </c>
      <c r="F13" s="364">
        <f>sumif(B25:B134,B13,F25:F134)</f>
        <v>0</v>
      </c>
      <c r="G13" s="320">
        <f t="shared" si="1"/>
        <v>105.4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hidden="1" customHeight="1" outlineLevel="1">
      <c r="A14" s="105"/>
      <c r="B14" s="230" t="s">
        <v>26</v>
      </c>
      <c r="C14" s="231" t="s">
        <v>15</v>
      </c>
      <c r="D14" s="236">
        <f>'24.01월'!G14</f>
        <v>0</v>
      </c>
      <c r="E14" s="365">
        <f>sumif(B25:B134,B14,E25:E134)</f>
        <v>0</v>
      </c>
      <c r="F14" s="360">
        <f>sumif(B25:B74,B14,F25:F134)</f>
        <v>0</v>
      </c>
      <c r="G14" s="239">
        <f t="shared" si="1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hidden="1" customHeight="1" outlineLevel="1">
      <c r="A15" s="105"/>
      <c r="B15" s="230" t="s">
        <v>746</v>
      </c>
      <c r="C15" s="231" t="s">
        <v>19</v>
      </c>
      <c r="D15" s="232">
        <f>'24.01월'!G15</f>
        <v>1160.62</v>
      </c>
      <c r="E15" s="361">
        <f>sumif(B25:B135,B15,E25:E135)</f>
        <v>350030.67</v>
      </c>
      <c r="F15" s="358">
        <f>sumif(B25:B135,B15,F25:F135)</f>
        <v>0</v>
      </c>
      <c r="G15" s="235">
        <f t="shared" si="1"/>
        <v>351191.29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hidden="1" customHeight="1" outlineLevel="1">
      <c r="A16" s="105"/>
      <c r="B16" s="305" t="s">
        <v>747</v>
      </c>
      <c r="C16" s="306" t="s">
        <v>23</v>
      </c>
      <c r="D16" s="307">
        <f>'24.01월'!G16</f>
        <v>1155.59</v>
      </c>
      <c r="E16" s="366">
        <f>sumif(B25:B135,B16,E25:E135)</f>
        <v>0</v>
      </c>
      <c r="F16" s="367">
        <f>sumif(B25:B135,B16,F25:F135)</f>
        <v>896</v>
      </c>
      <c r="G16" s="310">
        <f t="shared" si="1"/>
        <v>259.59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hidden="1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hidden="1" outlineLevel="1">
      <c r="A18" s="109"/>
      <c r="B18" s="259" t="s">
        <v>35</v>
      </c>
      <c r="C18" s="260"/>
      <c r="D18" s="261">
        <f t="shared" ref="D18:G18" si="2">D5+D7+D14+D9+D10</f>
        <v>272087161</v>
      </c>
      <c r="E18" s="262">
        <f t="shared" si="2"/>
        <v>251524828</v>
      </c>
      <c r="F18" s="263">
        <f t="shared" si="2"/>
        <v>427016993</v>
      </c>
      <c r="G18" s="345">
        <f t="shared" si="2"/>
        <v>96594996</v>
      </c>
      <c r="H18" s="353">
        <f>G18</f>
        <v>96594996</v>
      </c>
      <c r="I18" s="353">
        <f>D18</f>
        <v>272087161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idden="1" outlineLevel="1">
      <c r="A19" s="109"/>
      <c r="B19" s="266" t="s">
        <v>38</v>
      </c>
      <c r="C19" s="267"/>
      <c r="D19" s="268">
        <f t="shared" ref="D19:G19" si="3">D6+D8+D12+D15+D11</f>
        <v>12040.8</v>
      </c>
      <c r="E19" s="269">
        <f t="shared" si="3"/>
        <v>376026.53</v>
      </c>
      <c r="F19" s="270">
        <f t="shared" si="3"/>
        <v>26026.41</v>
      </c>
      <c r="G19" s="346">
        <f t="shared" si="3"/>
        <v>362040.92</v>
      </c>
      <c r="H19" s="265">
        <f>rounddown(G19*$J$3,0)</f>
        <v>533186713</v>
      </c>
      <c r="I19" s="265">
        <f>rounddown(D19*$J$3,0)</f>
        <v>17732787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hidden="1" outlineLevel="1">
      <c r="A20" s="109"/>
      <c r="B20" s="272" t="s">
        <v>677</v>
      </c>
      <c r="C20" s="273"/>
      <c r="D20" s="274">
        <f t="shared" ref="D20:G20" si="4">D13+D16</f>
        <v>1260.99</v>
      </c>
      <c r="E20" s="274">
        <f t="shared" si="4"/>
        <v>0</v>
      </c>
      <c r="F20" s="275">
        <f t="shared" si="4"/>
        <v>896</v>
      </c>
      <c r="G20" s="347">
        <f t="shared" si="4"/>
        <v>364.99</v>
      </c>
      <c r="H20" s="277">
        <f>rounddown(G20*$J$4,0)</f>
        <v>417506</v>
      </c>
      <c r="I20" s="277">
        <f>rounddown(D20*$J$4,0)</f>
        <v>1442427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hidden="1" outlineLevel="1">
      <c r="A21" s="109"/>
      <c r="B21" s="181"/>
      <c r="C21" s="181"/>
      <c r="D21" s="278"/>
      <c r="E21" s="278"/>
      <c r="F21" s="278"/>
      <c r="G21" s="278"/>
      <c r="H21" s="279">
        <f t="shared" ref="H21:I21" si="5">SUM(H18:H20)</f>
        <v>630199215</v>
      </c>
      <c r="I21" s="279">
        <f t="shared" si="5"/>
        <v>291262375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 collapsed="1">
      <c r="A22" s="115"/>
      <c r="B22" s="280"/>
      <c r="C22" s="280"/>
      <c r="D22" s="280"/>
      <c r="E22" s="311"/>
      <c r="F22" s="311"/>
      <c r="G22" s="280"/>
      <c r="H22" s="336">
        <f>H21-I21</f>
        <v>338936840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B9</f>
        <v>기업 #019</v>
      </c>
      <c r="C25" s="323" t="s">
        <v>1637</v>
      </c>
      <c r="D25" s="323" t="s">
        <v>789</v>
      </c>
      <c r="E25" s="325"/>
      <c r="F25" s="325">
        <v>6392870.0</v>
      </c>
      <c r="G25" s="327" t="s">
        <v>1638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B9</f>
        <v>기업 #019</v>
      </c>
      <c r="C26" s="323" t="s">
        <v>1637</v>
      </c>
      <c r="D26" s="323" t="s">
        <v>1230</v>
      </c>
      <c r="E26" s="337"/>
      <c r="F26" s="325">
        <v>825000.0</v>
      </c>
      <c r="G26" s="327" t="s">
        <v>1639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B12</f>
        <v>WISE USD</v>
      </c>
      <c r="C27" s="323" t="s">
        <v>1637</v>
      </c>
      <c r="D27" s="323" t="s">
        <v>740</v>
      </c>
      <c r="E27" s="325"/>
      <c r="F27" s="337">
        <v>10375.98</v>
      </c>
      <c r="G27" s="327" t="s">
        <v>1641</v>
      </c>
      <c r="H27" s="328" t="s">
        <v>41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B12</f>
        <v>WISE USD</v>
      </c>
      <c r="C28" s="323" t="s">
        <v>1637</v>
      </c>
      <c r="D28" s="323" t="s">
        <v>740</v>
      </c>
      <c r="E28" s="325"/>
      <c r="F28" s="337">
        <v>0.39</v>
      </c>
      <c r="G28" s="327" t="s">
        <v>1506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B5</f>
        <v>신한 #672</v>
      </c>
      <c r="C29" s="323" t="s">
        <v>1644</v>
      </c>
      <c r="D29" s="323" t="s">
        <v>1008</v>
      </c>
      <c r="E29" s="337">
        <v>7518190.0</v>
      </c>
      <c r="F29" s="325"/>
      <c r="G29" s="327" t="s">
        <v>1415</v>
      </c>
      <c r="H29" s="328" t="s">
        <v>31</v>
      </c>
      <c r="I29" s="107"/>
      <c r="J29" s="141"/>
      <c r="K29" s="138"/>
      <c r="L29" s="83"/>
      <c r="M29" s="84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B5</f>
        <v>신한 #672</v>
      </c>
      <c r="C30" s="323" t="s">
        <v>1645</v>
      </c>
      <c r="D30" s="323" t="s">
        <v>1646</v>
      </c>
      <c r="E30" s="325"/>
      <c r="F30" s="325">
        <v>300000.0</v>
      </c>
      <c r="G30" s="327" t="s">
        <v>1646</v>
      </c>
      <c r="H30" s="328" t="s">
        <v>1640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B5</f>
        <v>신한 #672</v>
      </c>
      <c r="C31" s="323" t="s">
        <v>1647</v>
      </c>
      <c r="D31" s="323" t="s">
        <v>1648</v>
      </c>
      <c r="E31" s="325"/>
      <c r="F31" s="325">
        <v>7001780.0</v>
      </c>
      <c r="G31" s="327" t="s">
        <v>1648</v>
      </c>
      <c r="H31" s="328" t="s">
        <v>31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B5</f>
        <v>신한 #672</v>
      </c>
      <c r="C32" s="323" t="s">
        <v>1647</v>
      </c>
      <c r="D32" s="323" t="s">
        <v>1649</v>
      </c>
      <c r="E32" s="337"/>
      <c r="F32" s="325">
        <v>531240.0</v>
      </c>
      <c r="G32" s="327" t="s">
        <v>1649</v>
      </c>
      <c r="H32" s="328" t="s">
        <v>31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B5</f>
        <v>신한 #672</v>
      </c>
      <c r="C33" s="323" t="s">
        <v>1647</v>
      </c>
      <c r="D33" s="323" t="s">
        <v>632</v>
      </c>
      <c r="E33" s="325">
        <v>2.0E7</v>
      </c>
      <c r="F33" s="325"/>
      <c r="G33" s="327" t="s">
        <v>1035</v>
      </c>
      <c r="H33" s="328" t="s">
        <v>556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B5</f>
        <v>신한 #672</v>
      </c>
      <c r="C34" s="323" t="s">
        <v>1647</v>
      </c>
      <c r="D34" s="323" t="s">
        <v>1650</v>
      </c>
      <c r="E34" s="325"/>
      <c r="F34" s="325">
        <v>6934720.0</v>
      </c>
      <c r="G34" s="327" t="s">
        <v>1650</v>
      </c>
      <c r="H34" s="328" t="s">
        <v>31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323" t="s">
        <v>1647</v>
      </c>
      <c r="D35" s="323" t="s">
        <v>1651</v>
      </c>
      <c r="E35" s="325"/>
      <c r="F35" s="325">
        <v>1512970.0</v>
      </c>
      <c r="G35" s="327" t="s">
        <v>1651</v>
      </c>
      <c r="H35" s="328" t="s">
        <v>31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B9</f>
        <v>기업 #019</v>
      </c>
      <c r="C36" s="323" t="s">
        <v>1647</v>
      </c>
      <c r="D36" s="323" t="s">
        <v>1297</v>
      </c>
      <c r="E36" s="326"/>
      <c r="F36" s="325">
        <v>6907710.0</v>
      </c>
      <c r="G36" s="327" t="s">
        <v>1652</v>
      </c>
      <c r="H36" s="328" t="s">
        <v>31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기업 #019</v>
      </c>
      <c r="C37" s="323" t="s">
        <v>1647</v>
      </c>
      <c r="D37" s="323" t="s">
        <v>1297</v>
      </c>
      <c r="E37" s="337"/>
      <c r="F37" s="325">
        <v>90400.0</v>
      </c>
      <c r="G37" s="327" t="s">
        <v>1653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B9</f>
        <v>기업 #019</v>
      </c>
      <c r="C38" s="323" t="s">
        <v>1647</v>
      </c>
      <c r="D38" s="323" t="s">
        <v>1299</v>
      </c>
      <c r="E38" s="325"/>
      <c r="F38" s="325">
        <v>699730.0</v>
      </c>
      <c r="G38" s="327" t="s">
        <v>1654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B9</f>
        <v>기업 #019</v>
      </c>
      <c r="C39" s="323" t="s">
        <v>1647</v>
      </c>
      <c r="D39" s="323" t="s">
        <v>1552</v>
      </c>
      <c r="E39" s="325"/>
      <c r="F39" s="325">
        <v>196200.0</v>
      </c>
      <c r="G39" s="327" t="s">
        <v>1655</v>
      </c>
      <c r="H39" s="328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B9</f>
        <v>기업 #019</v>
      </c>
      <c r="C40" s="323" t="s">
        <v>1647</v>
      </c>
      <c r="D40" s="323" t="s">
        <v>122</v>
      </c>
      <c r="E40" s="325"/>
      <c r="F40" s="325">
        <v>500000.0</v>
      </c>
      <c r="G40" s="327" t="s">
        <v>1656</v>
      </c>
      <c r="H40" s="328" t="s">
        <v>1327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B9</f>
        <v>기업 #019</v>
      </c>
      <c r="C41" s="323" t="s">
        <v>1647</v>
      </c>
      <c r="D41" s="323" t="s">
        <v>632</v>
      </c>
      <c r="E41" s="325"/>
      <c r="F41" s="325">
        <v>2.0E7</v>
      </c>
      <c r="G41" s="327" t="s">
        <v>1035</v>
      </c>
      <c r="H41" s="328" t="s">
        <v>556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기업 #019</v>
      </c>
      <c r="C42" s="323" t="s">
        <v>1647</v>
      </c>
      <c r="D42" s="323" t="s">
        <v>632</v>
      </c>
      <c r="E42" s="325"/>
      <c r="F42" s="325">
        <v>1.0E7</v>
      </c>
      <c r="G42" s="327" t="s">
        <v>1035</v>
      </c>
      <c r="H42" s="328" t="s">
        <v>556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B7</f>
        <v>하나 #304</v>
      </c>
      <c r="C43" s="323" t="s">
        <v>1647</v>
      </c>
      <c r="D43" s="323" t="s">
        <v>632</v>
      </c>
      <c r="E43" s="325">
        <v>1.0E7</v>
      </c>
      <c r="F43" s="325"/>
      <c r="G43" s="327" t="s">
        <v>1035</v>
      </c>
      <c r="H43" s="328" t="s">
        <v>556</v>
      </c>
      <c r="I43" s="107"/>
      <c r="J43" s="141"/>
      <c r="K43" s="141"/>
      <c r="L43" s="83"/>
      <c r="M43" s="84"/>
      <c r="N43" s="141"/>
      <c r="O43" s="141"/>
      <c r="P43" s="141"/>
      <c r="Q43" s="141"/>
      <c r="R43" s="141"/>
      <c r="S43" s="141"/>
      <c r="T43" s="141"/>
      <c r="U43" s="141"/>
      <c r="V43" s="141"/>
      <c r="W43" s="141"/>
      <c r="X43" s="141"/>
      <c r="Y43" s="141"/>
    </row>
    <row r="44" ht="15.0" customHeight="1">
      <c r="A44" s="105"/>
      <c r="B44" s="281" t="str">
        <f>B12</f>
        <v>WISE USD</v>
      </c>
      <c r="C44" s="323" t="s">
        <v>1657</v>
      </c>
      <c r="D44" s="296" t="s">
        <v>542</v>
      </c>
      <c r="E44" s="283"/>
      <c r="F44" s="291">
        <v>10.0</v>
      </c>
      <c r="G44" s="313" t="s">
        <v>1068</v>
      </c>
      <c r="H44" s="286" t="s">
        <v>33</v>
      </c>
      <c r="I44" s="107"/>
      <c r="J44" s="141"/>
      <c r="K44" s="141"/>
      <c r="L44" s="83"/>
      <c r="M44" s="84"/>
      <c r="N44" s="141"/>
      <c r="O44" s="141"/>
      <c r="P44" s="141"/>
      <c r="Q44" s="141"/>
      <c r="R44" s="141"/>
      <c r="S44" s="141"/>
      <c r="T44" s="141"/>
      <c r="U44" s="141"/>
      <c r="V44" s="141"/>
      <c r="W44" s="141"/>
      <c r="X44" s="141"/>
      <c r="Y44" s="141"/>
    </row>
    <row r="45" ht="15.0" customHeight="1">
      <c r="A45" s="105"/>
      <c r="B45" s="281" t="str">
        <f>B15</f>
        <v>OCBC USD</v>
      </c>
      <c r="C45" s="323" t="s">
        <v>1657</v>
      </c>
      <c r="D45" s="282" t="s">
        <v>1658</v>
      </c>
      <c r="E45" s="291">
        <v>100013.62</v>
      </c>
      <c r="F45" s="291"/>
      <c r="G45" s="313" t="s">
        <v>1216</v>
      </c>
      <c r="H45" s="286" t="s">
        <v>1385</v>
      </c>
      <c r="I45" s="107"/>
      <c r="J45" s="141"/>
      <c r="K45" s="141"/>
      <c r="L45" s="83"/>
      <c r="M45" s="84"/>
      <c r="N45" s="141"/>
      <c r="O45" s="141"/>
      <c r="P45" s="141"/>
      <c r="Q45" s="141"/>
      <c r="R45" s="141"/>
      <c r="S45" s="141"/>
      <c r="T45" s="141"/>
      <c r="U45" s="141"/>
      <c r="V45" s="141"/>
      <c r="W45" s="141"/>
      <c r="X45" s="141"/>
      <c r="Y45" s="141"/>
    </row>
    <row r="46" ht="15.0" customHeight="1">
      <c r="A46" s="105"/>
      <c r="B46" s="281" t="str">
        <f>B9</f>
        <v>기업 #019</v>
      </c>
      <c r="C46" s="323" t="s">
        <v>1659</v>
      </c>
      <c r="D46" s="282" t="s">
        <v>84</v>
      </c>
      <c r="E46" s="283"/>
      <c r="F46" s="283">
        <v>1043158.0</v>
      </c>
      <c r="G46" s="313" t="s">
        <v>1660</v>
      </c>
      <c r="H46" s="286" t="s">
        <v>1642</v>
      </c>
      <c r="I46" s="107"/>
      <c r="J46" s="141"/>
      <c r="K46" s="141"/>
      <c r="L46" s="83"/>
      <c r="M46" s="84"/>
      <c r="N46" s="141"/>
      <c r="O46" s="141"/>
      <c r="P46" s="141"/>
      <c r="Q46" s="141"/>
      <c r="R46" s="141"/>
      <c r="S46" s="141"/>
      <c r="T46" s="141"/>
      <c r="U46" s="141"/>
      <c r="V46" s="141"/>
      <c r="W46" s="141"/>
      <c r="X46" s="141"/>
      <c r="Y46" s="141"/>
    </row>
    <row r="47" ht="15.0" customHeight="1">
      <c r="A47" s="105"/>
      <c r="B47" s="281" t="str">
        <f>B9</f>
        <v>기업 #019</v>
      </c>
      <c r="C47" s="323" t="s">
        <v>1659</v>
      </c>
      <c r="D47" s="323" t="s">
        <v>1661</v>
      </c>
      <c r="E47" s="326">
        <v>6638.0</v>
      </c>
      <c r="F47" s="325"/>
      <c r="G47" s="327" t="s">
        <v>906</v>
      </c>
      <c r="H47" s="328" t="s">
        <v>75</v>
      </c>
      <c r="I47" s="107"/>
      <c r="J47" s="141"/>
      <c r="K47" s="141"/>
      <c r="L47" s="83"/>
      <c r="M47" s="84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</row>
    <row r="48" ht="15.0" customHeight="1">
      <c r="A48" s="105"/>
      <c r="B48" s="281" t="str">
        <f t="shared" ref="B48:B49" si="6">B9</f>
        <v>기업 #019</v>
      </c>
      <c r="C48" s="323" t="s">
        <v>1662</v>
      </c>
      <c r="D48" s="323" t="s">
        <v>632</v>
      </c>
      <c r="E48" s="325">
        <v>1.84E8</v>
      </c>
      <c r="F48" s="325"/>
      <c r="G48" s="327" t="s">
        <v>1035</v>
      </c>
      <c r="H48" s="328" t="s">
        <v>556</v>
      </c>
      <c r="I48" s="107"/>
      <c r="J48" s="141"/>
      <c r="K48" s="141"/>
      <c r="L48" s="83"/>
      <c r="M48" s="84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 t="shared" si="6"/>
        <v>기업 #020</v>
      </c>
      <c r="C49" s="323" t="s">
        <v>1662</v>
      </c>
      <c r="D49" s="323" t="s">
        <v>632</v>
      </c>
      <c r="E49" s="325"/>
      <c r="F49" s="325">
        <v>1.84E8</v>
      </c>
      <c r="G49" s="327" t="s">
        <v>1035</v>
      </c>
      <c r="H49" s="328" t="s">
        <v>556</v>
      </c>
      <c r="I49" s="107"/>
      <c r="J49" s="141"/>
      <c r="K49" s="141"/>
      <c r="L49" s="83"/>
      <c r="M49" s="84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B7</f>
        <v>하나 #304</v>
      </c>
      <c r="C50" s="323" t="s">
        <v>1663</v>
      </c>
      <c r="D50" s="323" t="s">
        <v>1056</v>
      </c>
      <c r="E50" s="291"/>
      <c r="F50" s="325">
        <v>4866073.0</v>
      </c>
      <c r="G50" s="327" t="s">
        <v>1488</v>
      </c>
      <c r="H50" s="286" t="s">
        <v>33</v>
      </c>
      <c r="I50" s="107"/>
      <c r="J50" s="141"/>
      <c r="K50" s="141"/>
      <c r="L50" s="83"/>
      <c r="M50" s="84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B7</f>
        <v>하나 #304</v>
      </c>
      <c r="C51" s="323" t="s">
        <v>1664</v>
      </c>
      <c r="D51" s="323" t="s">
        <v>632</v>
      </c>
      <c r="E51" s="325">
        <v>3.0E7</v>
      </c>
      <c r="F51" s="325"/>
      <c r="G51" s="327" t="s">
        <v>1035</v>
      </c>
      <c r="H51" s="328" t="s">
        <v>556</v>
      </c>
      <c r="I51" s="107"/>
      <c r="J51" s="141"/>
      <c r="K51" s="141"/>
      <c r="L51" s="83"/>
      <c r="M51" s="84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B5</f>
        <v>신한 #672</v>
      </c>
      <c r="C52" s="323" t="s">
        <v>1665</v>
      </c>
      <c r="D52" s="282" t="s">
        <v>1202</v>
      </c>
      <c r="E52" s="326"/>
      <c r="F52" s="326">
        <v>110000.0</v>
      </c>
      <c r="G52" s="313" t="s">
        <v>1202</v>
      </c>
      <c r="H52" s="286" t="s">
        <v>33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B5</f>
        <v>신한 #672</v>
      </c>
      <c r="C53" s="323" t="s">
        <v>1663</v>
      </c>
      <c r="D53" s="282" t="s">
        <v>1495</v>
      </c>
      <c r="E53" s="283"/>
      <c r="F53" s="283">
        <v>98000.0</v>
      </c>
      <c r="G53" s="313" t="s">
        <v>1047</v>
      </c>
      <c r="H53" s="286" t="s">
        <v>4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B5</f>
        <v>신한 #672</v>
      </c>
      <c r="C54" s="323" t="s">
        <v>1663</v>
      </c>
      <c r="D54" s="282" t="s">
        <v>1496</v>
      </c>
      <c r="E54" s="283"/>
      <c r="F54" s="283">
        <v>37430.0</v>
      </c>
      <c r="G54" s="313" t="s">
        <v>1038</v>
      </c>
      <c r="H54" s="286" t="s">
        <v>4</v>
      </c>
      <c r="I54" s="107"/>
      <c r="J54" s="141"/>
      <c r="K54" s="138"/>
      <c r="L54" s="99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B5</f>
        <v>신한 #672</v>
      </c>
      <c r="C55" s="323" t="s">
        <v>1663</v>
      </c>
      <c r="D55" s="282" t="s">
        <v>1496</v>
      </c>
      <c r="E55" s="283"/>
      <c r="F55" s="283">
        <v>37430.0</v>
      </c>
      <c r="G55" s="313" t="s">
        <v>1038</v>
      </c>
      <c r="H55" s="286" t="s">
        <v>4</v>
      </c>
      <c r="I55" s="107"/>
      <c r="J55" s="141"/>
      <c r="K55" s="138"/>
      <c r="L55" s="99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B5</f>
        <v>신한 #672</v>
      </c>
      <c r="C56" s="323" t="s">
        <v>1663</v>
      </c>
      <c r="D56" s="282" t="s">
        <v>1496</v>
      </c>
      <c r="E56" s="291"/>
      <c r="F56" s="283">
        <v>20660.0</v>
      </c>
      <c r="G56" s="313" t="s">
        <v>1039</v>
      </c>
      <c r="H56" s="286" t="s">
        <v>4</v>
      </c>
      <c r="I56" s="107"/>
      <c r="J56" s="141"/>
      <c r="K56" s="138"/>
      <c r="L56" s="99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</f>
        <v>신한 #672</v>
      </c>
      <c r="C57" s="323" t="s">
        <v>1663</v>
      </c>
      <c r="D57" s="282" t="s">
        <v>1496</v>
      </c>
      <c r="E57" s="283"/>
      <c r="F57" s="283">
        <v>50250.0</v>
      </c>
      <c r="G57" s="313" t="s">
        <v>1040</v>
      </c>
      <c r="H57" s="286" t="s">
        <v>4</v>
      </c>
      <c r="I57" s="107"/>
      <c r="J57" s="141"/>
      <c r="K57" s="138"/>
      <c r="L57" s="99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323" t="s">
        <v>1663</v>
      </c>
      <c r="D58" s="282" t="s">
        <v>1496</v>
      </c>
      <c r="E58" s="326"/>
      <c r="F58" s="326">
        <v>20660.0</v>
      </c>
      <c r="G58" s="313" t="s">
        <v>1039</v>
      </c>
      <c r="H58" s="286" t="s">
        <v>4</v>
      </c>
      <c r="I58" s="107"/>
      <c r="J58" s="141"/>
      <c r="K58" s="138"/>
      <c r="L58" s="99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323" t="s">
        <v>1663</v>
      </c>
      <c r="D59" s="282" t="s">
        <v>497</v>
      </c>
      <c r="E59" s="326"/>
      <c r="F59" s="326">
        <v>330000.0</v>
      </c>
      <c r="G59" s="313" t="s">
        <v>1042</v>
      </c>
      <c r="H59" s="286" t="s">
        <v>33</v>
      </c>
      <c r="I59" s="107"/>
      <c r="J59" s="141"/>
      <c r="K59" s="138"/>
      <c r="L59" s="99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323" t="s">
        <v>1663</v>
      </c>
      <c r="D60" s="282" t="s">
        <v>1497</v>
      </c>
      <c r="E60" s="283"/>
      <c r="F60" s="283">
        <v>55910.0</v>
      </c>
      <c r="G60" s="313" t="s">
        <v>1044</v>
      </c>
      <c r="H60" s="286" t="s">
        <v>4</v>
      </c>
      <c r="I60" s="107"/>
      <c r="J60" s="141"/>
      <c r="K60" s="138"/>
      <c r="L60" s="99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B5</f>
        <v>신한 #672</v>
      </c>
      <c r="C61" s="323" t="s">
        <v>1663</v>
      </c>
      <c r="D61" s="282" t="s">
        <v>1633</v>
      </c>
      <c r="E61" s="291"/>
      <c r="F61" s="284">
        <v>4704347.0</v>
      </c>
      <c r="G61" s="313" t="s">
        <v>1634</v>
      </c>
      <c r="H61" s="286" t="s">
        <v>33</v>
      </c>
      <c r="I61" s="107"/>
      <c r="J61" s="141"/>
      <c r="K61" s="138"/>
      <c r="L61" s="99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B9</f>
        <v>기업 #019</v>
      </c>
      <c r="C62" s="323" t="s">
        <v>1666</v>
      </c>
      <c r="D62" s="323" t="s">
        <v>1622</v>
      </c>
      <c r="E62" s="325"/>
      <c r="F62" s="325">
        <v>1.02706626E8</v>
      </c>
      <c r="G62" s="313" t="s">
        <v>41</v>
      </c>
      <c r="H62" s="286" t="s">
        <v>41</v>
      </c>
      <c r="I62" s="141"/>
      <c r="J62" s="141"/>
      <c r="K62" s="138"/>
      <c r="L62" s="99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B9</f>
        <v>기업 #019</v>
      </c>
      <c r="C63" s="323" t="s">
        <v>1666</v>
      </c>
      <c r="D63" s="323" t="s">
        <v>115</v>
      </c>
      <c r="E63" s="325"/>
      <c r="F63" s="325">
        <v>51600.0</v>
      </c>
      <c r="G63" s="313" t="s">
        <v>1667</v>
      </c>
      <c r="H63" s="286" t="s">
        <v>41</v>
      </c>
      <c r="I63" s="141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B9</f>
        <v>기업 #019</v>
      </c>
      <c r="C64" s="323" t="s">
        <v>1666</v>
      </c>
      <c r="D64" s="323" t="s">
        <v>1623</v>
      </c>
      <c r="E64" s="325"/>
      <c r="F64" s="325">
        <v>1879396.0</v>
      </c>
      <c r="G64" s="313" t="s">
        <v>1668</v>
      </c>
      <c r="H64" s="286" t="s">
        <v>41</v>
      </c>
      <c r="I64" s="141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B9</f>
        <v>기업 #019</v>
      </c>
      <c r="C65" s="323" t="s">
        <v>1666</v>
      </c>
      <c r="D65" s="323" t="s">
        <v>1669</v>
      </c>
      <c r="E65" s="325"/>
      <c r="F65" s="325">
        <v>52743.0</v>
      </c>
      <c r="G65" s="313" t="s">
        <v>1634</v>
      </c>
      <c r="H65" s="286" t="s">
        <v>33</v>
      </c>
      <c r="I65" s="141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B9</f>
        <v>기업 #019</v>
      </c>
      <c r="C66" s="323" t="s">
        <v>1664</v>
      </c>
      <c r="D66" s="323" t="s">
        <v>632</v>
      </c>
      <c r="E66" s="325"/>
      <c r="F66" s="325">
        <v>3.0E7</v>
      </c>
      <c r="G66" s="327" t="s">
        <v>1035</v>
      </c>
      <c r="H66" s="328" t="s">
        <v>556</v>
      </c>
      <c r="I66" s="141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B7</f>
        <v>하나 #304</v>
      </c>
      <c r="C67" s="323" t="s">
        <v>1664</v>
      </c>
      <c r="D67" s="323" t="s">
        <v>634</v>
      </c>
      <c r="E67" s="326"/>
      <c r="F67" s="326">
        <v>3.49232E7</v>
      </c>
      <c r="G67" s="327" t="s">
        <v>1534</v>
      </c>
      <c r="H67" s="328" t="s">
        <v>930</v>
      </c>
      <c r="I67" s="141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B7</f>
        <v>하나 #304</v>
      </c>
      <c r="C68" s="323" t="s">
        <v>1664</v>
      </c>
      <c r="D68" s="323" t="s">
        <v>1533</v>
      </c>
      <c r="E68" s="325"/>
      <c r="F68" s="326">
        <v>59890.0</v>
      </c>
      <c r="G68" s="313" t="s">
        <v>1119</v>
      </c>
      <c r="H68" s="286" t="s">
        <v>33</v>
      </c>
      <c r="I68" s="141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B12</f>
        <v>WISE USD</v>
      </c>
      <c r="C69" s="323" t="s">
        <v>1663</v>
      </c>
      <c r="D69" s="323" t="s">
        <v>1670</v>
      </c>
      <c r="E69" s="337"/>
      <c r="F69" s="337">
        <v>155.99</v>
      </c>
      <c r="G69" s="313" t="s">
        <v>1068</v>
      </c>
      <c r="H69" s="286" t="s">
        <v>33</v>
      </c>
      <c r="I69" s="141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B12</f>
        <v>WISE USD</v>
      </c>
      <c r="C70" s="323" t="s">
        <v>1664</v>
      </c>
      <c r="D70" s="323" t="s">
        <v>1671</v>
      </c>
      <c r="E70" s="337"/>
      <c r="F70" s="337">
        <v>60.57</v>
      </c>
      <c r="G70" s="327" t="s">
        <v>1672</v>
      </c>
      <c r="H70" s="286" t="s">
        <v>33</v>
      </c>
      <c r="I70" s="141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B12</f>
        <v>WISE USD</v>
      </c>
      <c r="C71" s="323" t="s">
        <v>1664</v>
      </c>
      <c r="D71" s="323" t="s">
        <v>632</v>
      </c>
      <c r="E71" s="375">
        <v>25995.86</v>
      </c>
      <c r="F71" s="337"/>
      <c r="G71" s="327" t="s">
        <v>1673</v>
      </c>
      <c r="H71" s="328" t="s">
        <v>930</v>
      </c>
      <c r="I71" s="141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B12</f>
        <v>WISE USD</v>
      </c>
      <c r="C72" s="323" t="s">
        <v>1674</v>
      </c>
      <c r="D72" s="282" t="s">
        <v>1387</v>
      </c>
      <c r="E72" s="326"/>
      <c r="F72" s="337">
        <v>14953.69</v>
      </c>
      <c r="G72" s="313" t="s">
        <v>1675</v>
      </c>
      <c r="H72" s="286" t="s">
        <v>33</v>
      </c>
      <c r="I72" s="107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B12</f>
        <v>WISE USD</v>
      </c>
      <c r="C73" s="323" t="s">
        <v>1674</v>
      </c>
      <c r="D73" s="323" t="s">
        <v>1360</v>
      </c>
      <c r="E73" s="326"/>
      <c r="F73" s="337">
        <v>85.79</v>
      </c>
      <c r="G73" s="327" t="s">
        <v>1119</v>
      </c>
      <c r="H73" s="286" t="s">
        <v>33</v>
      </c>
      <c r="I73" s="107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B12</f>
        <v>WISE USD</v>
      </c>
      <c r="C74" s="323" t="s">
        <v>1674</v>
      </c>
      <c r="D74" s="323" t="s">
        <v>1676</v>
      </c>
      <c r="E74" s="326"/>
      <c r="F74" s="337">
        <v>384.0</v>
      </c>
      <c r="G74" s="327" t="s">
        <v>1677</v>
      </c>
      <c r="H74" s="286" t="s">
        <v>33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B5</f>
        <v>신한 #672</v>
      </c>
      <c r="C75" s="282" t="s">
        <v>1678</v>
      </c>
      <c r="D75" s="282" t="s">
        <v>920</v>
      </c>
      <c r="E75" s="291"/>
      <c r="F75" s="326">
        <v>77000.0</v>
      </c>
      <c r="G75" s="327" t="s">
        <v>1006</v>
      </c>
      <c r="H75" s="328" t="s">
        <v>33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350" t="s">
        <v>747</v>
      </c>
      <c r="C76" s="282" t="s">
        <v>1645</v>
      </c>
      <c r="D76" s="282" t="s">
        <v>828</v>
      </c>
      <c r="E76" s="291"/>
      <c r="F76" s="292">
        <v>10.0</v>
      </c>
      <c r="G76" s="327" t="s">
        <v>1119</v>
      </c>
      <c r="H76" s="328" t="s">
        <v>33</v>
      </c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350" t="s">
        <v>747</v>
      </c>
      <c r="C77" s="282" t="s">
        <v>1678</v>
      </c>
      <c r="D77" s="323" t="s">
        <v>1679</v>
      </c>
      <c r="E77" s="325"/>
      <c r="F77" s="292">
        <v>436.0</v>
      </c>
      <c r="G77" s="327" t="s">
        <v>1680</v>
      </c>
      <c r="H77" s="328" t="s">
        <v>33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350" t="s">
        <v>747</v>
      </c>
      <c r="C78" s="282" t="s">
        <v>1678</v>
      </c>
      <c r="D78" s="323" t="s">
        <v>1681</v>
      </c>
      <c r="E78" s="291"/>
      <c r="F78" s="292">
        <v>450.0</v>
      </c>
      <c r="G78" s="327" t="s">
        <v>1682</v>
      </c>
      <c r="H78" s="328" t="s">
        <v>33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350" t="s">
        <v>746</v>
      </c>
      <c r="C79" s="323" t="s">
        <v>1678</v>
      </c>
      <c r="D79" s="282" t="s">
        <v>1683</v>
      </c>
      <c r="E79" s="291">
        <v>250017.05</v>
      </c>
      <c r="F79" s="291"/>
      <c r="G79" s="313" t="s">
        <v>1216</v>
      </c>
      <c r="H79" s="286" t="s">
        <v>1385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282"/>
      <c r="D80" s="282"/>
      <c r="E80" s="291"/>
      <c r="F80" s="284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282"/>
      <c r="D81" s="282"/>
      <c r="E81" s="291"/>
      <c r="F81" s="284"/>
      <c r="G81" s="313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282"/>
      <c r="D82" s="282"/>
      <c r="E82" s="291"/>
      <c r="F82" s="284"/>
      <c r="G82" s="313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282"/>
      <c r="D83" s="282"/>
      <c r="E83" s="291"/>
      <c r="F83" s="284"/>
      <c r="G83" s="313"/>
      <c r="H83" s="286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282"/>
      <c r="D84" s="282"/>
      <c r="E84" s="291"/>
      <c r="F84" s="284"/>
      <c r="G84" s="313"/>
      <c r="H84" s="286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282"/>
      <c r="D85" s="282"/>
      <c r="E85" s="291"/>
      <c r="F85" s="284"/>
      <c r="G85" s="313"/>
      <c r="H85" s="286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282"/>
      <c r="D86" s="282"/>
      <c r="E86" s="291"/>
      <c r="F86" s="284"/>
      <c r="G86" s="313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282"/>
      <c r="D87" s="282"/>
      <c r="E87" s="283"/>
      <c r="F87" s="283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282"/>
      <c r="D88" s="282"/>
      <c r="E88" s="283"/>
      <c r="F88" s="283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282"/>
      <c r="D89" s="282"/>
      <c r="E89" s="283"/>
      <c r="F89" s="283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282"/>
      <c r="D90" s="282"/>
      <c r="E90" s="291"/>
      <c r="F90" s="283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282"/>
      <c r="D91" s="282"/>
      <c r="E91" s="283"/>
      <c r="F91" s="283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282"/>
      <c r="D92" s="282"/>
      <c r="E92" s="326"/>
      <c r="F92" s="326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282"/>
      <c r="D93" s="282"/>
      <c r="E93" s="326"/>
      <c r="F93" s="326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282"/>
      <c r="D94" s="282"/>
      <c r="E94" s="283"/>
      <c r="F94" s="283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282"/>
      <c r="D95" s="282"/>
      <c r="E95" s="291"/>
      <c r="F95" s="284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282"/>
      <c r="D96" s="323"/>
      <c r="E96" s="325"/>
      <c r="F96" s="325"/>
      <c r="G96" s="327"/>
      <c r="H96" s="328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282"/>
      <c r="D97" s="323"/>
      <c r="E97" s="325"/>
      <c r="F97" s="325"/>
      <c r="G97" s="327"/>
      <c r="H97" s="328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282"/>
      <c r="D98" s="323"/>
      <c r="E98" s="326"/>
      <c r="F98" s="326"/>
      <c r="G98" s="327"/>
      <c r="H98" s="328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282"/>
      <c r="D99" s="323"/>
      <c r="E99" s="325"/>
      <c r="F99" s="326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282"/>
      <c r="D100" s="323"/>
      <c r="E100" s="291"/>
      <c r="F100" s="371"/>
      <c r="G100" s="327"/>
      <c r="H100" s="328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282"/>
      <c r="D101" s="282"/>
      <c r="E101" s="291"/>
      <c r="F101" s="326"/>
      <c r="G101" s="327"/>
      <c r="H101" s="328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282"/>
      <c r="D102" s="282"/>
      <c r="E102" s="291"/>
      <c r="F102" s="292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282"/>
      <c r="D103" s="282"/>
      <c r="E103" s="291"/>
      <c r="F103" s="292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282"/>
      <c r="D104" s="282"/>
      <c r="E104" s="291"/>
      <c r="F104" s="292"/>
      <c r="G104" s="313"/>
      <c r="H104" s="286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282"/>
      <c r="D105" s="282"/>
      <c r="E105" s="291"/>
      <c r="F105" s="292"/>
      <c r="G105" s="313"/>
      <c r="H105" s="286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282"/>
      <c r="D106" s="282"/>
      <c r="E106" s="291"/>
      <c r="F106" s="292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91"/>
      <c r="F108" s="292"/>
      <c r="G108" s="313"/>
      <c r="H108" s="286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282"/>
      <c r="D109" s="282"/>
      <c r="E109" s="291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</sheetData>
  <autoFilter ref="$B$24:$H$115"/>
  <customSheetViews>
    <customSheetView guid="{CD2BF927-9D79-47FC-BBA8-927062D6B3F5}" filter="1" showAutoFilter="1">
      <autoFilter ref="$B$24:$H$154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54">
      <formula1>$L:$L</formula1>
    </dataValidation>
  </dataValidations>
  <hyperlinks>
    <hyperlink r:id="rId1" ref="I3"/>
    <hyperlink r:id="rId2" ref="I4"/>
    <hyperlink r:id="rId3" ref="D44"/>
  </hyperlinks>
  <printOptions/>
  <pageMargins bottom="0.75" footer="0.0" header="0.0" left="0.25" right="0.25" top="0.75"/>
  <pageSetup fitToHeight="0" paperSize="9" orientation="portrait"/>
  <drawing r:id="rId4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1684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'24.02월'!G5</f>
        <v>6017276</v>
      </c>
      <c r="E5" s="355">
        <f>sumif(B25:B142,B5,E25:E142)</f>
        <v>15001387</v>
      </c>
      <c r="F5" s="356">
        <f>sumif(B25:B143,B5,F25:F143)</f>
        <v>19743766</v>
      </c>
      <c r="G5" s="229">
        <f t="shared" ref="G5:G16" si="1">D5+E5-F5</f>
        <v>1274897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'24.02월'!G6</f>
        <v>2.31</v>
      </c>
      <c r="E6" s="357">
        <f>sumif(B25:B142,B6,E25:E142)</f>
        <v>0</v>
      </c>
      <c r="F6" s="358">
        <f>sumif(B25:B142,B6,F25:F142)</f>
        <v>0</v>
      </c>
      <c r="G6" s="235">
        <f t="shared" si="1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236">
        <f>'24.02월'!G7</f>
        <v>3906749</v>
      </c>
      <c r="E7" s="359">
        <f>sumif(B25:B142,B7,E25:E142)</f>
        <v>2802969</v>
      </c>
      <c r="F7" s="360">
        <f>sumif(B25:B142,B7,F25:F142)</f>
        <v>6343628</v>
      </c>
      <c r="G7" s="239">
        <f t="shared" si="1"/>
        <v>366090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'24.02월'!G8</f>
        <v>3.35</v>
      </c>
      <c r="E8" s="361">
        <f>sumif(B25:B142,B8,E25:E142)</f>
        <v>0</v>
      </c>
      <c r="F8" s="358">
        <f>sumif(B25:B142,B8,F25:F142)</f>
        <v>0</v>
      </c>
      <c r="G8" s="235">
        <f t="shared" si="1"/>
        <v>3.35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236">
        <f>'24.02월'!G9</f>
        <v>86670971</v>
      </c>
      <c r="E9" s="359">
        <f>sumif(B25:B143,B9,E25:E143)</f>
        <v>32256370</v>
      </c>
      <c r="F9" s="360">
        <f>sumif(B25:B144,B9,F25:F144)</f>
        <v>118215227</v>
      </c>
      <c r="G9" s="239">
        <f t="shared" si="1"/>
        <v>712114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236">
        <f>'24.02월'!G10</f>
        <v>0</v>
      </c>
      <c r="E10" s="359">
        <f>sumif(B25:B144,B10,E25:E144)</f>
        <v>0</v>
      </c>
      <c r="F10" s="360">
        <f>sumif(B25:B145,B10,F25:F145)</f>
        <v>0</v>
      </c>
      <c r="G10" s="239">
        <f t="shared" si="1"/>
        <v>0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'24.02월'!G11</f>
        <v>0</v>
      </c>
      <c r="E11" s="361">
        <f>sumif(B25:B145,B11,E25:E145)</f>
        <v>0</v>
      </c>
      <c r="F11" s="358">
        <f>sumif(B25:B145,B11,F25:F145)</f>
        <v>0</v>
      </c>
      <c r="G11" s="235">
        <f t="shared" si="1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'24.02월'!G12</f>
        <v>10843.97</v>
      </c>
      <c r="E12" s="361">
        <f>sumif(B25:B142,B12,E25:E142)</f>
        <v>0</v>
      </c>
      <c r="F12" s="362">
        <f>sumif(B25:B142,B12,F25:F142)</f>
        <v>10613.17</v>
      </c>
      <c r="G12" s="329">
        <f t="shared" si="1"/>
        <v>230.8</v>
      </c>
      <c r="H12" s="125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41">
        <f>'24.02월'!G13</f>
        <v>105.4</v>
      </c>
      <c r="E13" s="363">
        <f>sumif(B25:B140,B13,E25:E140)</f>
        <v>0</v>
      </c>
      <c r="F13" s="364">
        <f>sumif(B25:B142,B13,F25:F142)</f>
        <v>80</v>
      </c>
      <c r="G13" s="320">
        <f t="shared" si="1"/>
        <v>25.4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236">
        <f>'24.02월'!G14</f>
        <v>0</v>
      </c>
      <c r="E14" s="365">
        <f>sumif(B25:B142,B14,E25:E142)</f>
        <v>0</v>
      </c>
      <c r="F14" s="360">
        <f>sumif(B25:B82,B14,F25:F142)</f>
        <v>0</v>
      </c>
      <c r="G14" s="239">
        <f t="shared" si="1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'24.02월'!G15</f>
        <v>351191.29</v>
      </c>
      <c r="E15" s="361">
        <f>sumif(B25:B143,B15,E25:E85)</f>
        <v>100003.62</v>
      </c>
      <c r="F15" s="358">
        <f>sumif(B25:B143,B15,F25:F143)</f>
        <v>486.89</v>
      </c>
      <c r="G15" s="235">
        <f t="shared" si="1"/>
        <v>450708.02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07">
        <f>'24.02월'!G16</f>
        <v>259.59</v>
      </c>
      <c r="E16" s="366">
        <f>sumif(B25:B143,B16,E25:E143)</f>
        <v>73.6</v>
      </c>
      <c r="F16" s="367">
        <f>sumif(B25:B143,B16,F25:F143)</f>
        <v>25</v>
      </c>
      <c r="G16" s="310">
        <f t="shared" si="1"/>
        <v>308.19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2">D5+D7+D14+D9+D10</f>
        <v>96594996</v>
      </c>
      <c r="E18" s="262">
        <f t="shared" si="2"/>
        <v>50060726</v>
      </c>
      <c r="F18" s="263">
        <f t="shared" si="2"/>
        <v>144302621</v>
      </c>
      <c r="G18" s="345">
        <f t="shared" si="2"/>
        <v>2353101</v>
      </c>
      <c r="H18" s="353">
        <f>G18</f>
        <v>2353101</v>
      </c>
      <c r="I18" s="353">
        <f>D18</f>
        <v>96594996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3">D6+D8+D12+D15+D11</f>
        <v>362040.92</v>
      </c>
      <c r="E19" s="269">
        <f t="shared" si="3"/>
        <v>100003.62</v>
      </c>
      <c r="F19" s="270">
        <f t="shared" si="3"/>
        <v>11100.06</v>
      </c>
      <c r="G19" s="346">
        <f t="shared" si="3"/>
        <v>450944.48</v>
      </c>
      <c r="H19" s="265">
        <f>rounddown(G19*$J$3,0)</f>
        <v>664117209</v>
      </c>
      <c r="I19" s="265">
        <f>rounddown(D19*$J$3,0)</f>
        <v>533186713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4">D13+D16</f>
        <v>364.99</v>
      </c>
      <c r="E20" s="274">
        <f t="shared" si="4"/>
        <v>73.6</v>
      </c>
      <c r="F20" s="275">
        <f t="shared" si="4"/>
        <v>105</v>
      </c>
      <c r="G20" s="347">
        <f t="shared" si="4"/>
        <v>333.59</v>
      </c>
      <c r="H20" s="277">
        <f>rounddown(G20*$J$4,0)</f>
        <v>381588</v>
      </c>
      <c r="I20" s="277">
        <f>rounddown(D20*$J$4,0)</f>
        <v>417506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5">SUM(H18:H20)</f>
        <v>666851898</v>
      </c>
      <c r="I21" s="279">
        <f t="shared" si="5"/>
        <v>630199215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36652683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B12</f>
        <v>WISE USD</v>
      </c>
      <c r="C25" s="323" t="s">
        <v>1685</v>
      </c>
      <c r="D25" s="323" t="s">
        <v>740</v>
      </c>
      <c r="E25" s="325"/>
      <c r="F25" s="337">
        <v>10375.98</v>
      </c>
      <c r="G25" s="327" t="s">
        <v>1686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WISE USD</v>
      </c>
      <c r="C26" s="323" t="s">
        <v>1685</v>
      </c>
      <c r="D26" s="323" t="s">
        <v>740</v>
      </c>
      <c r="E26" s="325"/>
      <c r="F26" s="337">
        <v>0.39</v>
      </c>
      <c r="G26" s="327" t="s">
        <v>1506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B12</f>
        <v>WISE USD</v>
      </c>
      <c r="C27" s="323" t="s">
        <v>1685</v>
      </c>
      <c r="D27" s="323" t="s">
        <v>740</v>
      </c>
      <c r="E27" s="325"/>
      <c r="F27" s="337">
        <v>226.41</v>
      </c>
      <c r="G27" s="327" t="s">
        <v>1438</v>
      </c>
      <c r="H27" s="328" t="s">
        <v>4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B12</f>
        <v>WISE USD</v>
      </c>
      <c r="C28" s="323" t="s">
        <v>1685</v>
      </c>
      <c r="D28" s="323" t="s">
        <v>740</v>
      </c>
      <c r="E28" s="325"/>
      <c r="F28" s="337">
        <v>0.39</v>
      </c>
      <c r="G28" s="327" t="s">
        <v>1506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hidden="1" customHeight="1">
      <c r="A29" s="105"/>
      <c r="B29" s="281" t="str">
        <f>B9</f>
        <v>기업 #019</v>
      </c>
      <c r="C29" s="323" t="s">
        <v>1687</v>
      </c>
      <c r="D29" s="323" t="s">
        <v>789</v>
      </c>
      <c r="E29" s="325"/>
      <c r="F29" s="325">
        <v>6332040.0</v>
      </c>
      <c r="G29" s="327" t="s">
        <v>1688</v>
      </c>
      <c r="H29" s="328" t="s">
        <v>33</v>
      </c>
      <c r="I29" s="107"/>
      <c r="J29" s="141"/>
      <c r="K29" s="138"/>
      <c r="L29" s="83"/>
      <c r="M29" s="84"/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hidden="1" customHeight="1">
      <c r="A30" s="105"/>
      <c r="B30" s="281" t="str">
        <f>B9</f>
        <v>기업 #019</v>
      </c>
      <c r="C30" s="323" t="s">
        <v>1687</v>
      </c>
      <c r="D30" s="323" t="s">
        <v>1230</v>
      </c>
      <c r="E30" s="337"/>
      <c r="F30" s="325">
        <v>825000.0</v>
      </c>
      <c r="G30" s="327" t="s">
        <v>1689</v>
      </c>
      <c r="H30" s="328" t="s">
        <v>33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hidden="1" customHeight="1">
      <c r="A31" s="105"/>
      <c r="B31" s="281" t="str">
        <f>B9</f>
        <v>기업 #019</v>
      </c>
      <c r="C31" s="323" t="s">
        <v>1687</v>
      </c>
      <c r="D31" s="323" t="s">
        <v>1552</v>
      </c>
      <c r="E31" s="325"/>
      <c r="F31" s="325">
        <v>196200.0</v>
      </c>
      <c r="G31" s="327" t="s">
        <v>1690</v>
      </c>
      <c r="H31" s="328" t="s">
        <v>33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hidden="1" customHeight="1">
      <c r="A32" s="105"/>
      <c r="B32" s="281" t="str">
        <f>B9</f>
        <v>기업 #019</v>
      </c>
      <c r="C32" s="323" t="s">
        <v>1691</v>
      </c>
      <c r="D32" s="323" t="s">
        <v>1692</v>
      </c>
      <c r="E32" s="325"/>
      <c r="F32" s="325">
        <v>30000.0</v>
      </c>
      <c r="G32" s="327" t="s">
        <v>1693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hidden="1" customHeight="1">
      <c r="A33" s="105"/>
      <c r="B33" s="281" t="str">
        <f>B5</f>
        <v>신한 #672</v>
      </c>
      <c r="C33" s="323" t="s">
        <v>1691</v>
      </c>
      <c r="D33" s="323" t="s">
        <v>1694</v>
      </c>
      <c r="E33" s="325"/>
      <c r="F33" s="325">
        <v>300000.0</v>
      </c>
      <c r="G33" s="327" t="s">
        <v>1694</v>
      </c>
      <c r="H33" s="328" t="s">
        <v>1640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hidden="1" customHeight="1">
      <c r="A34" s="105"/>
      <c r="B34" s="281" t="str">
        <f>B9</f>
        <v>기업 #019</v>
      </c>
      <c r="C34" s="323" t="s">
        <v>1695</v>
      </c>
      <c r="D34" s="323" t="s">
        <v>632</v>
      </c>
      <c r="E34" s="325"/>
      <c r="F34" s="325">
        <v>1.5E7</v>
      </c>
      <c r="G34" s="327" t="s">
        <v>1035</v>
      </c>
      <c r="H34" s="328" t="s">
        <v>556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hidden="1" customHeight="1">
      <c r="A35" s="105"/>
      <c r="B35" s="281" t="str">
        <f>B5</f>
        <v>신한 #672</v>
      </c>
      <c r="C35" s="323" t="s">
        <v>1695</v>
      </c>
      <c r="D35" s="323" t="s">
        <v>632</v>
      </c>
      <c r="E35" s="325">
        <v>1.5E7</v>
      </c>
      <c r="F35" s="325"/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hidden="1" customHeight="1">
      <c r="A36" s="105"/>
      <c r="B36" s="281" t="str">
        <f>B5</f>
        <v>신한 #672</v>
      </c>
      <c r="C36" s="323" t="s">
        <v>1695</v>
      </c>
      <c r="D36" s="323" t="s">
        <v>1696</v>
      </c>
      <c r="E36" s="325"/>
      <c r="F36" s="325">
        <v>1512970.0</v>
      </c>
      <c r="G36" s="327" t="s">
        <v>1696</v>
      </c>
      <c r="H36" s="328" t="s">
        <v>31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hidden="1" customHeight="1">
      <c r="A37" s="105"/>
      <c r="B37" s="281" t="str">
        <f>B5</f>
        <v>신한 #672</v>
      </c>
      <c r="C37" s="323" t="s">
        <v>1695</v>
      </c>
      <c r="D37" s="323" t="s">
        <v>1697</v>
      </c>
      <c r="E37" s="325"/>
      <c r="F37" s="325">
        <v>544840.0</v>
      </c>
      <c r="G37" s="327" t="s">
        <v>1697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hidden="1" customHeight="1">
      <c r="A38" s="105"/>
      <c r="B38" s="281" t="str">
        <f>B5</f>
        <v>신한 #672</v>
      </c>
      <c r="C38" s="323" t="s">
        <v>1695</v>
      </c>
      <c r="D38" s="323" t="s">
        <v>1698</v>
      </c>
      <c r="E38" s="326"/>
      <c r="F38" s="325">
        <v>7001780.0</v>
      </c>
      <c r="G38" s="327" t="s">
        <v>1698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hidden="1" customHeight="1">
      <c r="A39" s="105"/>
      <c r="B39" s="281" t="str">
        <f>B5</f>
        <v>신한 #672</v>
      </c>
      <c r="C39" s="323" t="s">
        <v>1695</v>
      </c>
      <c r="D39" s="323" t="s">
        <v>1699</v>
      </c>
      <c r="E39" s="337"/>
      <c r="F39" s="325">
        <v>6934720.0</v>
      </c>
      <c r="G39" s="327" t="s">
        <v>1699</v>
      </c>
      <c r="H39" s="328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hidden="1" customHeight="1">
      <c r="A40" s="105"/>
      <c r="B40" s="281" t="str">
        <f>B9</f>
        <v>기업 #019</v>
      </c>
      <c r="C40" s="323" t="s">
        <v>1700</v>
      </c>
      <c r="D40" s="282" t="s">
        <v>84</v>
      </c>
      <c r="E40" s="283"/>
      <c r="F40" s="283">
        <v>975857.0</v>
      </c>
      <c r="G40" s="313" t="s">
        <v>1660</v>
      </c>
      <c r="H40" s="286" t="s">
        <v>1642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hidden="1" customHeight="1">
      <c r="A41" s="105"/>
      <c r="B41" s="281" t="str">
        <f>B9</f>
        <v>기업 #019</v>
      </c>
      <c r="C41" s="323" t="s">
        <v>1700</v>
      </c>
      <c r="D41" s="323" t="s">
        <v>1661</v>
      </c>
      <c r="E41" s="326">
        <v>6370.0</v>
      </c>
      <c r="F41" s="325"/>
      <c r="G41" s="327" t="s">
        <v>906</v>
      </c>
      <c r="H41" s="328" t="s">
        <v>75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hidden="1" customHeight="1">
      <c r="A42" s="105"/>
      <c r="B42" s="281" t="str">
        <f>B7</f>
        <v>하나 #304</v>
      </c>
      <c r="C42" s="323" t="s">
        <v>1700</v>
      </c>
      <c r="D42" s="323" t="s">
        <v>1661</v>
      </c>
      <c r="E42" s="326">
        <v>2969.0</v>
      </c>
      <c r="F42" s="325"/>
      <c r="G42" s="327" t="s">
        <v>906</v>
      </c>
      <c r="H42" s="328" t="s">
        <v>75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B12</f>
        <v>WISE USD</v>
      </c>
      <c r="C43" s="323" t="s">
        <v>1657</v>
      </c>
      <c r="D43" s="296" t="s">
        <v>542</v>
      </c>
      <c r="E43" s="283"/>
      <c r="F43" s="291">
        <v>10.0</v>
      </c>
      <c r="G43" s="313" t="s">
        <v>1068</v>
      </c>
      <c r="H43" s="286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hidden="1" customHeight="1">
      <c r="A44" s="105"/>
      <c r="B44" s="281" t="str">
        <f>B9</f>
        <v>기업 #019</v>
      </c>
      <c r="C44" s="282" t="s">
        <v>1701</v>
      </c>
      <c r="D44" s="282" t="s">
        <v>115</v>
      </c>
      <c r="E44" s="283">
        <v>1.0E7</v>
      </c>
      <c r="F44" s="284"/>
      <c r="G44" s="313" t="s">
        <v>945</v>
      </c>
      <c r="H44" s="286" t="s">
        <v>945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hidden="1" customHeight="1">
      <c r="A45" s="105"/>
      <c r="B45" s="281" t="str">
        <f>B9</f>
        <v>기업 #019</v>
      </c>
      <c r="C45" s="282" t="s">
        <v>1701</v>
      </c>
      <c r="D45" s="282" t="s">
        <v>115</v>
      </c>
      <c r="E45" s="283">
        <v>1.0E7</v>
      </c>
      <c r="F45" s="325"/>
      <c r="G45" s="313" t="s">
        <v>945</v>
      </c>
      <c r="H45" s="286" t="s">
        <v>945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hidden="1" customHeight="1">
      <c r="A46" s="105"/>
      <c r="B46" s="281" t="str">
        <f>B9</f>
        <v>기업 #019</v>
      </c>
      <c r="C46" s="282" t="s">
        <v>1701</v>
      </c>
      <c r="D46" s="282" t="s">
        <v>115</v>
      </c>
      <c r="E46" s="283">
        <v>1.0E7</v>
      </c>
      <c r="F46" s="325"/>
      <c r="G46" s="313" t="s">
        <v>945</v>
      </c>
      <c r="H46" s="286" t="s">
        <v>945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hidden="1" customHeight="1">
      <c r="A47" s="105"/>
      <c r="B47" s="281" t="str">
        <f>B9</f>
        <v>기업 #019</v>
      </c>
      <c r="C47" s="282" t="s">
        <v>1701</v>
      </c>
      <c r="D47" s="282" t="s">
        <v>115</v>
      </c>
      <c r="E47" s="325">
        <v>250000.0</v>
      </c>
      <c r="F47" s="325"/>
      <c r="G47" s="313" t="s">
        <v>945</v>
      </c>
      <c r="H47" s="286" t="s">
        <v>945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hidden="1" customHeight="1">
      <c r="A48" s="105"/>
      <c r="B48" s="281" t="str">
        <f>B9</f>
        <v>기업 #019</v>
      </c>
      <c r="C48" s="323" t="s">
        <v>1702</v>
      </c>
      <c r="D48" s="323" t="s">
        <v>632</v>
      </c>
      <c r="E48" s="325"/>
      <c r="F48" s="325">
        <v>1000000.0</v>
      </c>
      <c r="G48" s="327" t="s">
        <v>1035</v>
      </c>
      <c r="H48" s="328" t="s">
        <v>556</v>
      </c>
      <c r="I48" s="107"/>
      <c r="J48" s="141"/>
      <c r="K48" s="141"/>
      <c r="L48" s="83"/>
      <c r="M48" s="84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hidden="1" customHeight="1">
      <c r="A49" s="105"/>
      <c r="B49" s="281" t="str">
        <f>B7</f>
        <v>하나 #304</v>
      </c>
      <c r="C49" s="323" t="s">
        <v>1702</v>
      </c>
      <c r="D49" s="323" t="s">
        <v>632</v>
      </c>
      <c r="E49" s="325">
        <v>1000000.0</v>
      </c>
      <c r="F49" s="325"/>
      <c r="G49" s="327" t="s">
        <v>1035</v>
      </c>
      <c r="H49" s="328" t="s">
        <v>556</v>
      </c>
      <c r="I49" s="107"/>
      <c r="J49" s="141"/>
      <c r="K49" s="141"/>
      <c r="L49" s="83"/>
      <c r="M49" s="84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hidden="1" customHeight="1">
      <c r="A50" s="105"/>
      <c r="B50" s="281" t="str">
        <f>B5</f>
        <v>신한 #672</v>
      </c>
      <c r="C50" s="323" t="s">
        <v>1703</v>
      </c>
      <c r="D50" s="323" t="s">
        <v>84</v>
      </c>
      <c r="E50" s="325">
        <v>1387.0</v>
      </c>
      <c r="F50" s="325"/>
      <c r="G50" s="327" t="s">
        <v>84</v>
      </c>
      <c r="H50" s="286" t="s">
        <v>75</v>
      </c>
      <c r="I50" s="107"/>
      <c r="J50" s="141"/>
      <c r="K50" s="141"/>
      <c r="L50" s="83"/>
      <c r="M50" s="84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hidden="1" customHeight="1">
      <c r="A51" s="105"/>
      <c r="B51" s="281" t="str">
        <f>B9</f>
        <v>기업 #019</v>
      </c>
      <c r="C51" s="323" t="s">
        <v>1704</v>
      </c>
      <c r="D51" s="323" t="s">
        <v>1622</v>
      </c>
      <c r="E51" s="325"/>
      <c r="F51" s="325">
        <v>8.6181201E7</v>
      </c>
      <c r="G51" s="313" t="s">
        <v>41</v>
      </c>
      <c r="H51" s="286" t="s">
        <v>41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hidden="1" customHeight="1">
      <c r="A52" s="105"/>
      <c r="B52" s="281" t="str">
        <f>B5</f>
        <v>신한 #672</v>
      </c>
      <c r="C52" s="323" t="s">
        <v>1704</v>
      </c>
      <c r="D52" s="323" t="s">
        <v>1633</v>
      </c>
      <c r="E52" s="325"/>
      <c r="F52" s="325">
        <v>2612156.0</v>
      </c>
      <c r="G52" s="327" t="s">
        <v>1633</v>
      </c>
      <c r="H52" s="286" t="s">
        <v>33</v>
      </c>
      <c r="I52" s="107"/>
      <c r="J52" s="141"/>
      <c r="K52" s="141"/>
      <c r="L52" s="83"/>
      <c r="M52" s="84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hidden="1" customHeight="1">
      <c r="A53" s="105"/>
      <c r="B53" s="281" t="str">
        <f>B7</f>
        <v>하나 #304</v>
      </c>
      <c r="C53" s="323" t="s">
        <v>1704</v>
      </c>
      <c r="D53" s="282" t="s">
        <v>721</v>
      </c>
      <c r="E53" s="283"/>
      <c r="F53" s="283">
        <v>4343128.0</v>
      </c>
      <c r="G53" s="313" t="s">
        <v>721</v>
      </c>
      <c r="H53" s="286" t="s">
        <v>33</v>
      </c>
      <c r="I53" s="107"/>
      <c r="J53" s="141"/>
      <c r="K53" s="141"/>
      <c r="L53" s="83"/>
      <c r="M53" s="84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hidden="1" customHeight="1">
      <c r="A54" s="105"/>
      <c r="B54" s="281" t="str">
        <f>B9</f>
        <v>기업 #019</v>
      </c>
      <c r="C54" s="323" t="s">
        <v>1704</v>
      </c>
      <c r="D54" s="282" t="s">
        <v>1669</v>
      </c>
      <c r="E54" s="291"/>
      <c r="F54" s="283">
        <v>4367649.0</v>
      </c>
      <c r="G54" s="313" t="s">
        <v>1669</v>
      </c>
      <c r="H54" s="286" t="s">
        <v>33</v>
      </c>
      <c r="I54" s="107"/>
      <c r="J54" s="141"/>
      <c r="K54" s="141"/>
      <c r="L54" s="83"/>
      <c r="M54" s="84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hidden="1" customHeight="1">
      <c r="A55" s="105"/>
      <c r="B55" s="281" t="str">
        <f>B5</f>
        <v>신한 #672</v>
      </c>
      <c r="C55" s="323" t="s">
        <v>1704</v>
      </c>
      <c r="D55" s="282" t="s">
        <v>1202</v>
      </c>
      <c r="E55" s="326"/>
      <c r="F55" s="326">
        <v>110000.0</v>
      </c>
      <c r="G55" s="313" t="s">
        <v>1202</v>
      </c>
      <c r="H55" s="286" t="s">
        <v>33</v>
      </c>
      <c r="I55" s="107"/>
      <c r="J55" s="141"/>
      <c r="K55" s="141"/>
      <c r="L55" s="83"/>
      <c r="M55" s="84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hidden="1" customHeight="1">
      <c r="A56" s="105"/>
      <c r="B56" s="281" t="str">
        <f>B5</f>
        <v>신한 #672</v>
      </c>
      <c r="C56" s="323" t="s">
        <v>1704</v>
      </c>
      <c r="D56" s="282" t="s">
        <v>1495</v>
      </c>
      <c r="E56" s="283"/>
      <c r="F56" s="283">
        <v>98000.0</v>
      </c>
      <c r="G56" s="313" t="s">
        <v>1047</v>
      </c>
      <c r="H56" s="286" t="s">
        <v>4</v>
      </c>
      <c r="I56" s="107"/>
      <c r="J56" s="141"/>
      <c r="K56" s="141"/>
      <c r="L56" s="83"/>
      <c r="M56" s="84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hidden="1" customHeight="1">
      <c r="A57" s="105"/>
      <c r="B57" s="281" t="str">
        <f>B5</f>
        <v>신한 #672</v>
      </c>
      <c r="C57" s="323" t="s">
        <v>1704</v>
      </c>
      <c r="D57" s="282" t="s">
        <v>1496</v>
      </c>
      <c r="E57" s="283"/>
      <c r="F57" s="283">
        <v>37430.0</v>
      </c>
      <c r="G57" s="313" t="s">
        <v>1038</v>
      </c>
      <c r="H57" s="286" t="s">
        <v>4</v>
      </c>
      <c r="I57" s="107"/>
      <c r="J57" s="141"/>
      <c r="K57" s="141"/>
      <c r="L57" s="83"/>
      <c r="M57" s="84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hidden="1" customHeight="1">
      <c r="A58" s="105"/>
      <c r="B58" s="281" t="str">
        <f>B5</f>
        <v>신한 #672</v>
      </c>
      <c r="C58" s="323" t="s">
        <v>1704</v>
      </c>
      <c r="D58" s="282" t="s">
        <v>1496</v>
      </c>
      <c r="E58" s="283"/>
      <c r="F58" s="283">
        <v>37430.0</v>
      </c>
      <c r="G58" s="313" t="s">
        <v>1038</v>
      </c>
      <c r="H58" s="286" t="s">
        <v>4</v>
      </c>
      <c r="I58" s="107"/>
      <c r="J58" s="141"/>
      <c r="K58" s="141"/>
      <c r="L58" s="83"/>
      <c r="M58" s="84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hidden="1" customHeight="1">
      <c r="A59" s="105"/>
      <c r="B59" s="281" t="str">
        <f>B5</f>
        <v>신한 #672</v>
      </c>
      <c r="C59" s="323" t="s">
        <v>1704</v>
      </c>
      <c r="D59" s="282" t="s">
        <v>1496</v>
      </c>
      <c r="E59" s="291"/>
      <c r="F59" s="283">
        <v>20660.0</v>
      </c>
      <c r="G59" s="313" t="s">
        <v>1039</v>
      </c>
      <c r="H59" s="286" t="s">
        <v>4</v>
      </c>
      <c r="I59" s="107"/>
      <c r="J59" s="141"/>
      <c r="K59" s="141"/>
      <c r="L59" s="83"/>
      <c r="M59" s="84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hidden="1" customHeight="1">
      <c r="A60" s="105"/>
      <c r="B60" s="281" t="str">
        <f>B5</f>
        <v>신한 #672</v>
      </c>
      <c r="C60" s="323" t="s">
        <v>1704</v>
      </c>
      <c r="D60" s="282" t="s">
        <v>1496</v>
      </c>
      <c r="E60" s="283"/>
      <c r="F60" s="283">
        <v>50250.0</v>
      </c>
      <c r="G60" s="313" t="s">
        <v>1040</v>
      </c>
      <c r="H60" s="286" t="s">
        <v>4</v>
      </c>
      <c r="I60" s="107"/>
      <c r="J60" s="141"/>
      <c r="K60" s="141"/>
      <c r="L60" s="83"/>
      <c r="M60" s="84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hidden="1" customHeight="1">
      <c r="A61" s="105"/>
      <c r="B61" s="281" t="str">
        <f>B5</f>
        <v>신한 #672</v>
      </c>
      <c r="C61" s="323" t="s">
        <v>1704</v>
      </c>
      <c r="D61" s="282" t="s">
        <v>1496</v>
      </c>
      <c r="E61" s="326"/>
      <c r="F61" s="326">
        <v>20660.0</v>
      </c>
      <c r="G61" s="313" t="s">
        <v>1039</v>
      </c>
      <c r="H61" s="286" t="s">
        <v>4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hidden="1" customHeight="1">
      <c r="A62" s="105"/>
      <c r="B62" s="281" t="str">
        <f>B5</f>
        <v>신한 #672</v>
      </c>
      <c r="C62" s="323" t="s">
        <v>1704</v>
      </c>
      <c r="D62" s="282" t="s">
        <v>497</v>
      </c>
      <c r="E62" s="326"/>
      <c r="F62" s="326">
        <v>330000.0</v>
      </c>
      <c r="G62" s="313" t="s">
        <v>1042</v>
      </c>
      <c r="H62" s="286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hidden="1" customHeight="1">
      <c r="A63" s="105"/>
      <c r="B63" s="281" t="str">
        <f>B5</f>
        <v>신한 #672</v>
      </c>
      <c r="C63" s="323" t="s">
        <v>1704</v>
      </c>
      <c r="D63" s="282" t="s">
        <v>1497</v>
      </c>
      <c r="E63" s="283"/>
      <c r="F63" s="283">
        <v>55870.0</v>
      </c>
      <c r="G63" s="313" t="s">
        <v>1044</v>
      </c>
      <c r="H63" s="286" t="s">
        <v>4</v>
      </c>
      <c r="I63" s="107"/>
      <c r="J63" s="141"/>
      <c r="K63" s="138"/>
      <c r="L63" s="99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hidden="1" customHeight="1">
      <c r="A64" s="105"/>
      <c r="B64" s="281" t="str">
        <f>B7</f>
        <v>하나 #304</v>
      </c>
      <c r="C64" s="323" t="s">
        <v>1705</v>
      </c>
      <c r="D64" s="282" t="s">
        <v>1706</v>
      </c>
      <c r="E64" s="283">
        <v>1800000.0</v>
      </c>
      <c r="F64" s="283"/>
      <c r="G64" s="313" t="s">
        <v>1576</v>
      </c>
      <c r="H64" s="286" t="s">
        <v>1555</v>
      </c>
      <c r="I64" s="107"/>
      <c r="J64" s="141"/>
      <c r="K64" s="138"/>
      <c r="L64" s="99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">
        <v>746</v>
      </c>
      <c r="C65" s="323" t="s">
        <v>1707</v>
      </c>
      <c r="D65" s="282" t="s">
        <v>1708</v>
      </c>
      <c r="E65" s="291">
        <v>100003.62</v>
      </c>
      <c r="F65" s="283"/>
      <c r="G65" s="313" t="s">
        <v>1216</v>
      </c>
      <c r="H65" s="286" t="s">
        <v>1385</v>
      </c>
      <c r="I65" s="107"/>
      <c r="J65" s="141"/>
      <c r="K65" s="138"/>
      <c r="L65" s="99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350" t="s">
        <v>746</v>
      </c>
      <c r="C66" s="323" t="s">
        <v>1707</v>
      </c>
      <c r="D66" s="282" t="s">
        <v>828</v>
      </c>
      <c r="E66" s="283"/>
      <c r="F66" s="291">
        <v>7.42</v>
      </c>
      <c r="G66" s="313" t="s">
        <v>1119</v>
      </c>
      <c r="H66" s="286" t="s">
        <v>33</v>
      </c>
      <c r="I66" s="107"/>
      <c r="J66" s="141"/>
      <c r="K66" s="138"/>
      <c r="L66" s="99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350" t="s">
        <v>746</v>
      </c>
      <c r="C67" s="323" t="s">
        <v>1705</v>
      </c>
      <c r="D67" s="282" t="s">
        <v>1679</v>
      </c>
      <c r="E67" s="326"/>
      <c r="F67" s="291">
        <v>464.49</v>
      </c>
      <c r="G67" s="313" t="s">
        <v>1709</v>
      </c>
      <c r="H67" s="286" t="s">
        <v>33</v>
      </c>
      <c r="I67" s="107"/>
      <c r="J67" s="141"/>
      <c r="K67" s="138"/>
      <c r="L67" s="99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350" t="s">
        <v>746</v>
      </c>
      <c r="C68" s="323" t="s">
        <v>1705</v>
      </c>
      <c r="D68" s="282" t="s">
        <v>828</v>
      </c>
      <c r="E68" s="326"/>
      <c r="F68" s="291">
        <v>14.98</v>
      </c>
      <c r="G68" s="313" t="s">
        <v>1119</v>
      </c>
      <c r="H68" s="286" t="s">
        <v>33</v>
      </c>
      <c r="I68" s="107"/>
      <c r="J68" s="141"/>
      <c r="K68" s="138"/>
      <c r="L68" s="99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 t="s">
        <v>747</v>
      </c>
      <c r="C69" s="323" t="s">
        <v>1710</v>
      </c>
      <c r="D69" s="282" t="s">
        <v>828</v>
      </c>
      <c r="E69" s="283"/>
      <c r="F69" s="291">
        <v>10.0</v>
      </c>
      <c r="G69" s="313" t="s">
        <v>1079</v>
      </c>
      <c r="H69" s="286" t="s">
        <v>33</v>
      </c>
      <c r="I69" s="107"/>
      <c r="J69" s="141"/>
      <c r="K69" s="138"/>
      <c r="L69" s="99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">
        <v>747</v>
      </c>
      <c r="C70" s="323" t="s">
        <v>1711</v>
      </c>
      <c r="D70" s="282" t="s">
        <v>1712</v>
      </c>
      <c r="E70" s="291">
        <v>73.6</v>
      </c>
      <c r="F70" s="291"/>
      <c r="G70" s="313" t="s">
        <v>1713</v>
      </c>
      <c r="H70" s="286" t="s">
        <v>31</v>
      </c>
      <c r="I70" s="107"/>
      <c r="J70" s="141"/>
      <c r="K70" s="138"/>
      <c r="L70" s="99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hidden="1" customHeight="1">
      <c r="A71" s="105"/>
      <c r="B71" s="281" t="str">
        <f>B7</f>
        <v>하나 #304</v>
      </c>
      <c r="C71" s="323" t="s">
        <v>1714</v>
      </c>
      <c r="D71" s="323" t="s">
        <v>632</v>
      </c>
      <c r="E71" s="325"/>
      <c r="F71" s="325">
        <v>2000000.0</v>
      </c>
      <c r="G71" s="327" t="s">
        <v>1035</v>
      </c>
      <c r="H71" s="328" t="s">
        <v>556</v>
      </c>
      <c r="I71" s="141"/>
      <c r="J71" s="141"/>
      <c r="K71" s="138"/>
      <c r="L71" s="99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hidden="1" customHeight="1">
      <c r="A72" s="105"/>
      <c r="B72" s="281" t="str">
        <f>B7</f>
        <v>하나 #304</v>
      </c>
      <c r="C72" s="323" t="s">
        <v>1714</v>
      </c>
      <c r="D72" s="323" t="s">
        <v>1115</v>
      </c>
      <c r="E72" s="325"/>
      <c r="F72" s="325">
        <v>500.0</v>
      </c>
      <c r="G72" s="327" t="s">
        <v>1119</v>
      </c>
      <c r="H72" s="328" t="s">
        <v>33</v>
      </c>
      <c r="I72" s="141"/>
      <c r="J72" s="141"/>
      <c r="K72" s="138"/>
      <c r="L72" s="99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hidden="1" customHeight="1">
      <c r="A73" s="105"/>
      <c r="B73" s="281" t="str">
        <f>B9</f>
        <v>기업 #019</v>
      </c>
      <c r="C73" s="323" t="s">
        <v>1714</v>
      </c>
      <c r="D73" s="323" t="s">
        <v>632</v>
      </c>
      <c r="E73" s="325">
        <v>2000000.0</v>
      </c>
      <c r="F73" s="325"/>
      <c r="G73" s="327" t="s">
        <v>1035</v>
      </c>
      <c r="H73" s="328" t="s">
        <v>556</v>
      </c>
      <c r="I73" s="141"/>
      <c r="J73" s="141"/>
      <c r="K73" s="138"/>
      <c r="L73" s="99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hidden="1" customHeight="1">
      <c r="A74" s="105"/>
      <c r="B74" s="281" t="str">
        <f>B9</f>
        <v>기업 #019</v>
      </c>
      <c r="C74" s="323" t="s">
        <v>1714</v>
      </c>
      <c r="D74" s="323" t="s">
        <v>1715</v>
      </c>
      <c r="E74" s="325"/>
      <c r="F74" s="325">
        <v>707280.0</v>
      </c>
      <c r="G74" s="313" t="s">
        <v>1716</v>
      </c>
      <c r="H74" s="286" t="s">
        <v>33</v>
      </c>
      <c r="I74" s="141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hidden="1" customHeight="1">
      <c r="A75" s="105"/>
      <c r="B75" s="281" t="str">
        <f>B9</f>
        <v>기업 #019</v>
      </c>
      <c r="C75" s="323" t="s">
        <v>1714</v>
      </c>
      <c r="D75" s="323" t="s">
        <v>119</v>
      </c>
      <c r="E75" s="325"/>
      <c r="F75" s="325">
        <v>2600000.0</v>
      </c>
      <c r="G75" s="327" t="s">
        <v>1717</v>
      </c>
      <c r="H75" s="328" t="s">
        <v>24</v>
      </c>
      <c r="I75" s="141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B13</f>
        <v>WISE SGD</v>
      </c>
      <c r="C76" s="323" t="s">
        <v>1704</v>
      </c>
      <c r="D76" s="323" t="s">
        <v>1718</v>
      </c>
      <c r="E76" s="326"/>
      <c r="F76" s="326">
        <v>80.0</v>
      </c>
      <c r="G76" s="327" t="s">
        <v>1719</v>
      </c>
      <c r="H76" s="286" t="s">
        <v>33</v>
      </c>
      <c r="I76" s="141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hidden="1" customHeight="1">
      <c r="A77" s="105"/>
      <c r="B77" s="281" t="str">
        <f>B5</f>
        <v>신한 #672</v>
      </c>
      <c r="C77" s="323" t="s">
        <v>1714</v>
      </c>
      <c r="D77" s="282" t="s">
        <v>920</v>
      </c>
      <c r="E77" s="291"/>
      <c r="F77" s="326">
        <v>77000.0</v>
      </c>
      <c r="G77" s="327" t="s">
        <v>1006</v>
      </c>
      <c r="H77" s="328" t="s">
        <v>33</v>
      </c>
      <c r="I77" s="141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350" t="s">
        <v>747</v>
      </c>
      <c r="C78" s="323" t="s">
        <v>1720</v>
      </c>
      <c r="D78" s="323" t="s">
        <v>828</v>
      </c>
      <c r="E78" s="325"/>
      <c r="F78" s="325">
        <v>15.0</v>
      </c>
      <c r="G78" s="313" t="s">
        <v>1079</v>
      </c>
      <c r="H78" s="286" t="s">
        <v>33</v>
      </c>
      <c r="I78" s="141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hidden="1" customHeight="1">
      <c r="A79" s="105"/>
      <c r="B79" s="281"/>
      <c r="C79" s="323"/>
      <c r="D79" s="323"/>
      <c r="E79" s="337"/>
      <c r="F79" s="337"/>
      <c r="G79" s="327"/>
      <c r="H79" s="328"/>
      <c r="I79" s="141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hidden="1" customHeight="1">
      <c r="A80" s="105"/>
      <c r="B80" s="281"/>
      <c r="C80" s="323"/>
      <c r="D80" s="282"/>
      <c r="E80" s="326"/>
      <c r="F80" s="337"/>
      <c r="G80" s="313"/>
      <c r="H80" s="286"/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hidden="1" customHeight="1">
      <c r="A81" s="105"/>
      <c r="B81" s="281"/>
      <c r="C81" s="323"/>
      <c r="D81" s="323"/>
      <c r="E81" s="326"/>
      <c r="F81" s="337"/>
      <c r="G81" s="327"/>
      <c r="H81" s="286"/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hidden="1" customHeight="1">
      <c r="A82" s="105"/>
      <c r="B82" s="281"/>
      <c r="C82" s="323"/>
      <c r="D82" s="323"/>
      <c r="E82" s="326"/>
      <c r="F82" s="337"/>
      <c r="G82" s="327"/>
      <c r="H82" s="286"/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hidden="1" customHeight="1">
      <c r="A83" s="105"/>
      <c r="B83" s="281"/>
      <c r="C83" s="282"/>
      <c r="D83" s="323"/>
      <c r="E83" s="325"/>
      <c r="F83" s="325"/>
      <c r="G83" s="327"/>
      <c r="H83" s="328"/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hidden="1" customHeight="1">
      <c r="A84" s="105"/>
      <c r="B84" s="281"/>
      <c r="C84" s="282"/>
      <c r="D84" s="323"/>
      <c r="E84" s="325"/>
      <c r="F84" s="325"/>
      <c r="G84" s="327"/>
      <c r="H84" s="328"/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hidden="1" customHeight="1">
      <c r="A85" s="105"/>
      <c r="B85" s="281"/>
      <c r="C85" s="282"/>
      <c r="D85" s="323"/>
      <c r="E85" s="325"/>
      <c r="F85" s="325"/>
      <c r="G85" s="327"/>
      <c r="H85" s="328"/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hidden="1" customHeight="1">
      <c r="A86" s="105"/>
      <c r="B86" s="281"/>
      <c r="C86" s="282"/>
      <c r="D86" s="323"/>
      <c r="E86" s="291"/>
      <c r="F86" s="325"/>
      <c r="G86" s="327"/>
      <c r="H86" s="286"/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hidden="1" customHeight="1">
      <c r="A87" s="105"/>
      <c r="B87" s="281"/>
      <c r="C87" s="282"/>
      <c r="D87" s="282"/>
      <c r="E87" s="291"/>
      <c r="F87" s="284"/>
      <c r="G87" s="313"/>
      <c r="H87" s="286"/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hidden="1" customHeight="1">
      <c r="A88" s="105"/>
      <c r="B88" s="281"/>
      <c r="C88" s="282"/>
      <c r="D88" s="282"/>
      <c r="E88" s="291"/>
      <c r="F88" s="284"/>
      <c r="G88" s="313"/>
      <c r="H88" s="286"/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hidden="1" customHeight="1">
      <c r="A89" s="105"/>
      <c r="B89" s="281"/>
      <c r="C89" s="282"/>
      <c r="D89" s="282"/>
      <c r="E89" s="291"/>
      <c r="F89" s="284"/>
      <c r="G89" s="313"/>
      <c r="H89" s="286"/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hidden="1" customHeight="1">
      <c r="A90" s="105"/>
      <c r="B90" s="281"/>
      <c r="C90" s="282"/>
      <c r="D90" s="282"/>
      <c r="E90" s="291"/>
      <c r="F90" s="284"/>
      <c r="G90" s="313"/>
      <c r="H90" s="286"/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hidden="1" customHeight="1">
      <c r="A91" s="105"/>
      <c r="B91" s="281"/>
      <c r="C91" s="282"/>
      <c r="D91" s="282"/>
      <c r="E91" s="291"/>
      <c r="F91" s="284"/>
      <c r="G91" s="313"/>
      <c r="H91" s="286"/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hidden="1" customHeight="1">
      <c r="A92" s="105"/>
      <c r="B92" s="281"/>
      <c r="C92" s="282"/>
      <c r="D92" s="282"/>
      <c r="E92" s="291"/>
      <c r="F92" s="284"/>
      <c r="G92" s="313"/>
      <c r="H92" s="286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hidden="1" customHeight="1">
      <c r="A93" s="105"/>
      <c r="B93" s="281"/>
      <c r="C93" s="282"/>
      <c r="D93" s="282"/>
      <c r="E93" s="291"/>
      <c r="F93" s="284"/>
      <c r="G93" s="313"/>
      <c r="H93" s="286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hidden="1" customHeight="1">
      <c r="A94" s="105"/>
      <c r="B94" s="281"/>
      <c r="C94" s="282"/>
      <c r="D94" s="282"/>
      <c r="E94" s="291"/>
      <c r="F94" s="284"/>
      <c r="G94" s="313"/>
      <c r="H94" s="286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hidden="1" customHeight="1">
      <c r="A95" s="105"/>
      <c r="B95" s="281"/>
      <c r="C95" s="282"/>
      <c r="D95" s="282"/>
      <c r="E95" s="283"/>
      <c r="F95" s="283"/>
      <c r="G95" s="313"/>
      <c r="H95" s="286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hidden="1" customHeight="1">
      <c r="A96" s="105"/>
      <c r="B96" s="281"/>
      <c r="C96" s="282"/>
      <c r="D96" s="282"/>
      <c r="E96" s="283"/>
      <c r="F96" s="283"/>
      <c r="G96" s="313"/>
      <c r="H96" s="286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hidden="1" customHeight="1">
      <c r="A97" s="105"/>
      <c r="B97" s="281"/>
      <c r="C97" s="282"/>
      <c r="D97" s="282"/>
      <c r="E97" s="283"/>
      <c r="F97" s="283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hidden="1" customHeight="1">
      <c r="A98" s="105"/>
      <c r="B98" s="281"/>
      <c r="C98" s="282"/>
      <c r="D98" s="282"/>
      <c r="E98" s="291"/>
      <c r="F98" s="283"/>
      <c r="G98" s="313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hidden="1" customHeight="1">
      <c r="A99" s="105"/>
      <c r="B99" s="281"/>
      <c r="C99" s="282"/>
      <c r="D99" s="282"/>
      <c r="E99" s="283"/>
      <c r="F99" s="283"/>
      <c r="G99" s="313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hidden="1" customHeight="1">
      <c r="A100" s="105"/>
      <c r="B100" s="281"/>
      <c r="C100" s="282"/>
      <c r="D100" s="282"/>
      <c r="E100" s="326"/>
      <c r="F100" s="326"/>
      <c r="G100" s="313"/>
      <c r="H100" s="286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hidden="1" customHeight="1">
      <c r="A101" s="105"/>
      <c r="B101" s="281"/>
      <c r="C101" s="282"/>
      <c r="D101" s="282"/>
      <c r="E101" s="326"/>
      <c r="F101" s="326"/>
      <c r="G101" s="313"/>
      <c r="H101" s="286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hidden="1" customHeight="1">
      <c r="A102" s="105"/>
      <c r="B102" s="281"/>
      <c r="C102" s="282"/>
      <c r="D102" s="282"/>
      <c r="E102" s="283"/>
      <c r="F102" s="283"/>
      <c r="G102" s="313"/>
      <c r="H102" s="286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hidden="1" customHeight="1">
      <c r="A103" s="105"/>
      <c r="B103" s="281"/>
      <c r="C103" s="282"/>
      <c r="D103" s="282"/>
      <c r="E103" s="291"/>
      <c r="F103" s="284"/>
      <c r="G103" s="313"/>
      <c r="H103" s="286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hidden="1" customHeight="1">
      <c r="A104" s="105"/>
      <c r="B104" s="281"/>
      <c r="C104" s="282"/>
      <c r="D104" s="323"/>
      <c r="E104" s="325"/>
      <c r="F104" s="325"/>
      <c r="G104" s="327"/>
      <c r="H104" s="328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hidden="1" customHeight="1">
      <c r="A105" s="105"/>
      <c r="B105" s="281"/>
      <c r="C105" s="282"/>
      <c r="D105" s="323"/>
      <c r="E105" s="325"/>
      <c r="F105" s="325"/>
      <c r="G105" s="327"/>
      <c r="H105" s="328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hidden="1" customHeight="1">
      <c r="A106" s="105"/>
      <c r="B106" s="281"/>
      <c r="C106" s="282"/>
      <c r="D106" s="323"/>
      <c r="E106" s="326"/>
      <c r="F106" s="326"/>
      <c r="G106" s="327"/>
      <c r="H106" s="328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hidden="1" customHeight="1">
      <c r="A107" s="105"/>
      <c r="B107" s="281"/>
      <c r="C107" s="282"/>
      <c r="D107" s="323"/>
      <c r="E107" s="325"/>
      <c r="F107" s="326"/>
      <c r="G107" s="313"/>
      <c r="H107" s="286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hidden="1" customHeight="1">
      <c r="A108" s="105"/>
      <c r="B108" s="281"/>
      <c r="C108" s="282"/>
      <c r="D108" s="323"/>
      <c r="E108" s="291"/>
      <c r="F108" s="371"/>
      <c r="G108" s="327"/>
      <c r="H108" s="328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hidden="1" customHeight="1">
      <c r="A109" s="105"/>
      <c r="B109" s="281"/>
      <c r="C109" s="282"/>
      <c r="D109" s="282"/>
      <c r="E109" s="291"/>
      <c r="F109" s="326"/>
      <c r="G109" s="327"/>
      <c r="H109" s="328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hidden="1" customHeight="1">
      <c r="A110" s="105"/>
      <c r="B110" s="281"/>
      <c r="C110" s="282"/>
      <c r="D110" s="282"/>
      <c r="E110" s="291"/>
      <c r="F110" s="292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hidden="1" customHeight="1">
      <c r="A111" s="105"/>
      <c r="B111" s="281"/>
      <c r="C111" s="282"/>
      <c r="D111" s="282"/>
      <c r="E111" s="291"/>
      <c r="F111" s="292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hidden="1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hidden="1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hidden="1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hidden="1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hidden="1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hidden="1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hidden="1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hidden="1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hidden="1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hidden="1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hidden="1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hidden="1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hidden="1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hidden="1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hidden="1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hidden="1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hidden="1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hidden="1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hidden="1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hidden="1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hidden="1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hidden="1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hidden="1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hidden="1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hidden="1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hidden="1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hidden="1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hidden="1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hidden="1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hidden="1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hidden="1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hidden="1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hidden="1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hidden="1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hidden="1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hidden="1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hidden="1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hidden="1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hidden="1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hidden="1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hidden="1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hidden="1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hidden="1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hidden="1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hidden="1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hidden="1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hidden="1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hidden="1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hidden="1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hidden="1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hidden="1" customHeight="1">
      <c r="A162" s="105"/>
      <c r="B162" s="281"/>
      <c r="C162" s="282"/>
      <c r="D162" s="282"/>
      <c r="E162" s="291"/>
      <c r="F162" s="292"/>
      <c r="G162" s="313"/>
      <c r="H162" s="286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</sheetData>
  <autoFilter ref="$B$24:$H$162">
    <filterColumn colId="0">
      <filters>
        <filter val="WISE USD"/>
        <filter val="OCBC USD"/>
        <filter val="OCBC SGD"/>
        <filter val="WISE SGD"/>
      </filters>
    </filterColumn>
    <sortState ref="B24:H162">
      <sortCondition ref="B24:B162"/>
    </sortState>
  </autoFilter>
  <customSheetViews>
    <customSheetView guid="{CD2BF927-9D79-47FC-BBA8-927062D6B3F5}" filter="1" showAutoFilter="1">
      <autoFilter ref="$B$24:$H$162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62">
      <formula1>$L:$L</formula1>
    </dataValidation>
  </dataValidations>
  <hyperlinks>
    <hyperlink r:id="rId1" ref="I3"/>
    <hyperlink r:id="rId2" ref="I4"/>
    <hyperlink r:id="rId3" ref="D43"/>
  </hyperlinks>
  <printOptions/>
  <pageMargins bottom="0.75" footer="0.0" header="0.0" left="0.25" right="0.25" top="0.75"/>
  <pageSetup fitToHeight="0" paperSize="9" orientation="portrait"/>
  <drawing r:id="rId4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3.14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1721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'24.03월'!G5</f>
        <v>1274897</v>
      </c>
      <c r="E5" s="355">
        <f t="shared" ref="E5:E16" si="1">sumif($B$25:$B$131,B5,$E$25:$E$131)</f>
        <v>53004360</v>
      </c>
      <c r="F5" s="356">
        <f t="shared" ref="F5:F16" si="2">sumif($B$25:$B$131,B5,$F$25:$F$131)</f>
        <v>29396307</v>
      </c>
      <c r="G5" s="229">
        <f t="shared" ref="G5:G16" si="3">D5+E5-F5</f>
        <v>24882950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'24.03월'!G6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376">
        <f>'24.03월'!G7</f>
        <v>366090</v>
      </c>
      <c r="E7" s="359">
        <f t="shared" si="1"/>
        <v>270316965</v>
      </c>
      <c r="F7" s="360">
        <f t="shared" si="2"/>
        <v>269725890</v>
      </c>
      <c r="G7" s="239">
        <f t="shared" si="3"/>
        <v>957165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'24.03월'!G8</f>
        <v>3.35</v>
      </c>
      <c r="E8" s="361">
        <f t="shared" si="1"/>
        <v>199990</v>
      </c>
      <c r="F8" s="358">
        <f t="shared" si="2"/>
        <v>199993.35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76">
        <f>'24.03월'!G9</f>
        <v>712114</v>
      </c>
      <c r="E9" s="359">
        <f t="shared" si="1"/>
        <v>244856555</v>
      </c>
      <c r="F9" s="360">
        <f t="shared" si="2"/>
        <v>216394638</v>
      </c>
      <c r="G9" s="239">
        <f t="shared" si="3"/>
        <v>29174031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232">
        <f>'24.03월'!G10</f>
        <v>0</v>
      </c>
      <c r="E10" s="359">
        <f t="shared" si="1"/>
        <v>0</v>
      </c>
      <c r="F10" s="360">
        <f t="shared" si="2"/>
        <v>0</v>
      </c>
      <c r="G10" s="239">
        <f t="shared" si="3"/>
        <v>0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'24.03월'!G11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'24.03월'!G12</f>
        <v>230.8</v>
      </c>
      <c r="E12" s="361">
        <f t="shared" si="1"/>
        <v>99995.86</v>
      </c>
      <c r="F12" s="362">
        <f t="shared" si="2"/>
        <v>15198.98</v>
      </c>
      <c r="G12" s="329">
        <f t="shared" si="3"/>
        <v>85027.68</v>
      </c>
      <c r="H12" s="125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'24.03월'!G13</f>
        <v>25.4</v>
      </c>
      <c r="E13" s="363">
        <f t="shared" si="1"/>
        <v>1000</v>
      </c>
      <c r="F13" s="364">
        <f t="shared" si="2"/>
        <v>1025.4</v>
      </c>
      <c r="G13" s="320">
        <f t="shared" si="3"/>
        <v>0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76">
        <f>'24.03월'!G14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'24.03월'!G15</f>
        <v>450708.02</v>
      </c>
      <c r="E15" s="361">
        <f t="shared" si="1"/>
        <v>0</v>
      </c>
      <c r="F15" s="358">
        <f t="shared" si="2"/>
        <v>311212.9</v>
      </c>
      <c r="G15" s="235">
        <f t="shared" si="3"/>
        <v>139495.12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232">
        <f>'24.03월'!G16</f>
        <v>308.19</v>
      </c>
      <c r="E16" s="366">
        <f t="shared" si="1"/>
        <v>0</v>
      </c>
      <c r="F16" s="367">
        <f t="shared" si="2"/>
        <v>10</v>
      </c>
      <c r="G16" s="310">
        <f t="shared" si="3"/>
        <v>298.19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2353101</v>
      </c>
      <c r="E18" s="262">
        <f t="shared" si="4"/>
        <v>568177880</v>
      </c>
      <c r="F18" s="263">
        <f t="shared" si="4"/>
        <v>515516835</v>
      </c>
      <c r="G18" s="345">
        <f t="shared" si="4"/>
        <v>55014146</v>
      </c>
      <c r="H18" s="353">
        <f>G18</f>
        <v>55014146</v>
      </c>
      <c r="I18" s="353">
        <f>D18</f>
        <v>2353101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</f>
        <v>450944.48</v>
      </c>
      <c r="E19" s="269">
        <f t="shared" si="5"/>
        <v>299985.86</v>
      </c>
      <c r="F19" s="270">
        <f t="shared" si="5"/>
        <v>526405.23</v>
      </c>
      <c r="G19" s="346">
        <f t="shared" si="5"/>
        <v>224525.11</v>
      </c>
      <c r="H19" s="265">
        <f>rounddown(G19*$J$3,0)</f>
        <v>330663742</v>
      </c>
      <c r="I19" s="265">
        <f>rounddown(D19*$J$3,0)</f>
        <v>664117209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333.59</v>
      </c>
      <c r="E20" s="274">
        <f t="shared" si="6"/>
        <v>1000</v>
      </c>
      <c r="F20" s="275">
        <f t="shared" si="6"/>
        <v>1035.4</v>
      </c>
      <c r="G20" s="347">
        <f t="shared" si="6"/>
        <v>298.19</v>
      </c>
      <c r="H20" s="277">
        <f>rounddown(G20*$J$4,0)</f>
        <v>341095</v>
      </c>
      <c r="I20" s="277">
        <f>rounddown(D20*$J$4,0)</f>
        <v>381588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386018983</v>
      </c>
      <c r="I21" s="279">
        <f t="shared" si="7"/>
        <v>666851898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-280832915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B15</f>
        <v>OCBC USD</v>
      </c>
      <c r="C25" s="323" t="s">
        <v>1722</v>
      </c>
      <c r="D25" s="323" t="s">
        <v>740</v>
      </c>
      <c r="E25" s="325"/>
      <c r="F25" s="337">
        <v>11063.45</v>
      </c>
      <c r="G25" s="327" t="s">
        <v>1723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B15</f>
        <v>OCBC USD</v>
      </c>
      <c r="C26" s="323" t="s">
        <v>1722</v>
      </c>
      <c r="D26" s="323" t="s">
        <v>1724</v>
      </c>
      <c r="E26" s="325"/>
      <c r="F26" s="337">
        <f>15+22.41</f>
        <v>37.41</v>
      </c>
      <c r="G26" s="327" t="s">
        <v>1119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>B15</f>
        <v>OCBC USD</v>
      </c>
      <c r="C27" s="323" t="s">
        <v>1722</v>
      </c>
      <c r="D27" s="323" t="s">
        <v>1725</v>
      </c>
      <c r="E27" s="325"/>
      <c r="F27" s="337">
        <v>100000.0</v>
      </c>
      <c r="G27" s="327" t="s">
        <v>1035</v>
      </c>
      <c r="H27" s="328" t="s">
        <v>556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B15</f>
        <v>OCBC USD</v>
      </c>
      <c r="C28" s="323" t="s">
        <v>1722</v>
      </c>
      <c r="D28" s="323" t="s">
        <v>1724</v>
      </c>
      <c r="E28" s="325"/>
      <c r="F28" s="337">
        <f>15+22.41</f>
        <v>37.41</v>
      </c>
      <c r="G28" s="327" t="s">
        <v>1119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B15</f>
        <v>OCBC USD</v>
      </c>
      <c r="C29" s="323" t="s">
        <v>1722</v>
      </c>
      <c r="D29" s="323" t="s">
        <v>1725</v>
      </c>
      <c r="E29" s="325"/>
      <c r="F29" s="337">
        <v>100000.0</v>
      </c>
      <c r="G29" s="327" t="s">
        <v>1035</v>
      </c>
      <c r="H29" s="328" t="s">
        <v>556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B15</f>
        <v>OCBC USD</v>
      </c>
      <c r="C30" s="323" t="s">
        <v>1722</v>
      </c>
      <c r="D30" s="323" t="s">
        <v>1724</v>
      </c>
      <c r="E30" s="337"/>
      <c r="F30" s="337">
        <f>15+22.41</f>
        <v>37.41</v>
      </c>
      <c r="G30" s="327" t="s">
        <v>1119</v>
      </c>
      <c r="H30" s="328" t="s">
        <v>33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B12</f>
        <v>WISE USD</v>
      </c>
      <c r="C31" s="323" t="s">
        <v>1722</v>
      </c>
      <c r="D31" s="323" t="s">
        <v>1725</v>
      </c>
      <c r="E31" s="337">
        <v>99995.86</v>
      </c>
      <c r="F31" s="325"/>
      <c r="G31" s="327" t="s">
        <v>1035</v>
      </c>
      <c r="H31" s="328" t="s">
        <v>556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B8</f>
        <v>하나 #138</v>
      </c>
      <c r="C32" s="323" t="s">
        <v>1727</v>
      </c>
      <c r="D32" s="323" t="s">
        <v>1725</v>
      </c>
      <c r="E32" s="337">
        <v>99995.0</v>
      </c>
      <c r="F32" s="337"/>
      <c r="G32" s="327" t="s">
        <v>1035</v>
      </c>
      <c r="H32" s="328" t="s">
        <v>556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B8</f>
        <v>하나 #138</v>
      </c>
      <c r="C33" s="323" t="s">
        <v>1728</v>
      </c>
      <c r="D33" s="323" t="s">
        <v>632</v>
      </c>
      <c r="E33" s="337"/>
      <c r="F33" s="337">
        <v>99998.35</v>
      </c>
      <c r="G33" s="327" t="s">
        <v>679</v>
      </c>
      <c r="H33" s="328" t="s">
        <v>556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B7</f>
        <v>하나 #304</v>
      </c>
      <c r="C34" s="323" t="s">
        <v>1728</v>
      </c>
      <c r="D34" s="323" t="s">
        <v>632</v>
      </c>
      <c r="E34" s="325">
        <v>1.33789792E8</v>
      </c>
      <c r="F34" s="325"/>
      <c r="G34" s="327" t="s">
        <v>679</v>
      </c>
      <c r="H34" s="328" t="s">
        <v>556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323" t="s">
        <v>1728</v>
      </c>
      <c r="D35" s="323" t="s">
        <v>632</v>
      </c>
      <c r="E35" s="325"/>
      <c r="F35" s="325">
        <v>1.2485E8</v>
      </c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B7</f>
        <v>하나 #304</v>
      </c>
      <c r="C36" s="323" t="s">
        <v>1728</v>
      </c>
      <c r="D36" s="323" t="s">
        <v>1115</v>
      </c>
      <c r="E36" s="325"/>
      <c r="F36" s="325">
        <v>500.0</v>
      </c>
      <c r="G36" s="327" t="s">
        <v>1305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기업 #019</v>
      </c>
      <c r="C37" s="323" t="s">
        <v>1728</v>
      </c>
      <c r="D37" s="323" t="s">
        <v>632</v>
      </c>
      <c r="E37" s="325">
        <v>1.2485E8</v>
      </c>
      <c r="F37" s="325"/>
      <c r="G37" s="327" t="s">
        <v>1035</v>
      </c>
      <c r="H37" s="328" t="s">
        <v>556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323" t="s">
        <v>1728</v>
      </c>
      <c r="D38" s="323" t="s">
        <v>632</v>
      </c>
      <c r="E38" s="325">
        <v>5000000.0</v>
      </c>
      <c r="F38" s="325"/>
      <c r="G38" s="327" t="s">
        <v>1035</v>
      </c>
      <c r="H38" s="328" t="s">
        <v>556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1728</v>
      </c>
      <c r="D39" s="323" t="s">
        <v>1633</v>
      </c>
      <c r="E39" s="325"/>
      <c r="F39" s="325">
        <v>3689320.0</v>
      </c>
      <c r="G39" s="327" t="s">
        <v>1729</v>
      </c>
      <c r="H39" s="328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B9</f>
        <v>기업 #019</v>
      </c>
      <c r="C40" s="323" t="s">
        <v>1728</v>
      </c>
      <c r="D40" s="323" t="s">
        <v>789</v>
      </c>
      <c r="E40" s="326"/>
      <c r="F40" s="325">
        <v>6229850.0</v>
      </c>
      <c r="G40" s="327" t="s">
        <v>1730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B9</f>
        <v>기업 #019</v>
      </c>
      <c r="C41" s="323" t="s">
        <v>1728</v>
      </c>
      <c r="D41" s="323" t="s">
        <v>1230</v>
      </c>
      <c r="E41" s="337"/>
      <c r="F41" s="325">
        <v>825000.0</v>
      </c>
      <c r="G41" s="327" t="s">
        <v>1731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기업 #019</v>
      </c>
      <c r="C42" s="323" t="s">
        <v>1728</v>
      </c>
      <c r="D42" s="323" t="s">
        <v>1552</v>
      </c>
      <c r="E42" s="325"/>
      <c r="F42" s="325">
        <v>196200.0</v>
      </c>
      <c r="G42" s="327" t="s">
        <v>1732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기업 #019</v>
      </c>
      <c r="C43" s="323" t="s">
        <v>1728</v>
      </c>
      <c r="D43" s="323" t="s">
        <v>1733</v>
      </c>
      <c r="E43" s="326"/>
      <c r="F43" s="325">
        <v>419781.0</v>
      </c>
      <c r="G43" s="327" t="s">
        <v>1734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B9</f>
        <v>기업 #019</v>
      </c>
      <c r="C44" s="323" t="s">
        <v>1728</v>
      </c>
      <c r="D44" s="323" t="s">
        <v>1368</v>
      </c>
      <c r="E44" s="326"/>
      <c r="F44" s="325">
        <v>6023000.0</v>
      </c>
      <c r="G44" s="327" t="s">
        <v>1735</v>
      </c>
      <c r="H44" s="328" t="s">
        <v>16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기업 #019</v>
      </c>
      <c r="C45" s="323" t="s">
        <v>1728</v>
      </c>
      <c r="D45" s="323" t="s">
        <v>1736</v>
      </c>
      <c r="E45" s="325"/>
      <c r="F45" s="325">
        <v>396000.0</v>
      </c>
      <c r="G45" s="327" t="s">
        <v>1737</v>
      </c>
      <c r="H45" s="328" t="s">
        <v>33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기업 #019</v>
      </c>
      <c r="C46" s="323" t="s">
        <v>1728</v>
      </c>
      <c r="D46" s="323" t="s">
        <v>632</v>
      </c>
      <c r="E46" s="325"/>
      <c r="F46" s="325">
        <v>5000000.0</v>
      </c>
      <c r="G46" s="327" t="s">
        <v>1035</v>
      </c>
      <c r="H46" s="328" t="s">
        <v>556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B12</f>
        <v>WISE USD</v>
      </c>
      <c r="C47" s="323" t="s">
        <v>1738</v>
      </c>
      <c r="D47" s="323" t="s">
        <v>1739</v>
      </c>
      <c r="E47" s="325"/>
      <c r="F47" s="337">
        <v>13592.62</v>
      </c>
      <c r="G47" s="327" t="s">
        <v>1740</v>
      </c>
      <c r="H47" s="328" t="s">
        <v>4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B5</f>
        <v>신한 #672</v>
      </c>
      <c r="C48" s="323" t="s">
        <v>1154</v>
      </c>
      <c r="D48" s="323" t="s">
        <v>1741</v>
      </c>
      <c r="E48" s="325"/>
      <c r="F48" s="325">
        <v>300000.0</v>
      </c>
      <c r="G48" s="327" t="s">
        <v>1741</v>
      </c>
      <c r="H48" s="328" t="s">
        <v>1640</v>
      </c>
      <c r="I48" s="107"/>
      <c r="J48" s="141"/>
      <c r="K48" s="141"/>
      <c r="L48" s="83"/>
      <c r="M48" s="84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>B5</f>
        <v>신한 #672</v>
      </c>
      <c r="C49" s="323" t="s">
        <v>1218</v>
      </c>
      <c r="D49" s="323" t="s">
        <v>1742</v>
      </c>
      <c r="E49" s="325"/>
      <c r="F49" s="325">
        <v>1512970.0</v>
      </c>
      <c r="G49" s="327" t="s">
        <v>1742</v>
      </c>
      <c r="H49" s="328" t="s">
        <v>31</v>
      </c>
      <c r="I49" s="107"/>
      <c r="J49" s="141"/>
      <c r="K49" s="141"/>
      <c r="L49" s="83"/>
      <c r="M49" s="84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B5</f>
        <v>신한 #672</v>
      </c>
      <c r="C50" s="323" t="s">
        <v>1218</v>
      </c>
      <c r="D50" s="323" t="s">
        <v>1743</v>
      </c>
      <c r="E50" s="325"/>
      <c r="F50" s="325">
        <v>544840.0</v>
      </c>
      <c r="G50" s="327" t="s">
        <v>1743</v>
      </c>
      <c r="H50" s="328" t="s">
        <v>31</v>
      </c>
      <c r="I50" s="107"/>
      <c r="J50" s="141"/>
      <c r="K50" s="141"/>
      <c r="L50" s="83"/>
      <c r="M50" s="84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B5</f>
        <v>신한 #672</v>
      </c>
      <c r="C51" s="323" t="s">
        <v>1218</v>
      </c>
      <c r="D51" s="323" t="s">
        <v>1744</v>
      </c>
      <c r="E51" s="325"/>
      <c r="F51" s="325">
        <v>227760.0</v>
      </c>
      <c r="G51" s="327" t="s">
        <v>1744</v>
      </c>
      <c r="H51" s="328" t="s">
        <v>31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B5</f>
        <v>신한 #672</v>
      </c>
      <c r="C52" s="323" t="s">
        <v>1745</v>
      </c>
      <c r="D52" s="323" t="s">
        <v>984</v>
      </c>
      <c r="E52" s="325">
        <v>3.0E7</v>
      </c>
      <c r="F52" s="325">
        <v>0.0</v>
      </c>
      <c r="G52" s="327" t="s">
        <v>1035</v>
      </c>
      <c r="H52" s="328" t="s">
        <v>556</v>
      </c>
      <c r="I52" s="107"/>
      <c r="J52" s="141"/>
      <c r="K52" s="141"/>
      <c r="L52" s="83"/>
      <c r="M52" s="84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B5</f>
        <v>신한 #672</v>
      </c>
      <c r="C53" s="323" t="s">
        <v>1745</v>
      </c>
      <c r="D53" s="323" t="s">
        <v>1744</v>
      </c>
      <c r="E53" s="325"/>
      <c r="F53" s="325">
        <v>6792080.0</v>
      </c>
      <c r="G53" s="327" t="s">
        <v>1744</v>
      </c>
      <c r="H53" s="328" t="s">
        <v>31</v>
      </c>
      <c r="I53" s="107"/>
      <c r="J53" s="141"/>
      <c r="K53" s="141"/>
      <c r="L53" s="83"/>
      <c r="M53" s="84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B5</f>
        <v>신한 #672</v>
      </c>
      <c r="C54" s="323" t="s">
        <v>1745</v>
      </c>
      <c r="D54" s="323" t="s">
        <v>1746</v>
      </c>
      <c r="E54" s="325"/>
      <c r="F54" s="325">
        <v>6953210.0</v>
      </c>
      <c r="G54" s="327" t="s">
        <v>1746</v>
      </c>
      <c r="H54" s="328" t="s">
        <v>31</v>
      </c>
      <c r="I54" s="107"/>
      <c r="J54" s="141"/>
      <c r="K54" s="141"/>
      <c r="L54" s="83"/>
      <c r="M54" s="84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B9</f>
        <v>기업 #019</v>
      </c>
      <c r="C55" s="323" t="s">
        <v>1745</v>
      </c>
      <c r="D55" s="323" t="s">
        <v>984</v>
      </c>
      <c r="E55" s="326"/>
      <c r="F55" s="325">
        <v>3.0E7</v>
      </c>
      <c r="G55" s="327" t="s">
        <v>1035</v>
      </c>
      <c r="H55" s="328" t="s">
        <v>556</v>
      </c>
      <c r="I55" s="107"/>
      <c r="J55" s="141"/>
      <c r="K55" s="141"/>
      <c r="L55" s="83"/>
      <c r="M55" s="84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">
        <v>18</v>
      </c>
      <c r="C56" s="323" t="s">
        <v>1747</v>
      </c>
      <c r="D56" s="323" t="s">
        <v>542</v>
      </c>
      <c r="E56" s="325"/>
      <c r="F56" s="337">
        <v>10.0</v>
      </c>
      <c r="G56" s="327" t="s">
        <v>1068</v>
      </c>
      <c r="H56" s="328" t="s">
        <v>33</v>
      </c>
      <c r="I56" s="107"/>
      <c r="J56" s="141"/>
      <c r="K56" s="141"/>
      <c r="L56" s="83"/>
      <c r="M56" s="84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">
        <v>18</v>
      </c>
      <c r="C57" s="323" t="s">
        <v>1747</v>
      </c>
      <c r="D57" s="323" t="s">
        <v>634</v>
      </c>
      <c r="E57" s="325"/>
      <c r="F57" s="337">
        <v>735.7</v>
      </c>
      <c r="G57" s="327" t="s">
        <v>1543</v>
      </c>
      <c r="H57" s="328" t="s">
        <v>556</v>
      </c>
      <c r="I57" s="107"/>
      <c r="J57" s="141"/>
      <c r="K57" s="141"/>
      <c r="L57" s="83"/>
      <c r="M57" s="84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">
        <v>22</v>
      </c>
      <c r="C58" s="323" t="s">
        <v>1747</v>
      </c>
      <c r="D58" s="323" t="s">
        <v>634</v>
      </c>
      <c r="E58" s="325">
        <v>1000.0</v>
      </c>
      <c r="F58" s="337"/>
      <c r="G58" s="327" t="s">
        <v>1543</v>
      </c>
      <c r="H58" s="328" t="s">
        <v>556</v>
      </c>
      <c r="I58" s="107"/>
      <c r="J58" s="141"/>
      <c r="K58" s="141"/>
      <c r="L58" s="83"/>
      <c r="M58" s="84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">
        <v>22</v>
      </c>
      <c r="C59" s="323" t="s">
        <v>1747</v>
      </c>
      <c r="D59" s="323" t="s">
        <v>1387</v>
      </c>
      <c r="E59" s="325"/>
      <c r="F59" s="337">
        <v>1000.0</v>
      </c>
      <c r="G59" s="327" t="s">
        <v>1675</v>
      </c>
      <c r="H59" s="328" t="s">
        <v>33</v>
      </c>
      <c r="I59" s="107"/>
      <c r="J59" s="141"/>
      <c r="K59" s="141"/>
      <c r="L59" s="83"/>
      <c r="M59" s="84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B5</f>
        <v>신한 #672</v>
      </c>
      <c r="C60" s="374" t="s">
        <v>1748</v>
      </c>
      <c r="D60" s="323" t="s">
        <v>1120</v>
      </c>
      <c r="E60" s="325"/>
      <c r="F60" s="325">
        <v>2000.0</v>
      </c>
      <c r="G60" s="327" t="s">
        <v>1749</v>
      </c>
      <c r="H60" s="328" t="s">
        <v>33</v>
      </c>
      <c r="I60" s="107"/>
      <c r="J60" s="141"/>
      <c r="K60" s="141"/>
      <c r="L60" s="83"/>
      <c r="M60" s="84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B5</f>
        <v>신한 #672</v>
      </c>
      <c r="C61" s="374" t="s">
        <v>1748</v>
      </c>
      <c r="D61" s="323" t="s">
        <v>1120</v>
      </c>
      <c r="E61" s="325"/>
      <c r="F61" s="325">
        <v>5000.0</v>
      </c>
      <c r="G61" s="327" t="s">
        <v>696</v>
      </c>
      <c r="H61" s="328" t="s">
        <v>33</v>
      </c>
      <c r="I61" s="107"/>
      <c r="J61" s="141"/>
      <c r="K61" s="141"/>
      <c r="L61" s="83"/>
      <c r="M61" s="84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B5</f>
        <v>신한 #672</v>
      </c>
      <c r="C62" s="374" t="s">
        <v>1748</v>
      </c>
      <c r="D62" s="323" t="s">
        <v>1265</v>
      </c>
      <c r="E62" s="325"/>
      <c r="F62" s="325">
        <v>200000.0</v>
      </c>
      <c r="G62" s="327" t="s">
        <v>1750</v>
      </c>
      <c r="H62" s="328" t="s">
        <v>1265</v>
      </c>
      <c r="I62" s="107"/>
      <c r="J62" s="141"/>
      <c r="K62" s="141"/>
      <c r="L62" s="83"/>
      <c r="M62" s="84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281" t="str">
        <f>B5</f>
        <v>신한 #672</v>
      </c>
      <c r="C63" s="374" t="s">
        <v>1751</v>
      </c>
      <c r="D63" s="323" t="s">
        <v>1633</v>
      </c>
      <c r="E63" s="325"/>
      <c r="F63" s="325">
        <v>1364000.0</v>
      </c>
      <c r="G63" s="327" t="s">
        <v>1729</v>
      </c>
      <c r="H63" s="328" t="s">
        <v>33</v>
      </c>
      <c r="I63" s="107"/>
      <c r="J63" s="141"/>
      <c r="K63" s="141"/>
      <c r="L63" s="83"/>
      <c r="M63" s="84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281" t="str">
        <f>B5</f>
        <v>신한 #672</v>
      </c>
      <c r="C64" s="374" t="s">
        <v>1751</v>
      </c>
      <c r="D64" s="323" t="s">
        <v>1633</v>
      </c>
      <c r="E64" s="325"/>
      <c r="F64" s="325">
        <v>1571262.0</v>
      </c>
      <c r="G64" s="327" t="s">
        <v>1729</v>
      </c>
      <c r="H64" s="328" t="s">
        <v>33</v>
      </c>
      <c r="I64" s="107"/>
      <c r="J64" s="141"/>
      <c r="K64" s="141"/>
      <c r="L64" s="83"/>
      <c r="M64" s="84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>B5</f>
        <v>신한 #672</v>
      </c>
      <c r="C65" s="374" t="s">
        <v>1752</v>
      </c>
      <c r="D65" s="323" t="s">
        <v>1008</v>
      </c>
      <c r="E65" s="326">
        <v>4360.0</v>
      </c>
      <c r="F65" s="326"/>
      <c r="G65" s="327" t="s">
        <v>1753</v>
      </c>
      <c r="H65" s="328" t="s">
        <v>36</v>
      </c>
      <c r="I65" s="107"/>
      <c r="J65" s="141"/>
      <c r="K65" s="141"/>
      <c r="L65" s="83"/>
      <c r="M65" s="84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B5</f>
        <v>신한 #672</v>
      </c>
      <c r="C66" s="374" t="s">
        <v>1752</v>
      </c>
      <c r="D66" s="323" t="s">
        <v>1202</v>
      </c>
      <c r="E66" s="326"/>
      <c r="F66" s="326">
        <v>110000.0</v>
      </c>
      <c r="G66" s="327" t="s">
        <v>1202</v>
      </c>
      <c r="H66" s="328" t="s">
        <v>33</v>
      </c>
      <c r="I66" s="107"/>
      <c r="J66" s="141"/>
      <c r="K66" s="141"/>
      <c r="L66" s="83"/>
      <c r="M66" s="84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B9</f>
        <v>기업 #019</v>
      </c>
      <c r="C67" s="374" t="s">
        <v>1748</v>
      </c>
      <c r="D67" s="323" t="s">
        <v>1299</v>
      </c>
      <c r="E67" s="325"/>
      <c r="F67" s="325">
        <v>23890.0</v>
      </c>
      <c r="G67" s="327" t="s">
        <v>1754</v>
      </c>
      <c r="H67" s="328" t="s">
        <v>31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B9</f>
        <v>기업 #019</v>
      </c>
      <c r="C68" s="374" t="s">
        <v>1748</v>
      </c>
      <c r="D68" s="323" t="s">
        <v>1733</v>
      </c>
      <c r="E68" s="325"/>
      <c r="F68" s="325">
        <v>135572.0</v>
      </c>
      <c r="G68" s="327" t="s">
        <v>1755</v>
      </c>
      <c r="H68" s="328" t="s">
        <v>33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B9</f>
        <v>기업 #019</v>
      </c>
      <c r="C69" s="374" t="s">
        <v>1748</v>
      </c>
      <c r="D69" s="323" t="s">
        <v>1756</v>
      </c>
      <c r="E69" s="325"/>
      <c r="F69" s="325">
        <v>2321000.0</v>
      </c>
      <c r="G69" s="327" t="s">
        <v>1757</v>
      </c>
      <c r="H69" s="328" t="s">
        <v>33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B9</f>
        <v>기업 #019</v>
      </c>
      <c r="C70" s="374" t="s">
        <v>1748</v>
      </c>
      <c r="D70" s="323" t="s">
        <v>1758</v>
      </c>
      <c r="E70" s="325"/>
      <c r="F70" s="325">
        <v>386800.0</v>
      </c>
      <c r="G70" s="327" t="s">
        <v>1759</v>
      </c>
      <c r="H70" s="328" t="s">
        <v>39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B9</f>
        <v>기업 #019</v>
      </c>
      <c r="C71" s="374" t="s">
        <v>1748</v>
      </c>
      <c r="D71" s="323" t="s">
        <v>122</v>
      </c>
      <c r="E71" s="325"/>
      <c r="F71" s="325">
        <v>1000000.0</v>
      </c>
      <c r="G71" s="327" t="s">
        <v>1656</v>
      </c>
      <c r="H71" s="328" t="s">
        <v>1327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B9</f>
        <v>기업 #019</v>
      </c>
      <c r="C72" s="374" t="s">
        <v>1751</v>
      </c>
      <c r="D72" s="323" t="s">
        <v>84</v>
      </c>
      <c r="E72" s="325"/>
      <c r="F72" s="325">
        <v>1043158.0</v>
      </c>
      <c r="G72" s="327" t="s">
        <v>1660</v>
      </c>
      <c r="H72" s="328" t="s">
        <v>1642</v>
      </c>
      <c r="I72" s="107"/>
      <c r="J72" s="141"/>
      <c r="K72" s="141"/>
      <c r="L72" s="83"/>
      <c r="M72" s="84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B7</f>
        <v>하나 #304</v>
      </c>
      <c r="C73" s="374" t="s">
        <v>1751</v>
      </c>
      <c r="D73" s="323" t="s">
        <v>1115</v>
      </c>
      <c r="E73" s="325"/>
      <c r="F73" s="325">
        <v>4000.0</v>
      </c>
      <c r="G73" s="327" t="s">
        <v>1760</v>
      </c>
      <c r="H73" s="328" t="s">
        <v>33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B9</f>
        <v>기업 #019</v>
      </c>
      <c r="C74" s="374" t="s">
        <v>1752</v>
      </c>
      <c r="D74" s="323" t="s">
        <v>84</v>
      </c>
      <c r="E74" s="325">
        <v>6555.0</v>
      </c>
      <c r="F74" s="325"/>
      <c r="G74" s="327" t="s">
        <v>84</v>
      </c>
      <c r="H74" s="328" t="s">
        <v>75</v>
      </c>
      <c r="I74" s="107"/>
      <c r="J74" s="141"/>
      <c r="K74" s="141"/>
      <c r="L74" s="83"/>
      <c r="M74" s="84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281" t="str">
        <f>B9</f>
        <v>기업 #019</v>
      </c>
      <c r="C75" s="374" t="s">
        <v>1752</v>
      </c>
      <c r="D75" s="323" t="s">
        <v>1761</v>
      </c>
      <c r="E75" s="325"/>
      <c r="F75" s="325">
        <v>935000.0</v>
      </c>
      <c r="G75" s="327" t="s">
        <v>1762</v>
      </c>
      <c r="H75" s="328" t="s">
        <v>930</v>
      </c>
      <c r="I75" s="107"/>
      <c r="J75" s="141"/>
      <c r="K75" s="141"/>
      <c r="L75" s="83"/>
      <c r="M75" s="84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281" t="str">
        <f>B9</f>
        <v>기업 #019</v>
      </c>
      <c r="C76" s="374" t="s">
        <v>1752</v>
      </c>
      <c r="D76" s="323" t="s">
        <v>1733</v>
      </c>
      <c r="E76" s="325"/>
      <c r="F76" s="325">
        <v>2599.0</v>
      </c>
      <c r="G76" s="327" t="s">
        <v>1763</v>
      </c>
      <c r="H76" s="328" t="s">
        <v>33</v>
      </c>
      <c r="I76" s="107"/>
      <c r="J76" s="141"/>
      <c r="K76" s="141"/>
      <c r="L76" s="83"/>
      <c r="M76" s="84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 t="str">
        <f>B15</f>
        <v>OCBC USD</v>
      </c>
      <c r="C77" s="323" t="s">
        <v>1752</v>
      </c>
      <c r="D77" s="323" t="s">
        <v>1725</v>
      </c>
      <c r="E77" s="325"/>
      <c r="F77" s="337">
        <v>100000.0</v>
      </c>
      <c r="G77" s="327" t="s">
        <v>1035</v>
      </c>
      <c r="H77" s="328" t="s">
        <v>556</v>
      </c>
      <c r="I77" s="107"/>
      <c r="J77" s="141"/>
      <c r="K77" s="141"/>
      <c r="L77" s="83"/>
      <c r="M77" s="84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 t="str">
        <f>B15</f>
        <v>OCBC USD</v>
      </c>
      <c r="C78" s="323" t="s">
        <v>1752</v>
      </c>
      <c r="D78" s="323" t="s">
        <v>1724</v>
      </c>
      <c r="E78" s="337"/>
      <c r="F78" s="337">
        <f>15+22.22</f>
        <v>37.22</v>
      </c>
      <c r="G78" s="327" t="s">
        <v>1119</v>
      </c>
      <c r="H78" s="328" t="s">
        <v>33</v>
      </c>
      <c r="I78" s="107"/>
      <c r="J78" s="141"/>
      <c r="K78" s="141"/>
      <c r="L78" s="83"/>
      <c r="M78" s="84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 t="str">
        <f>B8</f>
        <v>하나 #138</v>
      </c>
      <c r="C79" s="323" t="s">
        <v>1752</v>
      </c>
      <c r="D79" s="323" t="s">
        <v>1725</v>
      </c>
      <c r="E79" s="337">
        <v>99995.0</v>
      </c>
      <c r="F79" s="337"/>
      <c r="G79" s="327" t="s">
        <v>1035</v>
      </c>
      <c r="H79" s="328" t="s">
        <v>556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B8</f>
        <v>하나 #138</v>
      </c>
      <c r="C80" s="323" t="s">
        <v>1752</v>
      </c>
      <c r="D80" s="323" t="s">
        <v>632</v>
      </c>
      <c r="E80" s="337"/>
      <c r="F80" s="337">
        <v>99995.0</v>
      </c>
      <c r="G80" s="327" t="s">
        <v>679</v>
      </c>
      <c r="H80" s="328" t="s">
        <v>556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>
      <c r="B81" s="281" t="str">
        <f>B7</f>
        <v>하나 #304</v>
      </c>
      <c r="C81" s="323" t="s">
        <v>1764</v>
      </c>
      <c r="D81" s="323" t="s">
        <v>632</v>
      </c>
      <c r="E81" s="325">
        <v>1.36527173E8</v>
      </c>
      <c r="F81" s="325"/>
      <c r="G81" s="327" t="s">
        <v>679</v>
      </c>
      <c r="H81" s="328" t="s">
        <v>556</v>
      </c>
    </row>
    <row r="82" ht="15.0" customHeight="1">
      <c r="A82" s="105"/>
      <c r="B82" s="281" t="str">
        <f>B7</f>
        <v>하나 #304</v>
      </c>
      <c r="C82" s="323" t="s">
        <v>1764</v>
      </c>
      <c r="D82" s="323" t="s">
        <v>632</v>
      </c>
      <c r="E82" s="325"/>
      <c r="F82" s="325">
        <v>1.2E8</v>
      </c>
      <c r="G82" s="327" t="s">
        <v>1035</v>
      </c>
      <c r="H82" s="328" t="s">
        <v>556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B7</f>
        <v>하나 #304</v>
      </c>
      <c r="C83" s="323" t="s">
        <v>1764</v>
      </c>
      <c r="D83" s="323" t="s">
        <v>1120</v>
      </c>
      <c r="E83" s="325"/>
      <c r="F83" s="325">
        <v>500.0</v>
      </c>
      <c r="G83" s="327" t="s">
        <v>1305</v>
      </c>
      <c r="H83" s="328" t="s">
        <v>33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B9</f>
        <v>기업 #019</v>
      </c>
      <c r="C84" s="323" t="s">
        <v>1764</v>
      </c>
      <c r="D84" s="323" t="s">
        <v>632</v>
      </c>
      <c r="E84" s="325">
        <v>1.2E8</v>
      </c>
      <c r="F84" s="325"/>
      <c r="G84" s="327" t="s">
        <v>1035</v>
      </c>
      <c r="H84" s="328" t="s">
        <v>556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B7</f>
        <v>하나 #304</v>
      </c>
      <c r="C85" s="323" t="s">
        <v>1752</v>
      </c>
      <c r="D85" s="323" t="s">
        <v>721</v>
      </c>
      <c r="E85" s="377"/>
      <c r="F85" s="325">
        <v>3440791.0</v>
      </c>
      <c r="G85" s="327" t="s">
        <v>721</v>
      </c>
      <c r="H85" s="328" t="s">
        <v>33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>
      <c r="B86" s="281" t="str">
        <f>B9</f>
        <v>기업 #019</v>
      </c>
      <c r="C86" s="323" t="s">
        <v>1764</v>
      </c>
      <c r="D86" s="323" t="s">
        <v>122</v>
      </c>
      <c r="E86" s="337"/>
      <c r="F86" s="325">
        <v>5.3E7</v>
      </c>
      <c r="G86" s="327" t="s">
        <v>1765</v>
      </c>
      <c r="H86" s="328" t="s">
        <v>1554</v>
      </c>
    </row>
    <row r="87">
      <c r="B87" s="281" t="str">
        <f>B7</f>
        <v>하나 #304</v>
      </c>
      <c r="C87" s="323" t="s">
        <v>1752</v>
      </c>
      <c r="D87" s="323" t="s">
        <v>721</v>
      </c>
      <c r="E87" s="325"/>
      <c r="F87" s="325">
        <v>3429599.0</v>
      </c>
      <c r="G87" s="327" t="s">
        <v>721</v>
      </c>
      <c r="H87" s="328" t="s">
        <v>33</v>
      </c>
    </row>
    <row r="88" ht="15.0" customHeight="1">
      <c r="A88" s="105"/>
      <c r="B88" s="281" t="str">
        <f>B9</f>
        <v>기업 #019</v>
      </c>
      <c r="C88" s="323" t="s">
        <v>1766</v>
      </c>
      <c r="D88" s="323" t="s">
        <v>1669</v>
      </c>
      <c r="E88" s="337"/>
      <c r="F88" s="325">
        <v>8436927.0</v>
      </c>
      <c r="G88" s="327" t="s">
        <v>1669</v>
      </c>
      <c r="H88" s="328" t="s">
        <v>33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B9</f>
        <v>기업 #019</v>
      </c>
      <c r="C89" s="323" t="s">
        <v>1766</v>
      </c>
      <c r="D89" s="323" t="s">
        <v>1622</v>
      </c>
      <c r="E89" s="325"/>
      <c r="F89" s="325">
        <v>9.6754757E7</v>
      </c>
      <c r="G89" s="327" t="s">
        <v>41</v>
      </c>
      <c r="H89" s="328" t="s">
        <v>41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B9</f>
        <v>기업 #019</v>
      </c>
      <c r="C90" s="323" t="s">
        <v>1766</v>
      </c>
      <c r="D90" s="323" t="s">
        <v>1767</v>
      </c>
      <c r="E90" s="325"/>
      <c r="F90" s="325">
        <v>406140.0</v>
      </c>
      <c r="G90" s="327" t="s">
        <v>1768</v>
      </c>
      <c r="H90" s="328" t="s">
        <v>39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B9</f>
        <v>기업 #019</v>
      </c>
      <c r="C91" s="323" t="s">
        <v>1766</v>
      </c>
      <c r="D91" s="323" t="s">
        <v>497</v>
      </c>
      <c r="E91" s="325"/>
      <c r="F91" s="325">
        <v>2090000.0</v>
      </c>
      <c r="G91" s="327" t="s">
        <v>1769</v>
      </c>
      <c r="H91" s="328" t="s">
        <v>33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B5</f>
        <v>신한 #672</v>
      </c>
      <c r="C92" s="323" t="s">
        <v>1766</v>
      </c>
      <c r="D92" s="323" t="s">
        <v>1633</v>
      </c>
      <c r="E92" s="325"/>
      <c r="F92" s="325">
        <v>5392185.0</v>
      </c>
      <c r="G92" s="327" t="s">
        <v>1633</v>
      </c>
      <c r="H92" s="328" t="s">
        <v>33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B5</f>
        <v>신한 #672</v>
      </c>
      <c r="C93" s="323" t="s">
        <v>1766</v>
      </c>
      <c r="D93" s="323" t="s">
        <v>1495</v>
      </c>
      <c r="E93" s="325"/>
      <c r="F93" s="325">
        <v>98000.0</v>
      </c>
      <c r="G93" s="327" t="s">
        <v>1047</v>
      </c>
      <c r="H93" s="328" t="s">
        <v>4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B5</f>
        <v>신한 #672</v>
      </c>
      <c r="C94" s="323" t="s">
        <v>1766</v>
      </c>
      <c r="D94" s="323" t="s">
        <v>1496</v>
      </c>
      <c r="E94" s="325"/>
      <c r="F94" s="325">
        <v>37430.0</v>
      </c>
      <c r="G94" s="327" t="s">
        <v>1038</v>
      </c>
      <c r="H94" s="328" t="s">
        <v>4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B5</f>
        <v>신한 #672</v>
      </c>
      <c r="C95" s="323" t="s">
        <v>1766</v>
      </c>
      <c r="D95" s="323" t="s">
        <v>1496</v>
      </c>
      <c r="E95" s="325"/>
      <c r="F95" s="325">
        <v>37430.0</v>
      </c>
      <c r="G95" s="327" t="s">
        <v>1038</v>
      </c>
      <c r="H95" s="328" t="s">
        <v>4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B5</f>
        <v>신한 #672</v>
      </c>
      <c r="C96" s="323" t="s">
        <v>1766</v>
      </c>
      <c r="D96" s="323" t="s">
        <v>1496</v>
      </c>
      <c r="E96" s="337"/>
      <c r="F96" s="325">
        <v>20660.0</v>
      </c>
      <c r="G96" s="327" t="s">
        <v>1039</v>
      </c>
      <c r="H96" s="328" t="s">
        <v>4</v>
      </c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B5</f>
        <v>신한 #672</v>
      </c>
      <c r="C97" s="323" t="s">
        <v>1766</v>
      </c>
      <c r="D97" s="323" t="s">
        <v>1496</v>
      </c>
      <c r="E97" s="325"/>
      <c r="F97" s="325">
        <v>50250.0</v>
      </c>
      <c r="G97" s="327" t="s">
        <v>1040</v>
      </c>
      <c r="H97" s="328" t="s">
        <v>4</v>
      </c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B5</f>
        <v>신한 #672</v>
      </c>
      <c r="C98" s="323" t="s">
        <v>1766</v>
      </c>
      <c r="D98" s="323" t="s">
        <v>1496</v>
      </c>
      <c r="E98" s="326"/>
      <c r="F98" s="326">
        <v>20660.0</v>
      </c>
      <c r="G98" s="327" t="s">
        <v>1039</v>
      </c>
      <c r="H98" s="328" t="s">
        <v>4</v>
      </c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B5</f>
        <v>신한 #672</v>
      </c>
      <c r="C99" s="323" t="s">
        <v>1766</v>
      </c>
      <c r="D99" s="323" t="s">
        <v>497</v>
      </c>
      <c r="E99" s="326"/>
      <c r="F99" s="326">
        <v>330000.0</v>
      </c>
      <c r="G99" s="327" t="s">
        <v>1042</v>
      </c>
      <c r="H99" s="328" t="s">
        <v>33</v>
      </c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B5</f>
        <v>신한 #672</v>
      </c>
      <c r="C100" s="323" t="s">
        <v>1766</v>
      </c>
      <c r="D100" s="323" t="s">
        <v>1497</v>
      </c>
      <c r="E100" s="325"/>
      <c r="F100" s="325">
        <v>55850.0</v>
      </c>
      <c r="G100" s="327" t="s">
        <v>1044</v>
      </c>
      <c r="H100" s="328" t="s">
        <v>4</v>
      </c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>
      <c r="B101" s="281" t="str">
        <f>B9</f>
        <v>기업 #019</v>
      </c>
      <c r="C101" s="323" t="s">
        <v>1770</v>
      </c>
      <c r="D101" s="323" t="s">
        <v>1771</v>
      </c>
      <c r="E101" s="325"/>
      <c r="F101" s="325">
        <v>297000.0</v>
      </c>
      <c r="G101" s="327" t="s">
        <v>1772</v>
      </c>
      <c r="H101" s="328" t="s">
        <v>33</v>
      </c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341"/>
      <c r="B102" s="281" t="str">
        <f>B5</f>
        <v>신한 #672</v>
      </c>
      <c r="C102" s="323" t="s">
        <v>1770</v>
      </c>
      <c r="D102" s="323" t="s">
        <v>1120</v>
      </c>
      <c r="E102" s="326"/>
      <c r="F102" s="326">
        <v>4400.0</v>
      </c>
      <c r="G102" s="327" t="s">
        <v>1773</v>
      </c>
      <c r="H102" s="328" t="s">
        <v>33</v>
      </c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B7</f>
        <v>하나 #304</v>
      </c>
      <c r="C103" s="323" t="s">
        <v>1774</v>
      </c>
      <c r="D103" s="323" t="s">
        <v>1775</v>
      </c>
      <c r="E103" s="326"/>
      <c r="F103" s="326">
        <v>1.8E7</v>
      </c>
      <c r="G103" s="327" t="s">
        <v>1035</v>
      </c>
      <c r="H103" s="328" t="s">
        <v>556</v>
      </c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B7</f>
        <v>하나 #304</v>
      </c>
      <c r="C104" s="323" t="s">
        <v>1774</v>
      </c>
      <c r="D104" s="323" t="s">
        <v>1115</v>
      </c>
      <c r="E104" s="326"/>
      <c r="F104" s="326">
        <v>500.0</v>
      </c>
      <c r="G104" s="327" t="s">
        <v>1119</v>
      </c>
      <c r="H104" s="328" t="s">
        <v>33</v>
      </c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B5</f>
        <v>신한 #672</v>
      </c>
      <c r="C105" s="323" t="s">
        <v>1774</v>
      </c>
      <c r="D105" s="323" t="s">
        <v>1775</v>
      </c>
      <c r="E105" s="326">
        <v>1.8E7</v>
      </c>
      <c r="F105" s="326"/>
      <c r="G105" s="327" t="s">
        <v>1035</v>
      </c>
      <c r="H105" s="328" t="s">
        <v>556</v>
      </c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 t="shared" ref="B106:B107" si="8">B12</f>
        <v>WISE USD</v>
      </c>
      <c r="C106" s="323" t="s">
        <v>1776</v>
      </c>
      <c r="D106" s="323" t="s">
        <v>1718</v>
      </c>
      <c r="E106" s="326"/>
      <c r="F106" s="371">
        <v>40.28</v>
      </c>
      <c r="G106" s="327" t="s">
        <v>1719</v>
      </c>
      <c r="H106" s="286" t="s">
        <v>33</v>
      </c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 t="shared" si="8"/>
        <v>WISE SGD</v>
      </c>
      <c r="C107" s="323" t="s">
        <v>1776</v>
      </c>
      <c r="D107" s="323" t="s">
        <v>1718</v>
      </c>
      <c r="E107" s="325"/>
      <c r="F107" s="371">
        <v>25.4</v>
      </c>
      <c r="G107" s="327" t="s">
        <v>1719</v>
      </c>
      <c r="H107" s="286" t="s">
        <v>33</v>
      </c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>B12</f>
        <v>WISE USD</v>
      </c>
      <c r="C108" s="323" t="s">
        <v>1774</v>
      </c>
      <c r="D108" s="323" t="s">
        <v>1607</v>
      </c>
      <c r="E108" s="325"/>
      <c r="F108" s="337">
        <v>820.38</v>
      </c>
      <c r="G108" s="327" t="s">
        <v>1719</v>
      </c>
      <c r="H108" s="286" t="s">
        <v>33</v>
      </c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 t="str">
        <f>B5</f>
        <v>신한 #672</v>
      </c>
      <c r="C109" s="323" t="s">
        <v>1777</v>
      </c>
      <c r="D109" s="282" t="s">
        <v>920</v>
      </c>
      <c r="E109" s="291"/>
      <c r="F109" s="326">
        <v>77000.0</v>
      </c>
      <c r="G109" s="327" t="s">
        <v>1006</v>
      </c>
      <c r="H109" s="328" t="s">
        <v>33</v>
      </c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 t="str">
        <f>B9</f>
        <v>기업 #019</v>
      </c>
      <c r="C110" s="323" t="s">
        <v>1777</v>
      </c>
      <c r="D110" s="282" t="s">
        <v>1623</v>
      </c>
      <c r="E110" s="291"/>
      <c r="F110" s="326">
        <v>471964.0</v>
      </c>
      <c r="G110" s="327" t="s">
        <v>1778</v>
      </c>
      <c r="H110" s="328" t="s">
        <v>39</v>
      </c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350" t="s">
        <v>747</v>
      </c>
      <c r="C111" s="323" t="s">
        <v>1777</v>
      </c>
      <c r="D111" s="323" t="s">
        <v>828</v>
      </c>
      <c r="E111" s="325"/>
      <c r="F111" s="325">
        <v>10.0</v>
      </c>
      <c r="G111" s="313" t="s">
        <v>1079</v>
      </c>
      <c r="H111" s="286" t="s">
        <v>33</v>
      </c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25"/>
      <c r="F112" s="325"/>
      <c r="G112" s="327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323"/>
      <c r="E113" s="325"/>
      <c r="F113" s="325"/>
      <c r="G113" s="327"/>
      <c r="H113" s="328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323"/>
      <c r="E114" s="325"/>
      <c r="F114" s="325"/>
      <c r="G114" s="327"/>
      <c r="H114" s="328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323"/>
      <c r="D115" s="323"/>
      <c r="E115" s="325"/>
      <c r="F115" s="325"/>
      <c r="G115" s="327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323"/>
      <c r="D116" s="323"/>
      <c r="E116" s="325"/>
      <c r="F116" s="325"/>
      <c r="G116" s="327"/>
      <c r="H116" s="328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323"/>
      <c r="D117" s="323"/>
      <c r="E117" s="325"/>
      <c r="F117" s="325"/>
      <c r="G117" s="327"/>
      <c r="H117" s="328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323"/>
      <c r="D118" s="323"/>
      <c r="E118" s="325"/>
      <c r="F118" s="325"/>
      <c r="G118" s="327"/>
      <c r="H118" s="328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323"/>
      <c r="D119" s="323"/>
      <c r="E119" s="325"/>
      <c r="F119" s="325"/>
      <c r="G119" s="327"/>
      <c r="H119" s="328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323"/>
      <c r="D120" s="323"/>
      <c r="E120" s="325"/>
      <c r="F120" s="325"/>
      <c r="G120" s="327"/>
      <c r="H120" s="328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B154" s="281"/>
      <c r="C154" s="282"/>
      <c r="D154" s="282"/>
      <c r="E154" s="291"/>
      <c r="F154" s="292"/>
      <c r="G154" s="313"/>
      <c r="H154" s="286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B155" s="281"/>
      <c r="C155" s="282"/>
      <c r="D155" s="282"/>
      <c r="E155" s="291"/>
      <c r="F155" s="292"/>
      <c r="G155" s="313"/>
      <c r="H155" s="286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B156" s="281"/>
      <c r="C156" s="282"/>
      <c r="D156" s="282"/>
      <c r="E156" s="291"/>
      <c r="F156" s="292"/>
      <c r="G156" s="313"/>
      <c r="H156" s="286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B157" s="281"/>
      <c r="C157" s="282"/>
      <c r="D157" s="282"/>
      <c r="E157" s="291"/>
      <c r="F157" s="292"/>
      <c r="G157" s="313"/>
      <c r="H157" s="286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B158" s="281"/>
      <c r="C158" s="282"/>
      <c r="D158" s="282"/>
      <c r="E158" s="291"/>
      <c r="F158" s="292"/>
      <c r="G158" s="313"/>
      <c r="H158" s="286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B159" s="281"/>
      <c r="C159" s="282"/>
      <c r="D159" s="282"/>
      <c r="E159" s="291"/>
      <c r="F159" s="292"/>
      <c r="G159" s="313"/>
      <c r="H159" s="286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B160" s="281"/>
      <c r="C160" s="282"/>
      <c r="D160" s="282"/>
      <c r="E160" s="291"/>
      <c r="F160" s="292"/>
      <c r="G160" s="313"/>
      <c r="H160" s="286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B161" s="281"/>
      <c r="C161" s="282"/>
      <c r="D161" s="282"/>
      <c r="E161" s="291"/>
      <c r="F161" s="292"/>
      <c r="G161" s="313"/>
      <c r="H161" s="286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</sheetData>
  <autoFilter ref="$B$24:$H$161">
    <sortState ref="B24:H161">
      <sortCondition ref="B24:B161"/>
    </sortState>
  </autoFilter>
  <customSheetViews>
    <customSheetView guid="{CD2BF927-9D79-47FC-BBA8-927062D6B3F5}" filter="1" showAutoFilter="1">
      <autoFilter ref="$B$24:$H$161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61">
      <formula1>$L:$L</formula1>
    </dataValidation>
  </dataValidations>
  <hyperlinks>
    <hyperlink r:id="rId1" ref="I3"/>
    <hyperlink r:id="rId2" ref="I4"/>
  </hyperlinks>
  <printOptions/>
  <pageMargins bottom="0.75" footer="0.0" header="0.0" left="0.25" right="0.25" top="0.75"/>
  <pageSetup fitToHeight="0" paperSize="9" orientation="portrait"/>
  <drawing r:id="rId3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1779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'24.04월'!G5</f>
        <v>24882950</v>
      </c>
      <c r="E5" s="355">
        <f t="shared" ref="E5:E16" si="1">sumif($B$25:$B$123,B5,$E$25:$E$123)</f>
        <v>13939410</v>
      </c>
      <c r="F5" s="356">
        <f t="shared" ref="F5:F16" si="2">sumif($B$25:$B$123,B5,$F$25:$F$123)</f>
        <v>25263194</v>
      </c>
      <c r="G5" s="229">
        <f t="shared" ref="G5:G16" si="3">D5+E5-F5</f>
        <v>13559166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'24.04월'!G6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376">
        <f>'24.04월'!G7</f>
        <v>957165</v>
      </c>
      <c r="E7" s="359">
        <f t="shared" si="1"/>
        <v>135316233</v>
      </c>
      <c r="F7" s="360">
        <f t="shared" si="2"/>
        <v>127452005</v>
      </c>
      <c r="G7" s="239">
        <f t="shared" si="3"/>
        <v>8821393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'24.04월'!G8</f>
        <v>0</v>
      </c>
      <c r="E8" s="361">
        <f t="shared" si="1"/>
        <v>179723.38</v>
      </c>
      <c r="F8" s="358">
        <f t="shared" si="2"/>
        <v>99995</v>
      </c>
      <c r="G8" s="235">
        <f t="shared" si="3"/>
        <v>79728.38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76">
        <f>'24.04월'!G9</f>
        <v>29174031</v>
      </c>
      <c r="E9" s="359">
        <f t="shared" si="1"/>
        <v>110002493</v>
      </c>
      <c r="F9" s="360">
        <f t="shared" si="2"/>
        <v>122186101</v>
      </c>
      <c r="G9" s="239">
        <f t="shared" si="3"/>
        <v>16990423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232">
        <f>'24.04월'!G10</f>
        <v>0</v>
      </c>
      <c r="E10" s="359">
        <f t="shared" si="1"/>
        <v>0</v>
      </c>
      <c r="F10" s="360">
        <f t="shared" si="2"/>
        <v>0</v>
      </c>
      <c r="G10" s="239">
        <f t="shared" si="3"/>
        <v>0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'24.04월'!G11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'24.04월'!G12</f>
        <v>85027.68</v>
      </c>
      <c r="E12" s="361">
        <f t="shared" si="1"/>
        <v>0</v>
      </c>
      <c r="F12" s="362">
        <f t="shared" si="2"/>
        <v>18166.48</v>
      </c>
      <c r="G12" s="329">
        <f t="shared" si="3"/>
        <v>66861.2</v>
      </c>
      <c r="H12" s="125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'24.04월'!G13</f>
        <v>0</v>
      </c>
      <c r="E13" s="363">
        <f t="shared" si="1"/>
        <v>0</v>
      </c>
      <c r="F13" s="364">
        <f t="shared" si="2"/>
        <v>0</v>
      </c>
      <c r="G13" s="320">
        <f t="shared" si="3"/>
        <v>0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76">
        <f>'24.04월'!G14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'24.04월'!G15</f>
        <v>139495.12</v>
      </c>
      <c r="E15" s="361">
        <f t="shared" si="1"/>
        <v>249205.31</v>
      </c>
      <c r="F15" s="358">
        <f t="shared" si="2"/>
        <v>179850.16</v>
      </c>
      <c r="G15" s="235">
        <f t="shared" si="3"/>
        <v>208850.27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'24.04월'!G16</f>
        <v>298.19</v>
      </c>
      <c r="E16" s="366">
        <f t="shared" si="1"/>
        <v>0</v>
      </c>
      <c r="F16" s="367">
        <f t="shared" si="2"/>
        <v>40</v>
      </c>
      <c r="G16" s="310">
        <f t="shared" si="3"/>
        <v>258.19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55014146</v>
      </c>
      <c r="E18" s="262">
        <f t="shared" si="4"/>
        <v>259258136</v>
      </c>
      <c r="F18" s="263">
        <f t="shared" si="4"/>
        <v>274901300</v>
      </c>
      <c r="G18" s="345">
        <f t="shared" si="4"/>
        <v>39370982</v>
      </c>
      <c r="H18" s="353">
        <f>G18</f>
        <v>39370982</v>
      </c>
      <c r="I18" s="353">
        <f>D18</f>
        <v>55014146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</f>
        <v>224525.11</v>
      </c>
      <c r="E19" s="269">
        <f t="shared" si="5"/>
        <v>428928.69</v>
      </c>
      <c r="F19" s="270">
        <f t="shared" si="5"/>
        <v>298011.64</v>
      </c>
      <c r="G19" s="346">
        <f t="shared" si="5"/>
        <v>355442.16</v>
      </c>
      <c r="H19" s="265">
        <f>rounddown(G19*$J$3,0)</f>
        <v>523468555</v>
      </c>
      <c r="I19" s="265">
        <f>rounddown(D19*$J$3,0)</f>
        <v>330663742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298.19</v>
      </c>
      <c r="E20" s="274">
        <f t="shared" si="6"/>
        <v>0</v>
      </c>
      <c r="F20" s="275">
        <f t="shared" si="6"/>
        <v>40</v>
      </c>
      <c r="G20" s="347">
        <f t="shared" si="6"/>
        <v>258.19</v>
      </c>
      <c r="H20" s="277">
        <f>rounddown(G20*$J$4,0)</f>
        <v>295339</v>
      </c>
      <c r="I20" s="277">
        <f>rounddown(D20*$J$4,0)</f>
        <v>341095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563134876</v>
      </c>
      <c r="I21" s="279">
        <f t="shared" si="7"/>
        <v>386018983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177115893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B12</f>
        <v>WISE USD</v>
      </c>
      <c r="C25" s="323" t="s">
        <v>1780</v>
      </c>
      <c r="D25" s="323" t="s">
        <v>740</v>
      </c>
      <c r="E25" s="325"/>
      <c r="F25" s="337">
        <v>8396.49</v>
      </c>
      <c r="G25" s="327" t="s">
        <v>1781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WISE USD</v>
      </c>
      <c r="C26" s="323" t="s">
        <v>1780</v>
      </c>
      <c r="D26" s="323" t="s">
        <v>1072</v>
      </c>
      <c r="E26" s="325"/>
      <c r="F26" s="337">
        <v>0.39</v>
      </c>
      <c r="G26" s="327" t="s">
        <v>1119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B9</f>
        <v>기업 #019</v>
      </c>
      <c r="C27" s="323" t="s">
        <v>1782</v>
      </c>
      <c r="D27" s="323" t="s">
        <v>789</v>
      </c>
      <c r="E27" s="326"/>
      <c r="F27" s="325">
        <v>6121060.0</v>
      </c>
      <c r="G27" s="327" t="s">
        <v>1229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B9</f>
        <v>기업 #019</v>
      </c>
      <c r="C28" s="323" t="s">
        <v>1782</v>
      </c>
      <c r="D28" s="323" t="s">
        <v>1230</v>
      </c>
      <c r="E28" s="337"/>
      <c r="F28" s="325">
        <v>825000.0</v>
      </c>
      <c r="G28" s="327" t="s">
        <v>1783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B9</f>
        <v>기업 #019</v>
      </c>
      <c r="C29" s="323" t="s">
        <v>1784</v>
      </c>
      <c r="D29" s="323" t="s">
        <v>1297</v>
      </c>
      <c r="E29" s="325"/>
      <c r="F29" s="325">
        <v>3120560.0</v>
      </c>
      <c r="G29" s="327" t="s">
        <v>1245</v>
      </c>
      <c r="H29" s="328" t="s">
        <v>31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B9</f>
        <v>기업 #019</v>
      </c>
      <c r="C30" s="323" t="s">
        <v>1784</v>
      </c>
      <c r="D30" s="323" t="s">
        <v>1297</v>
      </c>
      <c r="E30" s="337"/>
      <c r="F30" s="325">
        <v>39240.0</v>
      </c>
      <c r="G30" s="327" t="s">
        <v>1247</v>
      </c>
      <c r="H30" s="328" t="s">
        <v>31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B9</f>
        <v>기업 #019</v>
      </c>
      <c r="C31" s="323" t="s">
        <v>1784</v>
      </c>
      <c r="D31" s="323" t="s">
        <v>1299</v>
      </c>
      <c r="E31" s="337"/>
      <c r="F31" s="325">
        <v>316630.0</v>
      </c>
      <c r="G31" s="327" t="s">
        <v>1785</v>
      </c>
      <c r="H31" s="328" t="s">
        <v>31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B9</f>
        <v>기업 #019</v>
      </c>
      <c r="C32" s="323" t="s">
        <v>1784</v>
      </c>
      <c r="D32" s="323" t="s">
        <v>1552</v>
      </c>
      <c r="E32" s="337"/>
      <c r="F32" s="325">
        <v>232320.0</v>
      </c>
      <c r="G32" s="327" t="s">
        <v>1786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B9</f>
        <v>기업 #019</v>
      </c>
      <c r="C33" s="323" t="s">
        <v>1784</v>
      </c>
      <c r="D33" s="323" t="s">
        <v>113</v>
      </c>
      <c r="E33" s="337"/>
      <c r="F33" s="325">
        <v>29575.0</v>
      </c>
      <c r="G33" s="327" t="s">
        <v>1667</v>
      </c>
      <c r="H33" s="328" t="s">
        <v>4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B9</f>
        <v>기업 #019</v>
      </c>
      <c r="C34" s="323" t="s">
        <v>1784</v>
      </c>
      <c r="D34" s="323" t="s">
        <v>1758</v>
      </c>
      <c r="E34" s="325"/>
      <c r="F34" s="325">
        <v>541520.0</v>
      </c>
      <c r="G34" s="327" t="s">
        <v>1787</v>
      </c>
      <c r="H34" s="328" t="s">
        <v>39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B5</f>
        <v>신한 #672</v>
      </c>
      <c r="C35" s="323" t="s">
        <v>1788</v>
      </c>
      <c r="D35" s="323" t="s">
        <v>1789</v>
      </c>
      <c r="E35" s="325"/>
      <c r="F35" s="325">
        <v>300000.0</v>
      </c>
      <c r="G35" s="327" t="s">
        <v>1789</v>
      </c>
      <c r="H35" s="328" t="s">
        <v>1640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323" t="s">
        <v>1784</v>
      </c>
      <c r="D36" s="323" t="s">
        <v>1790</v>
      </c>
      <c r="E36" s="325"/>
      <c r="F36" s="325">
        <v>8825480.0</v>
      </c>
      <c r="G36" s="327" t="s">
        <v>1790</v>
      </c>
      <c r="H36" s="328" t="s">
        <v>31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B5</f>
        <v>신한 #672</v>
      </c>
      <c r="C37" s="323" t="s">
        <v>1784</v>
      </c>
      <c r="D37" s="323" t="s">
        <v>1791</v>
      </c>
      <c r="E37" s="325"/>
      <c r="F37" s="325">
        <v>7983120.0</v>
      </c>
      <c r="G37" s="327" t="s">
        <v>1791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B5</f>
        <v>신한 #672</v>
      </c>
      <c r="C38" s="323" t="s">
        <v>1784</v>
      </c>
      <c r="D38" s="323" t="s">
        <v>1792</v>
      </c>
      <c r="E38" s="325"/>
      <c r="F38" s="325">
        <v>2742890.0</v>
      </c>
      <c r="G38" s="327" t="s">
        <v>1792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1784</v>
      </c>
      <c r="D39" s="323" t="s">
        <v>1793</v>
      </c>
      <c r="E39" s="325"/>
      <c r="F39" s="325">
        <v>937120.0</v>
      </c>
      <c r="G39" s="327" t="s">
        <v>1793</v>
      </c>
      <c r="H39" s="328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B5</f>
        <v>신한 #672</v>
      </c>
      <c r="C40" s="323" t="s">
        <v>1794</v>
      </c>
      <c r="D40" s="323" t="s">
        <v>1008</v>
      </c>
      <c r="E40" s="326">
        <v>3939410.0</v>
      </c>
      <c r="F40" s="325"/>
      <c r="G40" s="327" t="s">
        <v>1415</v>
      </c>
      <c r="H40" s="328" t="s">
        <v>36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">
        <v>747</v>
      </c>
      <c r="C41" s="323" t="s">
        <v>1780</v>
      </c>
      <c r="D41" s="323" t="s">
        <v>828</v>
      </c>
      <c r="E41" s="325"/>
      <c r="F41" s="337">
        <v>15.0</v>
      </c>
      <c r="G41" s="313" t="s">
        <v>1079</v>
      </c>
      <c r="H41" s="286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">
        <v>747</v>
      </c>
      <c r="C42" s="323" t="s">
        <v>1795</v>
      </c>
      <c r="D42" s="323" t="s">
        <v>828</v>
      </c>
      <c r="E42" s="325"/>
      <c r="F42" s="337">
        <v>10.0</v>
      </c>
      <c r="G42" s="313" t="s">
        <v>1079</v>
      </c>
      <c r="H42" s="286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B15</f>
        <v>OCBC USD</v>
      </c>
      <c r="C43" s="323" t="s">
        <v>1796</v>
      </c>
      <c r="D43" s="323" t="s">
        <v>1725</v>
      </c>
      <c r="E43" s="325"/>
      <c r="F43" s="337">
        <v>100000.0</v>
      </c>
      <c r="G43" s="327" t="s">
        <v>1035</v>
      </c>
      <c r="H43" s="328" t="s">
        <v>556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B15</f>
        <v>OCBC USD</v>
      </c>
      <c r="C44" s="323" t="s">
        <v>1796</v>
      </c>
      <c r="D44" s="323" t="s">
        <v>1724</v>
      </c>
      <c r="E44" s="337"/>
      <c r="F44" s="337">
        <f>15</f>
        <v>15</v>
      </c>
      <c r="G44" s="327" t="s">
        <v>1119</v>
      </c>
      <c r="H44" s="328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B5</f>
        <v>신한 #672</v>
      </c>
      <c r="C45" s="374" t="s">
        <v>1796</v>
      </c>
      <c r="D45" s="323" t="s">
        <v>1202</v>
      </c>
      <c r="E45" s="326"/>
      <c r="F45" s="326">
        <v>110000.0</v>
      </c>
      <c r="G45" s="327" t="s">
        <v>1202</v>
      </c>
      <c r="H45" s="328" t="s">
        <v>33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B7</f>
        <v>하나 #304</v>
      </c>
      <c r="C46" s="323" t="s">
        <v>1797</v>
      </c>
      <c r="D46" s="323" t="s">
        <v>721</v>
      </c>
      <c r="E46" s="325"/>
      <c r="F46" s="325">
        <v>619000.0</v>
      </c>
      <c r="G46" s="327" t="s">
        <v>1798</v>
      </c>
      <c r="H46" s="328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기업 #019</v>
      </c>
      <c r="C47" s="323" t="s">
        <v>1799</v>
      </c>
      <c r="D47" s="323" t="s">
        <v>1661</v>
      </c>
      <c r="E47" s="325">
        <v>2493.0</v>
      </c>
      <c r="F47" s="325"/>
      <c r="G47" s="327" t="s">
        <v>1800</v>
      </c>
      <c r="H47" s="328" t="s">
        <v>75</v>
      </c>
      <c r="I47" s="107"/>
      <c r="J47" s="141"/>
      <c r="K47" s="141"/>
      <c r="L47" s="83"/>
      <c r="M47" s="84"/>
      <c r="N47" s="141"/>
      <c r="O47" s="141"/>
      <c r="P47" s="141"/>
      <c r="Q47" s="141"/>
      <c r="R47" s="141"/>
      <c r="S47" s="141"/>
      <c r="T47" s="141"/>
      <c r="U47" s="141"/>
      <c r="V47" s="141"/>
      <c r="W47" s="141"/>
      <c r="X47" s="141"/>
      <c r="Y47" s="141"/>
    </row>
    <row r="48" ht="15.0" customHeight="1">
      <c r="A48" s="105"/>
      <c r="B48" s="281" t="str">
        <f>B9</f>
        <v>기업 #019</v>
      </c>
      <c r="C48" s="323" t="s">
        <v>1799</v>
      </c>
      <c r="D48" s="323" t="s">
        <v>84</v>
      </c>
      <c r="E48" s="325"/>
      <c r="F48" s="325">
        <v>973442.0</v>
      </c>
      <c r="G48" s="327" t="s">
        <v>1660</v>
      </c>
      <c r="H48" s="328" t="s">
        <v>1642</v>
      </c>
      <c r="I48" s="107"/>
      <c r="J48" s="141"/>
      <c r="K48" s="141"/>
      <c r="L48" s="83"/>
      <c r="M48" s="84"/>
      <c r="N48" s="141"/>
      <c r="O48" s="141"/>
      <c r="P48" s="141"/>
      <c r="Q48" s="141"/>
      <c r="R48" s="141"/>
      <c r="S48" s="141"/>
      <c r="T48" s="141"/>
      <c r="U48" s="141"/>
      <c r="V48" s="141"/>
      <c r="W48" s="141"/>
      <c r="X48" s="141"/>
      <c r="Y48" s="141"/>
    </row>
    <row r="49" ht="15.0" customHeight="1">
      <c r="A49" s="105"/>
      <c r="B49" s="281" t="str">
        <f>B8</f>
        <v>하나 #138</v>
      </c>
      <c r="C49" s="323" t="s">
        <v>1796</v>
      </c>
      <c r="D49" s="323" t="s">
        <v>1725</v>
      </c>
      <c r="E49" s="337">
        <v>99995.0</v>
      </c>
      <c r="F49" s="337"/>
      <c r="G49" s="327" t="s">
        <v>1035</v>
      </c>
      <c r="H49" s="328" t="s">
        <v>556</v>
      </c>
      <c r="I49" s="107"/>
      <c r="J49" s="141"/>
      <c r="K49" s="141"/>
      <c r="L49" s="83"/>
      <c r="M49" s="84"/>
      <c r="N49" s="141"/>
      <c r="O49" s="141"/>
      <c r="P49" s="141"/>
      <c r="Q49" s="141"/>
      <c r="R49" s="141"/>
      <c r="S49" s="141"/>
      <c r="T49" s="141"/>
      <c r="U49" s="141"/>
      <c r="V49" s="141"/>
      <c r="W49" s="141"/>
      <c r="X49" s="141"/>
      <c r="Y49" s="141"/>
    </row>
    <row r="50" ht="15.0" customHeight="1">
      <c r="A50" s="105"/>
      <c r="B50" s="281" t="str">
        <f>B12</f>
        <v>WISE USD</v>
      </c>
      <c r="C50" s="323" t="s">
        <v>1801</v>
      </c>
      <c r="D50" s="323" t="s">
        <v>542</v>
      </c>
      <c r="E50" s="325"/>
      <c r="F50" s="337">
        <v>10.0</v>
      </c>
      <c r="G50" s="327" t="s">
        <v>1068</v>
      </c>
      <c r="H50" s="328" t="s">
        <v>33</v>
      </c>
      <c r="I50" s="107"/>
      <c r="J50" s="141"/>
      <c r="K50" s="141"/>
      <c r="L50" s="83"/>
      <c r="M50" s="84"/>
      <c r="N50" s="141"/>
      <c r="O50" s="141"/>
      <c r="P50" s="141"/>
      <c r="Q50" s="141"/>
      <c r="R50" s="141"/>
      <c r="S50" s="141"/>
      <c r="T50" s="141"/>
      <c r="U50" s="141"/>
      <c r="V50" s="141"/>
      <c r="W50" s="141"/>
      <c r="X50" s="141"/>
      <c r="Y50" s="141"/>
    </row>
    <row r="51" ht="15.0" customHeight="1">
      <c r="A51" s="105"/>
      <c r="B51" s="281" t="str">
        <f>B12</f>
        <v>WISE USD</v>
      </c>
      <c r="C51" s="323" t="s">
        <v>1799</v>
      </c>
      <c r="D51" s="323" t="s">
        <v>1802</v>
      </c>
      <c r="E51" s="325"/>
      <c r="F51" s="337">
        <v>3.1</v>
      </c>
      <c r="G51" s="327" t="s">
        <v>1068</v>
      </c>
      <c r="H51" s="286" t="s">
        <v>33</v>
      </c>
      <c r="I51" s="107"/>
      <c r="J51" s="141"/>
      <c r="K51" s="141"/>
      <c r="L51" s="83"/>
      <c r="M51" s="84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B12</f>
        <v>WISE USD</v>
      </c>
      <c r="C52" s="323" t="s">
        <v>1799</v>
      </c>
      <c r="D52" s="323" t="s">
        <v>1803</v>
      </c>
      <c r="E52" s="325"/>
      <c r="F52" s="337">
        <v>25.0</v>
      </c>
      <c r="G52" s="327" t="s">
        <v>1068</v>
      </c>
      <c r="H52" s="286" t="s">
        <v>33</v>
      </c>
      <c r="I52" s="107"/>
      <c r="J52" s="141"/>
      <c r="K52" s="141"/>
      <c r="L52" s="83"/>
      <c r="M52" s="84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B12</f>
        <v>WISE USD</v>
      </c>
      <c r="C53" s="323" t="s">
        <v>1796</v>
      </c>
      <c r="D53" s="323" t="s">
        <v>1718</v>
      </c>
      <c r="E53" s="326"/>
      <c r="F53" s="371">
        <v>59.62</v>
      </c>
      <c r="G53" s="327" t="s">
        <v>1068</v>
      </c>
      <c r="H53" s="286" t="s">
        <v>33</v>
      </c>
      <c r="I53" s="107"/>
      <c r="J53" s="141"/>
      <c r="K53" s="141"/>
      <c r="L53" s="83"/>
      <c r="M53" s="84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B8</f>
        <v>하나 #138</v>
      </c>
      <c r="C54" s="374" t="s">
        <v>1804</v>
      </c>
      <c r="D54" s="323" t="s">
        <v>632</v>
      </c>
      <c r="E54" s="337"/>
      <c r="F54" s="337">
        <v>99995.0</v>
      </c>
      <c r="G54" s="327" t="s">
        <v>679</v>
      </c>
      <c r="H54" s="328" t="s">
        <v>556</v>
      </c>
      <c r="I54" s="107"/>
      <c r="J54" s="141"/>
      <c r="K54" s="141"/>
      <c r="L54" s="83"/>
      <c r="M54" s="84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B7</f>
        <v>하나 #304</v>
      </c>
      <c r="C55" s="374" t="s">
        <v>1804</v>
      </c>
      <c r="D55" s="323" t="s">
        <v>632</v>
      </c>
      <c r="E55" s="337">
        <v>1.35316233E8</v>
      </c>
      <c r="F55" s="325"/>
      <c r="G55" s="327" t="s">
        <v>679</v>
      </c>
      <c r="H55" s="328" t="s">
        <v>556</v>
      </c>
      <c r="I55" s="107"/>
      <c r="J55" s="141"/>
      <c r="K55" s="141"/>
      <c r="L55" s="83"/>
      <c r="M55" s="84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B7</f>
        <v>하나 #304</v>
      </c>
      <c r="C56" s="374" t="s">
        <v>1804</v>
      </c>
      <c r="D56" s="323" t="s">
        <v>632</v>
      </c>
      <c r="E56" s="325"/>
      <c r="F56" s="325">
        <v>1.1E8</v>
      </c>
      <c r="G56" s="327" t="s">
        <v>1035</v>
      </c>
      <c r="H56" s="328" t="s">
        <v>556</v>
      </c>
      <c r="I56" s="107"/>
      <c r="J56" s="141"/>
      <c r="K56" s="141"/>
      <c r="L56" s="83"/>
      <c r="M56" s="84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B7</f>
        <v>하나 #304</v>
      </c>
      <c r="C57" s="374" t="s">
        <v>1804</v>
      </c>
      <c r="D57" s="323" t="s">
        <v>1115</v>
      </c>
      <c r="E57" s="325"/>
      <c r="F57" s="325">
        <v>500.0</v>
      </c>
      <c r="G57" s="327" t="s">
        <v>1305</v>
      </c>
      <c r="H57" s="328" t="s">
        <v>33</v>
      </c>
      <c r="I57" s="107"/>
      <c r="J57" s="141"/>
      <c r="K57" s="141"/>
      <c r="L57" s="83"/>
      <c r="M57" s="84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>B9</f>
        <v>기업 #019</v>
      </c>
      <c r="C58" s="374" t="s">
        <v>1804</v>
      </c>
      <c r="D58" s="323" t="s">
        <v>632</v>
      </c>
      <c r="E58" s="337">
        <v>1.1E8</v>
      </c>
      <c r="F58" s="325"/>
      <c r="G58" s="327" t="s">
        <v>1035</v>
      </c>
      <c r="H58" s="328" t="s">
        <v>556</v>
      </c>
      <c r="I58" s="107"/>
      <c r="J58" s="141"/>
      <c r="K58" s="141"/>
      <c r="L58" s="83"/>
      <c r="M58" s="84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>B9</f>
        <v>기업 #019</v>
      </c>
      <c r="C59" s="323" t="s">
        <v>1805</v>
      </c>
      <c r="D59" s="323" t="s">
        <v>1622</v>
      </c>
      <c r="E59" s="325"/>
      <c r="F59" s="325">
        <v>9.7139573E7</v>
      </c>
      <c r="G59" s="327" t="s">
        <v>41</v>
      </c>
      <c r="H59" s="328" t="s">
        <v>41</v>
      </c>
      <c r="I59" s="107"/>
      <c r="J59" s="141"/>
      <c r="K59" s="141"/>
      <c r="L59" s="83"/>
      <c r="M59" s="84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B9</f>
        <v>기업 #019</v>
      </c>
      <c r="C60" s="323" t="s">
        <v>1805</v>
      </c>
      <c r="D60" s="323" t="s">
        <v>632</v>
      </c>
      <c r="E60" s="325"/>
      <c r="F60" s="325">
        <v>1.0E7</v>
      </c>
      <c r="G60" s="327" t="s">
        <v>1035</v>
      </c>
      <c r="H60" s="328" t="s">
        <v>556</v>
      </c>
      <c r="I60" s="107"/>
      <c r="J60" s="141"/>
      <c r="K60" s="141"/>
      <c r="L60" s="83"/>
      <c r="M60" s="84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B9</f>
        <v>기업 #019</v>
      </c>
      <c r="C61" s="323" t="s">
        <v>1805</v>
      </c>
      <c r="D61" s="323" t="s">
        <v>1806</v>
      </c>
      <c r="E61" s="325"/>
      <c r="F61" s="325">
        <v>220000.0</v>
      </c>
      <c r="G61" s="327" t="s">
        <v>1035</v>
      </c>
      <c r="H61" s="328" t="s">
        <v>556</v>
      </c>
      <c r="I61" s="107"/>
      <c r="J61" s="141"/>
      <c r="K61" s="141"/>
      <c r="L61" s="83"/>
      <c r="M61" s="84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B5</f>
        <v>신한 #672</v>
      </c>
      <c r="C62" s="323" t="s">
        <v>1805</v>
      </c>
      <c r="D62" s="323" t="s">
        <v>632</v>
      </c>
      <c r="E62" s="337">
        <v>1.0E7</v>
      </c>
      <c r="F62" s="325"/>
      <c r="G62" s="327" t="s">
        <v>1035</v>
      </c>
      <c r="H62" s="328" t="s">
        <v>556</v>
      </c>
      <c r="I62" s="107"/>
      <c r="J62" s="141"/>
      <c r="K62" s="141"/>
      <c r="L62" s="83"/>
      <c r="M62" s="84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281" t="str">
        <f>B15</f>
        <v>OCBC USD</v>
      </c>
      <c r="C63" s="323" t="s">
        <v>1796</v>
      </c>
      <c r="D63" s="323" t="s">
        <v>1724</v>
      </c>
      <c r="E63" s="337"/>
      <c r="F63" s="337">
        <v>22.42</v>
      </c>
      <c r="G63" s="327" t="s">
        <v>1119</v>
      </c>
      <c r="H63" s="328" t="s">
        <v>33</v>
      </c>
      <c r="I63" s="107"/>
      <c r="J63" s="141"/>
      <c r="K63" s="141"/>
      <c r="L63" s="83"/>
      <c r="M63" s="84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281" t="str">
        <f>B15</f>
        <v>OCBC USD</v>
      </c>
      <c r="C64" s="323" t="s">
        <v>1807</v>
      </c>
      <c r="D64" s="323" t="s">
        <v>1808</v>
      </c>
      <c r="E64" s="337">
        <v>199460.0</v>
      </c>
      <c r="F64" s="325"/>
      <c r="G64" s="327" t="s">
        <v>1809</v>
      </c>
      <c r="H64" s="328" t="s">
        <v>556</v>
      </c>
      <c r="I64" s="107"/>
      <c r="J64" s="141"/>
      <c r="K64" s="141"/>
      <c r="L64" s="83"/>
      <c r="M64" s="84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>B15</f>
        <v>OCBC USD</v>
      </c>
      <c r="C65" s="323" t="s">
        <v>1807</v>
      </c>
      <c r="D65" s="323" t="s">
        <v>1724</v>
      </c>
      <c r="E65" s="325"/>
      <c r="F65" s="337">
        <v>10.0</v>
      </c>
      <c r="G65" s="327" t="s">
        <v>1119</v>
      </c>
      <c r="H65" s="328" t="s">
        <v>33</v>
      </c>
      <c r="I65" s="107"/>
      <c r="J65" s="141"/>
      <c r="K65" s="141"/>
      <c r="L65" s="83"/>
      <c r="M65" s="84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B15</f>
        <v>OCBC USD</v>
      </c>
      <c r="C66" s="323" t="s">
        <v>1807</v>
      </c>
      <c r="D66" s="323" t="s">
        <v>1724</v>
      </c>
      <c r="E66" s="325"/>
      <c r="F66" s="337">
        <v>7.35</v>
      </c>
      <c r="G66" s="327" t="s">
        <v>1119</v>
      </c>
      <c r="H66" s="328" t="s">
        <v>33</v>
      </c>
      <c r="I66" s="107"/>
      <c r="J66" s="141"/>
      <c r="K66" s="141"/>
      <c r="L66" s="83"/>
      <c r="M66" s="84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B15</f>
        <v>OCBC USD</v>
      </c>
      <c r="C67" s="323" t="s">
        <v>1805</v>
      </c>
      <c r="D67" s="323" t="s">
        <v>1808</v>
      </c>
      <c r="E67" s="337">
        <v>49745.31</v>
      </c>
      <c r="F67" s="337"/>
      <c r="G67" s="327" t="s">
        <v>1809</v>
      </c>
      <c r="H67" s="328" t="s">
        <v>556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B15</f>
        <v>OCBC USD</v>
      </c>
      <c r="C68" s="323" t="s">
        <v>1805</v>
      </c>
      <c r="D68" s="323" t="s">
        <v>1724</v>
      </c>
      <c r="E68" s="325"/>
      <c r="F68" s="337">
        <v>10.0</v>
      </c>
      <c r="G68" s="327" t="s">
        <v>1119</v>
      </c>
      <c r="H68" s="328" t="s">
        <v>33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B15</f>
        <v>OCBC USD</v>
      </c>
      <c r="C69" s="323" t="s">
        <v>1805</v>
      </c>
      <c r="D69" s="323" t="s">
        <v>1724</v>
      </c>
      <c r="E69" s="325"/>
      <c r="F69" s="337">
        <v>7.34</v>
      </c>
      <c r="G69" s="327" t="s">
        <v>1119</v>
      </c>
      <c r="H69" s="328" t="s">
        <v>33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B15</f>
        <v>OCBC USD</v>
      </c>
      <c r="C70" s="323" t="s">
        <v>1805</v>
      </c>
      <c r="D70" s="323" t="s">
        <v>1725</v>
      </c>
      <c r="E70" s="325"/>
      <c r="F70" s="337">
        <v>79740.7</v>
      </c>
      <c r="G70" s="327" t="s">
        <v>1035</v>
      </c>
      <c r="H70" s="328" t="s">
        <v>556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B15</f>
        <v>OCBC USD</v>
      </c>
      <c r="C71" s="323" t="s">
        <v>1805</v>
      </c>
      <c r="D71" s="323" t="s">
        <v>1724</v>
      </c>
      <c r="E71" s="337"/>
      <c r="F71" s="337">
        <v>22.35</v>
      </c>
      <c r="G71" s="327" t="s">
        <v>1119</v>
      </c>
      <c r="H71" s="328" t="s">
        <v>33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B15</f>
        <v>OCBC USD</v>
      </c>
      <c r="C72" s="323" t="s">
        <v>1805</v>
      </c>
      <c r="D72" s="323" t="s">
        <v>1724</v>
      </c>
      <c r="E72" s="337"/>
      <c r="F72" s="337">
        <v>15.0</v>
      </c>
      <c r="G72" s="327" t="s">
        <v>1119</v>
      </c>
      <c r="H72" s="328" t="s">
        <v>33</v>
      </c>
      <c r="I72" s="107"/>
      <c r="J72" s="141"/>
      <c r="K72" s="141"/>
      <c r="L72" s="83"/>
      <c r="M72" s="84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B8</f>
        <v>하나 #138</v>
      </c>
      <c r="C73" s="323" t="s">
        <v>1805</v>
      </c>
      <c r="D73" s="323" t="s">
        <v>1725</v>
      </c>
      <c r="E73" s="337">
        <v>79728.38</v>
      </c>
      <c r="F73" s="325"/>
      <c r="G73" s="327" t="s">
        <v>1035</v>
      </c>
      <c r="H73" s="328" t="s">
        <v>556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>
      <c r="B74" s="281" t="str">
        <f>B7</f>
        <v>하나 #304</v>
      </c>
      <c r="C74" s="323" t="s">
        <v>1810</v>
      </c>
      <c r="D74" s="323" t="s">
        <v>721</v>
      </c>
      <c r="E74" s="377"/>
      <c r="F74" s="325">
        <v>1.6832505E7</v>
      </c>
      <c r="G74" s="327" t="s">
        <v>721</v>
      </c>
      <c r="H74" s="328" t="s">
        <v>33</v>
      </c>
    </row>
    <row r="75">
      <c r="B75" s="281" t="str">
        <f>B9</f>
        <v>기업 #019</v>
      </c>
      <c r="C75" s="323" t="s">
        <v>1810</v>
      </c>
      <c r="D75" s="323" t="s">
        <v>1669</v>
      </c>
      <c r="E75" s="337"/>
      <c r="F75" s="325">
        <v>2627181.0</v>
      </c>
      <c r="G75" s="327" t="s">
        <v>1669</v>
      </c>
      <c r="H75" s="328" t="s">
        <v>33</v>
      </c>
    </row>
    <row r="76" ht="15.0" customHeight="1">
      <c r="A76" s="105"/>
      <c r="B76" s="281" t="str">
        <f>B5</f>
        <v>신한 #672</v>
      </c>
      <c r="C76" s="323" t="s">
        <v>1810</v>
      </c>
      <c r="D76" s="323" t="s">
        <v>1633</v>
      </c>
      <c r="E76" s="325"/>
      <c r="F76" s="325">
        <v>3637354.0</v>
      </c>
      <c r="G76" s="327" t="s">
        <v>1633</v>
      </c>
      <c r="H76" s="328" t="s">
        <v>33</v>
      </c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B5</f>
        <v>신한 #672</v>
      </c>
      <c r="C77" s="323" t="s">
        <v>1810</v>
      </c>
      <c r="D77" s="323" t="s">
        <v>1495</v>
      </c>
      <c r="E77" s="325"/>
      <c r="F77" s="325">
        <v>98000.0</v>
      </c>
      <c r="G77" s="327" t="s">
        <v>1047</v>
      </c>
      <c r="H77" s="328" t="s">
        <v>4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B5</f>
        <v>신한 #672</v>
      </c>
      <c r="C78" s="323" t="s">
        <v>1810</v>
      </c>
      <c r="D78" s="323" t="s">
        <v>1496</v>
      </c>
      <c r="E78" s="325"/>
      <c r="F78" s="325">
        <v>37430.0</v>
      </c>
      <c r="G78" s="327" t="s">
        <v>1038</v>
      </c>
      <c r="H78" s="328" t="s">
        <v>4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B5</f>
        <v>신한 #672</v>
      </c>
      <c r="C79" s="323" t="s">
        <v>1810</v>
      </c>
      <c r="D79" s="323" t="s">
        <v>1496</v>
      </c>
      <c r="E79" s="325"/>
      <c r="F79" s="325">
        <v>37430.0</v>
      </c>
      <c r="G79" s="327" t="s">
        <v>1038</v>
      </c>
      <c r="H79" s="328" t="s">
        <v>4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B5</f>
        <v>신한 #672</v>
      </c>
      <c r="C80" s="323" t="s">
        <v>1810</v>
      </c>
      <c r="D80" s="323" t="s">
        <v>1496</v>
      </c>
      <c r="E80" s="337"/>
      <c r="F80" s="325">
        <v>20660.0</v>
      </c>
      <c r="G80" s="327" t="s">
        <v>1039</v>
      </c>
      <c r="H80" s="328" t="s">
        <v>4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B5</f>
        <v>신한 #672</v>
      </c>
      <c r="C81" s="323" t="s">
        <v>1810</v>
      </c>
      <c r="D81" s="323" t="s">
        <v>1496</v>
      </c>
      <c r="E81" s="325"/>
      <c r="F81" s="325">
        <v>50250.0</v>
      </c>
      <c r="G81" s="327" t="s">
        <v>1040</v>
      </c>
      <c r="H81" s="328" t="s">
        <v>4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B5</f>
        <v>신한 #672</v>
      </c>
      <c r="C82" s="323" t="s">
        <v>1810</v>
      </c>
      <c r="D82" s="323" t="s">
        <v>1496</v>
      </c>
      <c r="E82" s="326"/>
      <c r="F82" s="326">
        <v>20660.0</v>
      </c>
      <c r="G82" s="327" t="s">
        <v>1039</v>
      </c>
      <c r="H82" s="328" t="s">
        <v>4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B5</f>
        <v>신한 #672</v>
      </c>
      <c r="C83" s="323" t="s">
        <v>1810</v>
      </c>
      <c r="D83" s="323" t="s">
        <v>497</v>
      </c>
      <c r="E83" s="326"/>
      <c r="F83" s="326">
        <v>330000.0</v>
      </c>
      <c r="G83" s="327" t="s">
        <v>1042</v>
      </c>
      <c r="H83" s="328" t="s">
        <v>33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323" t="s">
        <v>1810</v>
      </c>
      <c r="D84" s="323" t="s">
        <v>1497</v>
      </c>
      <c r="E84" s="325"/>
      <c r="F84" s="325">
        <v>55800.0</v>
      </c>
      <c r="G84" s="327" t="s">
        <v>1044</v>
      </c>
      <c r="H84" s="328" t="s">
        <v>4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323" t="s">
        <v>1811</v>
      </c>
      <c r="D85" s="282" t="s">
        <v>920</v>
      </c>
      <c r="E85" s="291"/>
      <c r="F85" s="326">
        <v>77000.0</v>
      </c>
      <c r="G85" s="327" t="s">
        <v>1006</v>
      </c>
      <c r="H85" s="328" t="s">
        <v>33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B12</f>
        <v>WISE USD</v>
      </c>
      <c r="C86" s="323" t="s">
        <v>1810</v>
      </c>
      <c r="D86" s="323" t="s">
        <v>1812</v>
      </c>
      <c r="E86" s="325"/>
      <c r="F86" s="337">
        <v>19.34</v>
      </c>
      <c r="G86" s="327" t="s">
        <v>1813</v>
      </c>
      <c r="H86" s="328" t="s">
        <v>33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B12</f>
        <v>WISE USD</v>
      </c>
      <c r="C87" s="323" t="s">
        <v>1810</v>
      </c>
      <c r="D87" s="378" t="s">
        <v>1429</v>
      </c>
      <c r="E87" s="325"/>
      <c r="F87" s="337">
        <v>44.98</v>
      </c>
      <c r="G87" s="327" t="s">
        <v>1068</v>
      </c>
      <c r="H87" s="328" t="s">
        <v>33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B12</f>
        <v>WISE USD</v>
      </c>
      <c r="C88" s="323" t="s">
        <v>1814</v>
      </c>
      <c r="D88" s="323" t="s">
        <v>1815</v>
      </c>
      <c r="E88" s="325"/>
      <c r="F88" s="337">
        <v>220.0</v>
      </c>
      <c r="G88" s="327" t="s">
        <v>1816</v>
      </c>
      <c r="H88" s="328" t="s">
        <v>33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B12</f>
        <v>WISE USD</v>
      </c>
      <c r="C89" s="323" t="s">
        <v>1811</v>
      </c>
      <c r="D89" s="323" t="s">
        <v>740</v>
      </c>
      <c r="E89" s="325"/>
      <c r="F89" s="337">
        <v>9386.43</v>
      </c>
      <c r="G89" s="327" t="s">
        <v>1286</v>
      </c>
      <c r="H89" s="328" t="s">
        <v>41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B12</f>
        <v>WISE USD</v>
      </c>
      <c r="C90" s="323" t="s">
        <v>1811</v>
      </c>
      <c r="D90" s="323" t="s">
        <v>1072</v>
      </c>
      <c r="E90" s="325"/>
      <c r="F90" s="337">
        <v>1.13</v>
      </c>
      <c r="G90" s="327" t="s">
        <v>1119</v>
      </c>
      <c r="H90" s="328" t="s">
        <v>33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 t="s">
        <v>747</v>
      </c>
      <c r="C91" s="323" t="s">
        <v>1811</v>
      </c>
      <c r="D91" s="323" t="s">
        <v>828</v>
      </c>
      <c r="E91" s="325"/>
      <c r="F91" s="337">
        <v>15.0</v>
      </c>
      <c r="G91" s="313" t="s">
        <v>1079</v>
      </c>
      <c r="H91" s="286" t="s">
        <v>33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>
      <c r="B92" s="281"/>
      <c r="C92" s="323"/>
      <c r="D92" s="379"/>
      <c r="E92" s="325"/>
      <c r="F92" s="337"/>
      <c r="G92" s="327"/>
      <c r="H92" s="328"/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341"/>
      <c r="B93" s="281"/>
      <c r="C93" s="323"/>
      <c r="D93" s="323"/>
      <c r="E93" s="326"/>
      <c r="F93" s="326"/>
      <c r="G93" s="327"/>
      <c r="H93" s="328"/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323"/>
      <c r="D94" s="323"/>
      <c r="E94" s="326"/>
      <c r="F94" s="326"/>
      <c r="G94" s="327"/>
      <c r="H94" s="328"/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323"/>
      <c r="D95" s="323"/>
      <c r="E95" s="326"/>
      <c r="F95" s="326"/>
      <c r="G95" s="327"/>
      <c r="H95" s="328"/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323"/>
      <c r="D96" s="323"/>
      <c r="E96" s="326"/>
      <c r="F96" s="326"/>
      <c r="G96" s="327"/>
      <c r="H96" s="328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323"/>
      <c r="D97" s="323"/>
      <c r="E97" s="326"/>
      <c r="F97" s="371"/>
      <c r="G97" s="327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323"/>
      <c r="D98" s="323"/>
      <c r="E98" s="325"/>
      <c r="F98" s="371"/>
      <c r="G98" s="327"/>
      <c r="H98" s="286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323"/>
      <c r="D99" s="323"/>
      <c r="E99" s="325"/>
      <c r="F99" s="337"/>
      <c r="G99" s="327"/>
      <c r="H99" s="286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323"/>
      <c r="D100" s="282"/>
      <c r="E100" s="291"/>
      <c r="F100" s="326"/>
      <c r="G100" s="327"/>
      <c r="H100" s="328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323"/>
      <c r="D101" s="323"/>
      <c r="E101" s="325"/>
      <c r="F101" s="325"/>
      <c r="G101" s="327"/>
      <c r="H101" s="328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323"/>
      <c r="D102" s="323"/>
      <c r="E102" s="325"/>
      <c r="F102" s="325"/>
      <c r="G102" s="327"/>
      <c r="H102" s="328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323"/>
      <c r="D103" s="323"/>
      <c r="E103" s="325"/>
      <c r="F103" s="325"/>
      <c r="G103" s="327"/>
      <c r="H103" s="328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323"/>
      <c r="E104" s="325"/>
      <c r="F104" s="325"/>
      <c r="G104" s="327"/>
      <c r="H104" s="328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323"/>
      <c r="E105" s="325"/>
      <c r="F105" s="325"/>
      <c r="G105" s="327"/>
      <c r="H105" s="328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323"/>
      <c r="E106" s="325"/>
      <c r="F106" s="325"/>
      <c r="G106" s="327"/>
      <c r="H106" s="328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323"/>
      <c r="D107" s="323"/>
      <c r="E107" s="325"/>
      <c r="F107" s="325"/>
      <c r="G107" s="327"/>
      <c r="H107" s="328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323"/>
      <c r="D108" s="323"/>
      <c r="E108" s="325"/>
      <c r="F108" s="325"/>
      <c r="G108" s="327"/>
      <c r="H108" s="328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323"/>
      <c r="D109" s="323"/>
      <c r="E109" s="325"/>
      <c r="F109" s="325"/>
      <c r="G109" s="327"/>
      <c r="H109" s="328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25"/>
      <c r="F110" s="325"/>
      <c r="G110" s="327"/>
      <c r="H110" s="328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323"/>
      <c r="E111" s="325"/>
      <c r="F111" s="325"/>
      <c r="G111" s="327"/>
      <c r="H111" s="328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25"/>
      <c r="F112" s="325"/>
      <c r="G112" s="327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B153" s="281"/>
      <c r="C153" s="282"/>
      <c r="D153" s="282"/>
      <c r="E153" s="291"/>
      <c r="F153" s="292"/>
      <c r="G153" s="313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</sheetData>
  <autoFilter ref="$B$24:$H$153">
    <sortState ref="B24:H153">
      <sortCondition ref="B24:B153"/>
    </sortState>
  </autoFilter>
  <customSheetViews>
    <customSheetView guid="{CD2BF927-9D79-47FC-BBA8-927062D6B3F5}" filter="1" showAutoFilter="1">
      <autoFilter ref="$B$24:$H$153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53">
      <formula1>$L:$L</formula1>
    </dataValidation>
  </dataValidations>
  <hyperlinks>
    <hyperlink r:id="rId1" ref="I3"/>
    <hyperlink r:id="rId2" ref="I4"/>
    <hyperlink r:id="rId3" ref="D87"/>
  </hyperlinks>
  <printOptions/>
  <pageMargins bottom="0.75" footer="0.0" header="0.0" left="0.25" right="0.25" top="0.75"/>
  <pageSetup fitToHeight="0" paperSize="9" orientation="portrait"/>
  <drawing r:id="rId4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1817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'24.05월'!G5</f>
        <v>13559166</v>
      </c>
      <c r="E5" s="355">
        <f t="shared" ref="E5:E16" si="1">sumif($B$25:$B$122,B5,$E$25:$E$122)</f>
        <v>30002729</v>
      </c>
      <c r="F5" s="356">
        <f t="shared" ref="F5:F16" si="2">sumif($B$25:$B$122,B5,$F$25:$F$122)</f>
        <v>40056210</v>
      </c>
      <c r="G5" s="229">
        <f t="shared" ref="G5:G16" si="3">D5+E5-F5</f>
        <v>3505685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'24.05월'!G6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376">
        <f>'24.05월'!G7</f>
        <v>8821393</v>
      </c>
      <c r="E7" s="359">
        <f t="shared" si="1"/>
        <v>182482944</v>
      </c>
      <c r="F7" s="360">
        <f t="shared" si="2"/>
        <v>185195743</v>
      </c>
      <c r="G7" s="239">
        <f t="shared" si="3"/>
        <v>6108594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'24.05월'!G8</f>
        <v>79728.38</v>
      </c>
      <c r="E8" s="361">
        <f t="shared" si="1"/>
        <v>49995.32</v>
      </c>
      <c r="F8" s="358">
        <f t="shared" si="2"/>
        <v>129723.7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76">
        <f>'24.05월'!G9</f>
        <v>16990423</v>
      </c>
      <c r="E9" s="359">
        <f t="shared" si="1"/>
        <v>194003600</v>
      </c>
      <c r="F9" s="360">
        <f t="shared" si="2"/>
        <v>192266672</v>
      </c>
      <c r="G9" s="239">
        <f t="shared" si="3"/>
        <v>18727351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232">
        <f>'24.05월'!G10</f>
        <v>0</v>
      </c>
      <c r="E10" s="359">
        <f t="shared" si="1"/>
        <v>15435</v>
      </c>
      <c r="F10" s="360">
        <f t="shared" si="2"/>
        <v>0</v>
      </c>
      <c r="G10" s="239">
        <f t="shared" si="3"/>
        <v>15435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'24.05월'!G11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'24.05월'!G12</f>
        <v>66861.2</v>
      </c>
      <c r="E12" s="361">
        <f t="shared" si="1"/>
        <v>0</v>
      </c>
      <c r="F12" s="362">
        <f t="shared" si="2"/>
        <v>1935.29</v>
      </c>
      <c r="G12" s="329">
        <f t="shared" si="3"/>
        <v>64925.91</v>
      </c>
      <c r="H12" s="125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'24.05월'!G13</f>
        <v>0</v>
      </c>
      <c r="E13" s="363">
        <f t="shared" si="1"/>
        <v>0</v>
      </c>
      <c r="F13" s="364">
        <f t="shared" si="2"/>
        <v>0</v>
      </c>
      <c r="G13" s="320">
        <f t="shared" si="3"/>
        <v>0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76">
        <f>'24.05월'!G14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'24.05월'!G15</f>
        <v>208850.27</v>
      </c>
      <c r="E15" s="361">
        <f t="shared" si="1"/>
        <v>0</v>
      </c>
      <c r="F15" s="358">
        <f t="shared" si="2"/>
        <v>65266.16</v>
      </c>
      <c r="G15" s="235">
        <f t="shared" si="3"/>
        <v>143584.11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'24.05월'!G16</f>
        <v>258.19</v>
      </c>
      <c r="E16" s="366">
        <f t="shared" si="1"/>
        <v>151.82</v>
      </c>
      <c r="F16" s="367">
        <f t="shared" si="2"/>
        <v>25</v>
      </c>
      <c r="G16" s="310">
        <f t="shared" si="3"/>
        <v>385.01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39370982</v>
      </c>
      <c r="E18" s="262">
        <f t="shared" si="4"/>
        <v>406504708</v>
      </c>
      <c r="F18" s="263">
        <f t="shared" si="4"/>
        <v>417518625</v>
      </c>
      <c r="G18" s="345">
        <f t="shared" si="4"/>
        <v>28357065</v>
      </c>
      <c r="H18" s="353">
        <f>G18</f>
        <v>28357065</v>
      </c>
      <c r="I18" s="353">
        <f>D18</f>
        <v>39370982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</f>
        <v>355442.16</v>
      </c>
      <c r="E19" s="269">
        <f t="shared" si="5"/>
        <v>49995.32</v>
      </c>
      <c r="F19" s="270">
        <f t="shared" si="5"/>
        <v>196925.15</v>
      </c>
      <c r="G19" s="346">
        <f t="shared" si="5"/>
        <v>208512.33</v>
      </c>
      <c r="H19" s="265">
        <f>rounddown(G19*$J$3,0)</f>
        <v>307081321</v>
      </c>
      <c r="I19" s="265">
        <f>rounddown(D19*$J$3,0)</f>
        <v>523468555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258.19</v>
      </c>
      <c r="E20" s="274">
        <f t="shared" si="6"/>
        <v>151.82</v>
      </c>
      <c r="F20" s="275">
        <f t="shared" si="6"/>
        <v>25</v>
      </c>
      <c r="G20" s="347">
        <f t="shared" si="6"/>
        <v>385.01</v>
      </c>
      <c r="H20" s="277">
        <f>rounddown(G20*$J$4,0)</f>
        <v>440407</v>
      </c>
      <c r="I20" s="277">
        <f>rounddown(D20*$J$4,0)</f>
        <v>295339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335878793</v>
      </c>
      <c r="I21" s="279">
        <f t="shared" si="7"/>
        <v>563134876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-227256083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B12</f>
        <v>WISE USD</v>
      </c>
      <c r="C25" s="323" t="s">
        <v>1818</v>
      </c>
      <c r="D25" s="323" t="s">
        <v>1803</v>
      </c>
      <c r="E25" s="325"/>
      <c r="F25" s="337">
        <v>8.14</v>
      </c>
      <c r="G25" s="327" t="s">
        <v>1819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>B5</f>
        <v>신한 #672</v>
      </c>
      <c r="C26" s="323" t="s">
        <v>1820</v>
      </c>
      <c r="D26" s="323" t="s">
        <v>1821</v>
      </c>
      <c r="E26" s="337"/>
      <c r="F26" s="325">
        <v>300000.0</v>
      </c>
      <c r="G26" s="327" t="s">
        <v>1821</v>
      </c>
      <c r="H26" s="328" t="s">
        <v>1640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B5</f>
        <v>신한 #672</v>
      </c>
      <c r="C27" s="323" t="s">
        <v>1822</v>
      </c>
      <c r="D27" s="323" t="s">
        <v>632</v>
      </c>
      <c r="E27" s="337"/>
      <c r="F27" s="325">
        <v>1.3E7</v>
      </c>
      <c r="G27" s="327" t="s">
        <v>1035</v>
      </c>
      <c r="H27" s="328" t="s">
        <v>556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B5</f>
        <v>신한 #672</v>
      </c>
      <c r="C28" s="323" t="s">
        <v>1822</v>
      </c>
      <c r="D28" s="323" t="s">
        <v>1115</v>
      </c>
      <c r="E28" s="337"/>
      <c r="F28" s="325">
        <v>500.0</v>
      </c>
      <c r="G28" s="327" t="s">
        <v>1305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B9</f>
        <v>기업 #019</v>
      </c>
      <c r="C29" s="323" t="s">
        <v>1822</v>
      </c>
      <c r="D29" s="323" t="s">
        <v>632</v>
      </c>
      <c r="E29" s="325">
        <v>1.3E7</v>
      </c>
      <c r="F29" s="325"/>
      <c r="G29" s="327" t="s">
        <v>1035</v>
      </c>
      <c r="H29" s="328" t="s">
        <v>556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B9</f>
        <v>기업 #019</v>
      </c>
      <c r="C30" s="323" t="s">
        <v>1822</v>
      </c>
      <c r="D30" s="323" t="s">
        <v>1823</v>
      </c>
      <c r="E30" s="326"/>
      <c r="F30" s="325">
        <v>2254960.0</v>
      </c>
      <c r="G30" s="327" t="s">
        <v>1824</v>
      </c>
      <c r="H30" s="328" t="s">
        <v>41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B9</f>
        <v>기업 #019</v>
      </c>
      <c r="C31" s="323" t="s">
        <v>1822</v>
      </c>
      <c r="D31" s="323" t="s">
        <v>1823</v>
      </c>
      <c r="E31" s="337"/>
      <c r="F31" s="325">
        <v>1.2587944E7</v>
      </c>
      <c r="G31" s="327" t="s">
        <v>1825</v>
      </c>
      <c r="H31" s="328" t="s">
        <v>41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B9</f>
        <v>기업 #019</v>
      </c>
      <c r="C32" s="323" t="s">
        <v>1822</v>
      </c>
      <c r="D32" s="323" t="s">
        <v>113</v>
      </c>
      <c r="E32" s="325"/>
      <c r="F32" s="325">
        <v>13800.0</v>
      </c>
      <c r="G32" s="327" t="s">
        <v>1438</v>
      </c>
      <c r="H32" s="328" t="s">
        <v>4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B9</f>
        <v>기업 #019</v>
      </c>
      <c r="C33" s="323" t="s">
        <v>1822</v>
      </c>
      <c r="D33" s="323" t="s">
        <v>1826</v>
      </c>
      <c r="E33" s="326"/>
      <c r="F33" s="325">
        <v>506000.0</v>
      </c>
      <c r="G33" s="327" t="s">
        <v>1827</v>
      </c>
      <c r="H33" s="328" t="s">
        <v>930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B9</f>
        <v>기업 #019</v>
      </c>
      <c r="C34" s="323" t="s">
        <v>1822</v>
      </c>
      <c r="D34" s="323" t="s">
        <v>1552</v>
      </c>
      <c r="E34" s="337"/>
      <c r="F34" s="325">
        <v>246600.0</v>
      </c>
      <c r="G34" s="327" t="s">
        <v>1828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B9</f>
        <v>기업 #019</v>
      </c>
      <c r="C35" s="323" t="s">
        <v>1822</v>
      </c>
      <c r="D35" s="323" t="s">
        <v>789</v>
      </c>
      <c r="E35" s="325"/>
      <c r="F35" s="325">
        <v>6114790.0</v>
      </c>
      <c r="G35" s="327" t="s">
        <v>1293</v>
      </c>
      <c r="H35" s="328" t="s">
        <v>33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B9</f>
        <v>기업 #019</v>
      </c>
      <c r="C36" s="323" t="s">
        <v>1822</v>
      </c>
      <c r="D36" s="323" t="s">
        <v>1829</v>
      </c>
      <c r="E36" s="337"/>
      <c r="F36" s="325">
        <v>825000.0</v>
      </c>
      <c r="G36" s="327" t="s">
        <v>1830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기업 #019</v>
      </c>
      <c r="C37" s="323" t="s">
        <v>1822</v>
      </c>
      <c r="D37" s="323" t="s">
        <v>1297</v>
      </c>
      <c r="E37" s="337"/>
      <c r="F37" s="325">
        <v>4234630.0</v>
      </c>
      <c r="G37" s="327" t="s">
        <v>1298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B9</f>
        <v>기업 #019</v>
      </c>
      <c r="C38" s="323" t="s">
        <v>1822</v>
      </c>
      <c r="D38" s="323" t="s">
        <v>1297</v>
      </c>
      <c r="E38" s="337"/>
      <c r="F38" s="325">
        <v>369670.0</v>
      </c>
      <c r="G38" s="327" t="s">
        <v>1831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B9</f>
        <v>기업 #019</v>
      </c>
      <c r="C39" s="323" t="s">
        <v>1822</v>
      </c>
      <c r="D39" s="323" t="s">
        <v>1299</v>
      </c>
      <c r="E39" s="337"/>
      <c r="F39" s="325">
        <v>460370.0</v>
      </c>
      <c r="G39" s="327" t="s">
        <v>1832</v>
      </c>
      <c r="H39" s="328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B9</f>
        <v>기업 #019</v>
      </c>
      <c r="C40" s="323" t="s">
        <v>1822</v>
      </c>
      <c r="D40" s="323" t="s">
        <v>122</v>
      </c>
      <c r="E40" s="325"/>
      <c r="F40" s="325">
        <v>1500000.0</v>
      </c>
      <c r="G40" s="327" t="s">
        <v>1656</v>
      </c>
      <c r="H40" s="328" t="s">
        <v>1327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B15</f>
        <v>OCBC USD</v>
      </c>
      <c r="C41" s="323" t="s">
        <v>1822</v>
      </c>
      <c r="D41" s="323" t="s">
        <v>1303</v>
      </c>
      <c r="E41" s="325"/>
      <c r="F41" s="337">
        <v>15191.33</v>
      </c>
      <c r="G41" s="327" t="s">
        <v>1304</v>
      </c>
      <c r="H41" s="328" t="s">
        <v>930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B15</f>
        <v>OCBC USD</v>
      </c>
      <c r="C42" s="323" t="s">
        <v>1822</v>
      </c>
      <c r="D42" s="379" t="s">
        <v>746</v>
      </c>
      <c r="E42" s="325"/>
      <c r="F42" s="325">
        <v>15.0</v>
      </c>
      <c r="G42" s="327" t="s">
        <v>1119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B15</f>
        <v>OCBC USD</v>
      </c>
      <c r="C43" s="323" t="s">
        <v>1822</v>
      </c>
      <c r="D43" s="379" t="s">
        <v>746</v>
      </c>
      <c r="E43" s="325"/>
      <c r="F43" s="325">
        <v>22.46</v>
      </c>
      <c r="G43" s="327" t="s">
        <v>1119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">
        <v>747</v>
      </c>
      <c r="C44" s="323" t="s">
        <v>1833</v>
      </c>
      <c r="D44" s="282" t="s">
        <v>1712</v>
      </c>
      <c r="E44" s="291">
        <v>151.82</v>
      </c>
      <c r="F44" s="291"/>
      <c r="G44" s="313" t="s">
        <v>1834</v>
      </c>
      <c r="H44" s="286" t="s">
        <v>31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">
        <v>747</v>
      </c>
      <c r="C45" s="323" t="s">
        <v>1835</v>
      </c>
      <c r="D45" s="323" t="s">
        <v>828</v>
      </c>
      <c r="E45" s="325"/>
      <c r="F45" s="337">
        <v>10.0</v>
      </c>
      <c r="G45" s="313" t="s">
        <v>1079</v>
      </c>
      <c r="H45" s="286" t="s">
        <v>33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B8</f>
        <v>하나 #138</v>
      </c>
      <c r="C46" s="323" t="s">
        <v>1822</v>
      </c>
      <c r="D46" s="323" t="s">
        <v>632</v>
      </c>
      <c r="E46" s="337"/>
      <c r="F46" s="337">
        <v>79728.38</v>
      </c>
      <c r="G46" s="327" t="s">
        <v>679</v>
      </c>
      <c r="H46" s="328" t="s">
        <v>556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B7</f>
        <v>하나 #304</v>
      </c>
      <c r="C47" s="323" t="s">
        <v>1822</v>
      </c>
      <c r="D47" s="323" t="s">
        <v>632</v>
      </c>
      <c r="E47" s="325">
        <v>1.081946E8</v>
      </c>
      <c r="F47" s="325"/>
      <c r="G47" s="327" t="s">
        <v>679</v>
      </c>
      <c r="H47" s="328" t="s">
        <v>556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B7</f>
        <v>하나 #304</v>
      </c>
      <c r="C48" s="323" t="s">
        <v>1822</v>
      </c>
      <c r="D48" s="323" t="s">
        <v>632</v>
      </c>
      <c r="E48" s="337"/>
      <c r="F48" s="325">
        <v>1.1E8</v>
      </c>
      <c r="G48" s="327" t="s">
        <v>1035</v>
      </c>
      <c r="H48" s="328" t="s">
        <v>556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B7</f>
        <v>하나 #304</v>
      </c>
      <c r="C49" s="323" t="s">
        <v>1822</v>
      </c>
      <c r="D49" s="323" t="s">
        <v>632</v>
      </c>
      <c r="E49" s="326"/>
      <c r="F49" s="326">
        <v>500.0</v>
      </c>
      <c r="G49" s="327" t="s">
        <v>1305</v>
      </c>
      <c r="H49" s="328" t="s">
        <v>556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B9</f>
        <v>기업 #019</v>
      </c>
      <c r="C50" s="323" t="s">
        <v>1822</v>
      </c>
      <c r="D50" s="323" t="s">
        <v>632</v>
      </c>
      <c r="E50" s="325">
        <v>1.1E8</v>
      </c>
      <c r="F50" s="325"/>
      <c r="G50" s="327" t="s">
        <v>1035</v>
      </c>
      <c r="H50" s="328" t="s">
        <v>556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B9</f>
        <v>기업 #019</v>
      </c>
      <c r="C51" s="323" t="s">
        <v>1822</v>
      </c>
      <c r="D51" s="323" t="s">
        <v>632</v>
      </c>
      <c r="E51" s="325"/>
      <c r="F51" s="325">
        <v>3.0E7</v>
      </c>
      <c r="G51" s="327" t="s">
        <v>1035</v>
      </c>
      <c r="H51" s="328" t="s">
        <v>556</v>
      </c>
      <c r="I51" s="107"/>
      <c r="J51" s="141"/>
      <c r="K51" s="141"/>
      <c r="L51" s="83"/>
      <c r="M51" s="84"/>
      <c r="N51" s="141"/>
      <c r="O51" s="141"/>
      <c r="P51" s="141"/>
      <c r="Q51" s="141"/>
      <c r="R51" s="141"/>
      <c r="S51" s="141"/>
      <c r="T51" s="141"/>
      <c r="U51" s="141"/>
      <c r="V51" s="141"/>
      <c r="W51" s="141"/>
      <c r="X51" s="141"/>
      <c r="Y51" s="141"/>
    </row>
    <row r="52" ht="15.0" customHeight="1">
      <c r="A52" s="105"/>
      <c r="B52" s="281" t="str">
        <f>B5</f>
        <v>신한 #672</v>
      </c>
      <c r="C52" s="323" t="s">
        <v>1822</v>
      </c>
      <c r="D52" s="323" t="s">
        <v>632</v>
      </c>
      <c r="E52" s="325">
        <v>3.0E7</v>
      </c>
      <c r="F52" s="325"/>
      <c r="G52" s="327" t="s">
        <v>1035</v>
      </c>
      <c r="H52" s="328" t="s">
        <v>556</v>
      </c>
      <c r="I52" s="107"/>
      <c r="J52" s="141"/>
      <c r="K52" s="141"/>
      <c r="L52" s="83"/>
      <c r="M52" s="84"/>
      <c r="N52" s="141"/>
      <c r="O52" s="141"/>
      <c r="P52" s="141"/>
      <c r="Q52" s="141"/>
      <c r="R52" s="141"/>
      <c r="S52" s="141"/>
      <c r="T52" s="141"/>
      <c r="U52" s="141"/>
      <c r="V52" s="141"/>
      <c r="W52" s="141"/>
      <c r="X52" s="141"/>
      <c r="Y52" s="141"/>
    </row>
    <row r="53" ht="15.0" customHeight="1">
      <c r="A53" s="105"/>
      <c r="B53" s="281" t="str">
        <f>B10</f>
        <v>기업 #020</v>
      </c>
      <c r="C53" s="323" t="s">
        <v>1836</v>
      </c>
      <c r="D53" s="323" t="s">
        <v>1837</v>
      </c>
      <c r="E53" s="325">
        <v>15435.0</v>
      </c>
      <c r="F53" s="325"/>
      <c r="G53" s="327" t="s">
        <v>1837</v>
      </c>
      <c r="H53" s="328" t="s">
        <v>75</v>
      </c>
      <c r="I53" s="107"/>
      <c r="J53" s="141"/>
      <c r="K53" s="141"/>
      <c r="L53" s="83"/>
      <c r="M53" s="84"/>
      <c r="N53" s="141"/>
      <c r="O53" s="141"/>
      <c r="P53" s="141"/>
      <c r="Q53" s="141"/>
      <c r="R53" s="141"/>
      <c r="S53" s="141"/>
      <c r="T53" s="141"/>
      <c r="U53" s="141"/>
      <c r="V53" s="141"/>
      <c r="W53" s="141"/>
      <c r="X53" s="141"/>
      <c r="Y53" s="141"/>
    </row>
    <row r="54" ht="15.0" customHeight="1">
      <c r="A54" s="105"/>
      <c r="B54" s="281" t="str">
        <f>B5</f>
        <v>신한 #672</v>
      </c>
      <c r="C54" s="323" t="s">
        <v>1838</v>
      </c>
      <c r="D54" s="323" t="s">
        <v>1839</v>
      </c>
      <c r="E54" s="325"/>
      <c r="F54" s="325">
        <v>9340560.0</v>
      </c>
      <c r="G54" s="327" t="s">
        <v>1839</v>
      </c>
      <c r="H54" s="328" t="s">
        <v>31</v>
      </c>
      <c r="I54" s="107"/>
      <c r="J54" s="141"/>
      <c r="K54" s="141"/>
      <c r="L54" s="83"/>
      <c r="M54" s="84"/>
      <c r="N54" s="141"/>
      <c r="O54" s="141"/>
      <c r="P54" s="141"/>
      <c r="Q54" s="141"/>
      <c r="R54" s="141"/>
      <c r="S54" s="141"/>
      <c r="T54" s="141"/>
      <c r="U54" s="141"/>
      <c r="V54" s="141"/>
      <c r="W54" s="141"/>
      <c r="X54" s="141"/>
      <c r="Y54" s="141"/>
    </row>
    <row r="55" ht="15.0" customHeight="1">
      <c r="A55" s="105"/>
      <c r="B55" s="281" t="str">
        <f>B5</f>
        <v>신한 #672</v>
      </c>
      <c r="C55" s="323" t="s">
        <v>1838</v>
      </c>
      <c r="D55" s="323" t="s">
        <v>1840</v>
      </c>
      <c r="E55" s="325"/>
      <c r="F55" s="325">
        <v>8227560.0</v>
      </c>
      <c r="G55" s="327" t="s">
        <v>1840</v>
      </c>
      <c r="H55" s="328" t="s">
        <v>31</v>
      </c>
      <c r="I55" s="107"/>
      <c r="J55" s="141"/>
      <c r="K55" s="141"/>
      <c r="L55" s="83"/>
      <c r="M55" s="84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B5</f>
        <v>신한 #672</v>
      </c>
      <c r="C56" s="323" t="s">
        <v>1838</v>
      </c>
      <c r="D56" s="323" t="s">
        <v>1841</v>
      </c>
      <c r="E56" s="325"/>
      <c r="F56" s="325">
        <v>1858520.0</v>
      </c>
      <c r="G56" s="327" t="s">
        <v>1841</v>
      </c>
      <c r="H56" s="328" t="s">
        <v>31</v>
      </c>
      <c r="I56" s="107"/>
      <c r="J56" s="141"/>
      <c r="K56" s="141"/>
      <c r="L56" s="83"/>
      <c r="M56" s="84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B5</f>
        <v>신한 #672</v>
      </c>
      <c r="C57" s="323" t="s">
        <v>1838</v>
      </c>
      <c r="D57" s="323" t="s">
        <v>1842</v>
      </c>
      <c r="E57" s="325"/>
      <c r="F57" s="325">
        <v>656990.0</v>
      </c>
      <c r="G57" s="327" t="s">
        <v>1842</v>
      </c>
      <c r="H57" s="328" t="s">
        <v>31</v>
      </c>
      <c r="I57" s="107"/>
      <c r="J57" s="141"/>
      <c r="K57" s="141"/>
      <c r="L57" s="83"/>
      <c r="M57" s="84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>B12</f>
        <v>WISE USD</v>
      </c>
      <c r="C58" s="323" t="s">
        <v>1838</v>
      </c>
      <c r="D58" s="323" t="s">
        <v>740</v>
      </c>
      <c r="E58" s="325"/>
      <c r="F58" s="337">
        <v>1646.75</v>
      </c>
      <c r="G58" s="327" t="s">
        <v>1843</v>
      </c>
      <c r="H58" s="328" t="s">
        <v>1327</v>
      </c>
      <c r="I58" s="107"/>
      <c r="J58" s="141"/>
      <c r="K58" s="141"/>
      <c r="L58" s="83"/>
      <c r="M58" s="84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>B12</f>
        <v>WISE USD</v>
      </c>
      <c r="C59" s="323" t="s">
        <v>1838</v>
      </c>
      <c r="D59" s="323" t="s">
        <v>1072</v>
      </c>
      <c r="E59" s="325"/>
      <c r="F59" s="337">
        <v>1.13</v>
      </c>
      <c r="G59" s="327" t="s">
        <v>1119</v>
      </c>
      <c r="H59" s="328" t="s">
        <v>33</v>
      </c>
      <c r="I59" s="107"/>
      <c r="J59" s="141"/>
      <c r="K59" s="141"/>
      <c r="L59" s="83"/>
      <c r="M59" s="84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B9</f>
        <v>기업 #019</v>
      </c>
      <c r="C60" s="323" t="s">
        <v>1844</v>
      </c>
      <c r="D60" s="323" t="s">
        <v>1845</v>
      </c>
      <c r="E60" s="325"/>
      <c r="F60" s="325">
        <v>2200000.0</v>
      </c>
      <c r="G60" s="327" t="s">
        <v>1846</v>
      </c>
      <c r="H60" s="328" t="s">
        <v>930</v>
      </c>
      <c r="I60" s="107"/>
      <c r="J60" s="141"/>
      <c r="K60" s="141"/>
      <c r="L60" s="83"/>
      <c r="M60" s="84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B9</f>
        <v>기업 #019</v>
      </c>
      <c r="C61" s="323" t="s">
        <v>1844</v>
      </c>
      <c r="D61" s="323" t="s">
        <v>1847</v>
      </c>
      <c r="E61" s="325"/>
      <c r="F61" s="325">
        <f>350000*7</f>
        <v>2450000</v>
      </c>
      <c r="G61" s="327" t="s">
        <v>1848</v>
      </c>
      <c r="H61" s="328" t="s">
        <v>4</v>
      </c>
      <c r="I61" s="107"/>
      <c r="J61" s="141"/>
      <c r="K61" s="141"/>
      <c r="L61" s="83"/>
      <c r="M61" s="84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B9</f>
        <v>기업 #019</v>
      </c>
      <c r="C62" s="374" t="s">
        <v>1849</v>
      </c>
      <c r="D62" s="323" t="s">
        <v>1850</v>
      </c>
      <c r="E62" s="325"/>
      <c r="F62" s="325">
        <v>102000.0</v>
      </c>
      <c r="G62" s="327" t="s">
        <v>1851</v>
      </c>
      <c r="H62" s="328" t="s">
        <v>33</v>
      </c>
      <c r="I62" s="107"/>
      <c r="J62" s="141"/>
      <c r="K62" s="141"/>
      <c r="L62" s="83"/>
      <c r="M62" s="84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281" t="str">
        <f t="shared" ref="B63:B65" si="8">B7</f>
        <v>하나 #304</v>
      </c>
      <c r="C63" s="374" t="s">
        <v>1852</v>
      </c>
      <c r="D63" s="323" t="s">
        <v>1837</v>
      </c>
      <c r="E63" s="325">
        <v>1793.0</v>
      </c>
      <c r="F63" s="325"/>
      <c r="G63" s="327" t="s">
        <v>1837</v>
      </c>
      <c r="H63" s="328" t="s">
        <v>75</v>
      </c>
      <c r="I63" s="107"/>
      <c r="J63" s="141"/>
      <c r="K63" s="141"/>
      <c r="L63" s="83"/>
      <c r="M63" s="84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281" t="str">
        <f t="shared" si="8"/>
        <v>하나 #138</v>
      </c>
      <c r="C64" s="374" t="s">
        <v>1852</v>
      </c>
      <c r="D64" s="323" t="s">
        <v>1837</v>
      </c>
      <c r="E64" s="337">
        <v>0.32</v>
      </c>
      <c r="F64" s="325"/>
      <c r="G64" s="327" t="s">
        <v>1837</v>
      </c>
      <c r="H64" s="328" t="s">
        <v>75</v>
      </c>
      <c r="I64" s="107"/>
      <c r="J64" s="141"/>
      <c r="K64" s="141"/>
      <c r="L64" s="83"/>
      <c r="M64" s="84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 t="shared" si="8"/>
        <v>기업 #019</v>
      </c>
      <c r="C65" s="374" t="s">
        <v>1853</v>
      </c>
      <c r="D65" s="323" t="s">
        <v>1837</v>
      </c>
      <c r="E65" s="325">
        <v>3600.0</v>
      </c>
      <c r="F65" s="325"/>
      <c r="G65" s="327" t="s">
        <v>1837</v>
      </c>
      <c r="H65" s="328" t="s">
        <v>75</v>
      </c>
      <c r="I65" s="107"/>
      <c r="J65" s="141"/>
      <c r="K65" s="141"/>
      <c r="L65" s="83"/>
      <c r="M65" s="84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B9</f>
        <v>기업 #019</v>
      </c>
      <c r="C66" s="374" t="s">
        <v>1854</v>
      </c>
      <c r="D66" s="323" t="s">
        <v>84</v>
      </c>
      <c r="E66" s="325"/>
      <c r="F66" s="325">
        <v>1005890.0</v>
      </c>
      <c r="G66" s="327" t="s">
        <v>1660</v>
      </c>
      <c r="H66" s="328" t="s">
        <v>1642</v>
      </c>
      <c r="I66" s="107"/>
      <c r="J66" s="141"/>
      <c r="K66" s="141"/>
      <c r="L66" s="83"/>
      <c r="M66" s="84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B9</f>
        <v>기업 #019</v>
      </c>
      <c r="C67" s="374" t="s">
        <v>1854</v>
      </c>
      <c r="D67" s="323" t="s">
        <v>1855</v>
      </c>
      <c r="E67" s="325"/>
      <c r="F67" s="325">
        <v>2417500.0</v>
      </c>
      <c r="G67" s="327" t="s">
        <v>1856</v>
      </c>
      <c r="H67" s="328" t="s">
        <v>39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B9</f>
        <v>기업 #019</v>
      </c>
      <c r="C68" s="374" t="s">
        <v>1854</v>
      </c>
      <c r="D68" s="323" t="s">
        <v>119</v>
      </c>
      <c r="E68" s="325"/>
      <c r="F68" s="325">
        <v>246587.0</v>
      </c>
      <c r="G68" s="327" t="s">
        <v>1857</v>
      </c>
      <c r="H68" s="328" t="s">
        <v>4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B9</f>
        <v>기업 #019</v>
      </c>
      <c r="C69" s="374" t="s">
        <v>1854</v>
      </c>
      <c r="D69" s="323" t="s">
        <v>1858</v>
      </c>
      <c r="E69" s="325"/>
      <c r="F69" s="325">
        <v>21855.0</v>
      </c>
      <c r="G69" s="327" t="s">
        <v>1859</v>
      </c>
      <c r="H69" s="328" t="s">
        <v>4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B9</f>
        <v>기업 #019</v>
      </c>
      <c r="C70" s="374" t="s">
        <v>1854</v>
      </c>
      <c r="D70" s="323" t="s">
        <v>993</v>
      </c>
      <c r="E70" s="325"/>
      <c r="F70" s="325">
        <v>118700.0</v>
      </c>
      <c r="G70" s="327" t="s">
        <v>1438</v>
      </c>
      <c r="H70" s="328" t="s">
        <v>4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B15</f>
        <v>OCBC USD</v>
      </c>
      <c r="C71" s="374" t="s">
        <v>1854</v>
      </c>
      <c r="D71" s="323" t="s">
        <v>1725</v>
      </c>
      <c r="E71" s="325"/>
      <c r="F71" s="337">
        <v>50000.0</v>
      </c>
      <c r="G71" s="327" t="s">
        <v>1035</v>
      </c>
      <c r="H71" s="328" t="s">
        <v>556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B15</f>
        <v>OCBC USD</v>
      </c>
      <c r="C72" s="374" t="s">
        <v>1854</v>
      </c>
      <c r="D72" s="323" t="s">
        <v>1724</v>
      </c>
      <c r="E72" s="337"/>
      <c r="F72" s="337">
        <v>22.37</v>
      </c>
      <c r="G72" s="327" t="s">
        <v>1119</v>
      </c>
      <c r="H72" s="328" t="s">
        <v>33</v>
      </c>
      <c r="I72" s="107"/>
      <c r="J72" s="141"/>
      <c r="K72" s="141"/>
      <c r="L72" s="83"/>
      <c r="M72" s="84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B15</f>
        <v>OCBC USD</v>
      </c>
      <c r="C73" s="374" t="s">
        <v>1854</v>
      </c>
      <c r="D73" s="323" t="s">
        <v>1724</v>
      </c>
      <c r="E73" s="337"/>
      <c r="F73" s="337">
        <v>15.0</v>
      </c>
      <c r="G73" s="327" t="s">
        <v>1119</v>
      </c>
      <c r="H73" s="328" t="s">
        <v>33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B8</f>
        <v>하나 #138</v>
      </c>
      <c r="C74" s="374" t="s">
        <v>1854</v>
      </c>
      <c r="D74" s="323" t="s">
        <v>1725</v>
      </c>
      <c r="E74" s="337">
        <v>49995.0</v>
      </c>
      <c r="F74" s="325"/>
      <c r="G74" s="327" t="s">
        <v>1035</v>
      </c>
      <c r="H74" s="328" t="s">
        <v>556</v>
      </c>
      <c r="I74" s="107"/>
      <c r="J74" s="141"/>
      <c r="K74" s="141"/>
      <c r="L74" s="83"/>
      <c r="M74" s="84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281" t="str">
        <f>B5</f>
        <v>신한 #672</v>
      </c>
      <c r="C75" s="323" t="s">
        <v>1860</v>
      </c>
      <c r="D75" s="323" t="s">
        <v>1202</v>
      </c>
      <c r="E75" s="326"/>
      <c r="F75" s="326">
        <v>110000.0</v>
      </c>
      <c r="G75" s="327" t="s">
        <v>1202</v>
      </c>
      <c r="H75" s="328" t="s">
        <v>33</v>
      </c>
      <c r="I75" s="107"/>
      <c r="J75" s="141"/>
      <c r="K75" s="141"/>
      <c r="L75" s="83"/>
      <c r="M75" s="84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281" t="str">
        <f>B5</f>
        <v>신한 #672</v>
      </c>
      <c r="C76" s="323" t="s">
        <v>1861</v>
      </c>
      <c r="D76" s="323" t="s">
        <v>1837</v>
      </c>
      <c r="E76" s="325">
        <v>2729.0</v>
      </c>
      <c r="F76" s="325"/>
      <c r="G76" s="327" t="s">
        <v>1837</v>
      </c>
      <c r="H76" s="328" t="s">
        <v>75</v>
      </c>
      <c r="I76" s="107"/>
      <c r="J76" s="141"/>
      <c r="K76" s="141"/>
      <c r="L76" s="83"/>
      <c r="M76" s="84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 t="str">
        <f t="shared" ref="B77:B78" si="9">B7</f>
        <v>하나 #304</v>
      </c>
      <c r="C77" s="323" t="s">
        <v>1862</v>
      </c>
      <c r="D77" s="323" t="s">
        <v>632</v>
      </c>
      <c r="E77" s="325">
        <v>6.8886551E7</v>
      </c>
      <c r="F77" s="325"/>
      <c r="G77" s="327" t="s">
        <v>679</v>
      </c>
      <c r="H77" s="328" t="s">
        <v>556</v>
      </c>
      <c r="I77" s="107"/>
      <c r="J77" s="141"/>
      <c r="K77" s="141"/>
      <c r="L77" s="83"/>
      <c r="M77" s="84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 t="str">
        <f t="shared" si="9"/>
        <v>하나 #138</v>
      </c>
      <c r="C78" s="323" t="s">
        <v>1862</v>
      </c>
      <c r="D78" s="323" t="s">
        <v>632</v>
      </c>
      <c r="E78" s="325"/>
      <c r="F78" s="337">
        <v>49995.32</v>
      </c>
      <c r="G78" s="327" t="s">
        <v>679</v>
      </c>
      <c r="H78" s="328" t="s">
        <v>556</v>
      </c>
      <c r="I78" s="107"/>
      <c r="J78" s="141"/>
      <c r="K78" s="141"/>
      <c r="L78" s="83"/>
      <c r="M78" s="84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 t="str">
        <f>B7</f>
        <v>하나 #304</v>
      </c>
      <c r="C79" s="323" t="s">
        <v>1862</v>
      </c>
      <c r="D79" s="323" t="s">
        <v>632</v>
      </c>
      <c r="E79" s="325"/>
      <c r="F79" s="325">
        <v>5.8E7</v>
      </c>
      <c r="G79" s="327" t="s">
        <v>1035</v>
      </c>
      <c r="H79" s="328" t="s">
        <v>556</v>
      </c>
      <c r="I79" s="107"/>
      <c r="J79" s="141"/>
      <c r="K79" s="141"/>
      <c r="L79" s="83"/>
      <c r="M79" s="84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</row>
    <row r="80" ht="15.0" customHeight="1">
      <c r="A80" s="105"/>
      <c r="B80" s="281" t="str">
        <f>B7</f>
        <v>하나 #304</v>
      </c>
      <c r="C80" s="323" t="s">
        <v>1862</v>
      </c>
      <c r="D80" s="323" t="s">
        <v>632</v>
      </c>
      <c r="E80" s="325"/>
      <c r="F80" s="325">
        <v>500.0</v>
      </c>
      <c r="G80" s="327" t="s">
        <v>1119</v>
      </c>
      <c r="H80" s="328" t="s">
        <v>33</v>
      </c>
      <c r="I80" s="107"/>
      <c r="J80" s="141"/>
      <c r="K80" s="141"/>
      <c r="L80" s="83"/>
      <c r="M80" s="84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</row>
    <row r="81" ht="15.0" customHeight="1">
      <c r="A81" s="105"/>
      <c r="B81" s="281" t="str">
        <f>B9</f>
        <v>기업 #019</v>
      </c>
      <c r="C81" s="323" t="s">
        <v>1862</v>
      </c>
      <c r="D81" s="323" t="s">
        <v>632</v>
      </c>
      <c r="E81" s="325">
        <v>5.8E7</v>
      </c>
      <c r="F81" s="337"/>
      <c r="G81" s="327" t="s">
        <v>1035</v>
      </c>
      <c r="H81" s="328" t="s">
        <v>556</v>
      </c>
      <c r="I81" s="107"/>
      <c r="J81" s="141"/>
      <c r="K81" s="141"/>
      <c r="L81" s="83"/>
      <c r="M81" s="84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</row>
    <row r="82" ht="15.0" customHeight="1">
      <c r="A82" s="105"/>
      <c r="B82" s="281" t="str">
        <f>B12</f>
        <v>WISE USD</v>
      </c>
      <c r="C82" s="323" t="s">
        <v>1863</v>
      </c>
      <c r="D82" s="323" t="s">
        <v>1718</v>
      </c>
      <c r="E82" s="326"/>
      <c r="F82" s="371">
        <v>59.27</v>
      </c>
      <c r="G82" s="327" t="s">
        <v>1068</v>
      </c>
      <c r="H82" s="286" t="s">
        <v>33</v>
      </c>
      <c r="I82" s="107"/>
      <c r="J82" s="141"/>
      <c r="K82" s="141"/>
      <c r="L82" s="83"/>
      <c r="M82" s="84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ht="15.0" customHeight="1">
      <c r="A83" s="105"/>
      <c r="B83" s="281" t="str">
        <f>B32</f>
        <v>기업 #019</v>
      </c>
      <c r="C83" s="323" t="s">
        <v>1864</v>
      </c>
      <c r="D83" s="323" t="s">
        <v>1622</v>
      </c>
      <c r="E83" s="325"/>
      <c r="F83" s="325">
        <v>9.7715731E7</v>
      </c>
      <c r="G83" s="327" t="s">
        <v>41</v>
      </c>
      <c r="H83" s="328" t="s">
        <v>41</v>
      </c>
      <c r="I83" s="107"/>
      <c r="J83" s="141"/>
      <c r="K83" s="141"/>
      <c r="L83" s="83"/>
      <c r="M83" s="84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</row>
    <row r="84">
      <c r="B84" s="281" t="str">
        <f>B9</f>
        <v>기업 #019</v>
      </c>
      <c r="C84" s="323" t="s">
        <v>1864</v>
      </c>
      <c r="D84" s="323" t="s">
        <v>1669</v>
      </c>
      <c r="E84" s="377"/>
      <c r="F84" s="325">
        <v>3973645.0</v>
      </c>
      <c r="G84" s="327" t="s">
        <v>1865</v>
      </c>
      <c r="H84" s="328" t="s">
        <v>33</v>
      </c>
    </row>
    <row r="85">
      <c r="B85" s="281" t="str">
        <f>B7</f>
        <v>하나 #304</v>
      </c>
      <c r="C85" s="323" t="s">
        <v>1864</v>
      </c>
      <c r="D85" s="323" t="s">
        <v>721</v>
      </c>
      <c r="E85" s="337"/>
      <c r="F85" s="325">
        <v>4194243.0</v>
      </c>
      <c r="G85" s="327" t="s">
        <v>1865</v>
      </c>
      <c r="H85" s="328" t="s">
        <v>33</v>
      </c>
    </row>
    <row r="86" ht="15.0" customHeight="1">
      <c r="A86" s="105"/>
      <c r="B86" s="281" t="str">
        <f>B5</f>
        <v>신한 #672</v>
      </c>
      <c r="C86" s="323" t="s">
        <v>1864</v>
      </c>
      <c r="D86" s="323" t="s">
        <v>1633</v>
      </c>
      <c r="E86" s="325"/>
      <c r="F86" s="325">
        <v>5828930.0</v>
      </c>
      <c r="G86" s="327" t="s">
        <v>1865</v>
      </c>
      <c r="H86" s="328" t="s">
        <v>33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1864</v>
      </c>
      <c r="D87" s="323" t="s">
        <v>1495</v>
      </c>
      <c r="E87" s="325"/>
      <c r="F87" s="325">
        <v>98000.0</v>
      </c>
      <c r="G87" s="327" t="s">
        <v>1047</v>
      </c>
      <c r="H87" s="328" t="s">
        <v>4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B5</f>
        <v>신한 #672</v>
      </c>
      <c r="C88" s="323" t="s">
        <v>1864</v>
      </c>
      <c r="D88" s="323" t="s">
        <v>1496</v>
      </c>
      <c r="E88" s="325"/>
      <c r="F88" s="325">
        <v>37430.0</v>
      </c>
      <c r="G88" s="327" t="s">
        <v>1038</v>
      </c>
      <c r="H88" s="328" t="s">
        <v>4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B5</f>
        <v>신한 #672</v>
      </c>
      <c r="C89" s="323" t="s">
        <v>1864</v>
      </c>
      <c r="D89" s="323" t="s">
        <v>1496</v>
      </c>
      <c r="E89" s="325"/>
      <c r="F89" s="325">
        <v>37430.0</v>
      </c>
      <c r="G89" s="327" t="s">
        <v>1038</v>
      </c>
      <c r="H89" s="328" t="s">
        <v>4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B5</f>
        <v>신한 #672</v>
      </c>
      <c r="C90" s="323" t="s">
        <v>1864</v>
      </c>
      <c r="D90" s="323" t="s">
        <v>1496</v>
      </c>
      <c r="E90" s="337"/>
      <c r="F90" s="325">
        <v>20660.0</v>
      </c>
      <c r="G90" s="327" t="s">
        <v>1039</v>
      </c>
      <c r="H90" s="328" t="s">
        <v>4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>
      <c r="B91" s="281" t="str">
        <f>B5</f>
        <v>신한 #672</v>
      </c>
      <c r="C91" s="323" t="s">
        <v>1864</v>
      </c>
      <c r="D91" s="323" t="s">
        <v>1496</v>
      </c>
      <c r="E91" s="325"/>
      <c r="F91" s="325">
        <v>50250.0</v>
      </c>
      <c r="G91" s="327" t="s">
        <v>1040</v>
      </c>
      <c r="H91" s="328" t="s">
        <v>4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341"/>
      <c r="B92" s="281" t="str">
        <f>B5</f>
        <v>신한 #672</v>
      </c>
      <c r="C92" s="323" t="s">
        <v>1864</v>
      </c>
      <c r="D92" s="323" t="s">
        <v>1496</v>
      </c>
      <c r="E92" s="326"/>
      <c r="F92" s="326">
        <v>20660.0</v>
      </c>
      <c r="G92" s="327" t="s">
        <v>1039</v>
      </c>
      <c r="H92" s="328" t="s">
        <v>4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B5</f>
        <v>신한 #672</v>
      </c>
      <c r="C93" s="323" t="s">
        <v>1864</v>
      </c>
      <c r="D93" s="323" t="s">
        <v>497</v>
      </c>
      <c r="E93" s="326"/>
      <c r="F93" s="326">
        <v>330000.0</v>
      </c>
      <c r="G93" s="327" t="s">
        <v>1042</v>
      </c>
      <c r="H93" s="328" t="s">
        <v>33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B5</f>
        <v>신한 #672</v>
      </c>
      <c r="C94" s="323" t="s">
        <v>1864</v>
      </c>
      <c r="D94" s="323" t="s">
        <v>1497</v>
      </c>
      <c r="E94" s="325"/>
      <c r="F94" s="325">
        <v>56330.0</v>
      </c>
      <c r="G94" s="327" t="s">
        <v>1044</v>
      </c>
      <c r="H94" s="328" t="s">
        <v>4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B7</f>
        <v>하나 #304</v>
      </c>
      <c r="C95" s="323" t="s">
        <v>1864</v>
      </c>
      <c r="D95" s="323" t="s">
        <v>632</v>
      </c>
      <c r="E95" s="325"/>
      <c r="F95" s="325">
        <v>1.3E7</v>
      </c>
      <c r="G95" s="327" t="s">
        <v>1035</v>
      </c>
      <c r="H95" s="328" t="s">
        <v>556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B7</f>
        <v>하나 #304</v>
      </c>
      <c r="C96" s="323" t="s">
        <v>1864</v>
      </c>
      <c r="D96" s="323" t="s">
        <v>632</v>
      </c>
      <c r="E96" s="325"/>
      <c r="F96" s="325">
        <v>500.0</v>
      </c>
      <c r="G96" s="327" t="s">
        <v>1119</v>
      </c>
      <c r="H96" s="328" t="s">
        <v>33</v>
      </c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B9</f>
        <v>기업 #019</v>
      </c>
      <c r="C97" s="323" t="s">
        <v>1864</v>
      </c>
      <c r="D97" s="323" t="s">
        <v>632</v>
      </c>
      <c r="E97" s="325">
        <v>1.3E7</v>
      </c>
      <c r="F97" s="337"/>
      <c r="G97" s="327" t="s">
        <v>1035</v>
      </c>
      <c r="H97" s="328" t="s">
        <v>556</v>
      </c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B9</f>
        <v>기업 #019</v>
      </c>
      <c r="C98" s="323" t="s">
        <v>1864</v>
      </c>
      <c r="D98" s="323" t="s">
        <v>1758</v>
      </c>
      <c r="E98" s="325"/>
      <c r="F98" s="325">
        <v>2901000.0</v>
      </c>
      <c r="G98" s="327" t="s">
        <v>1866</v>
      </c>
      <c r="H98" s="286" t="s">
        <v>39</v>
      </c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B9</f>
        <v>기업 #019</v>
      </c>
      <c r="C99" s="323" t="s">
        <v>1864</v>
      </c>
      <c r="D99" s="282" t="s">
        <v>1850</v>
      </c>
      <c r="E99" s="291"/>
      <c r="F99" s="325">
        <v>2.0E7</v>
      </c>
      <c r="G99" s="327" t="s">
        <v>1867</v>
      </c>
      <c r="H99" s="328" t="s">
        <v>4</v>
      </c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B5</f>
        <v>신한 #672</v>
      </c>
      <c r="C100" s="323" t="s">
        <v>1868</v>
      </c>
      <c r="D100" s="282" t="s">
        <v>920</v>
      </c>
      <c r="E100" s="291"/>
      <c r="F100" s="326">
        <v>82390.0</v>
      </c>
      <c r="G100" s="327" t="s">
        <v>1006</v>
      </c>
      <c r="H100" s="328" t="s">
        <v>33</v>
      </c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350" t="s">
        <v>747</v>
      </c>
      <c r="C101" s="323" t="s">
        <v>1869</v>
      </c>
      <c r="D101" s="323" t="s">
        <v>828</v>
      </c>
      <c r="E101" s="325"/>
      <c r="F101" s="337">
        <v>15.0</v>
      </c>
      <c r="G101" s="313" t="s">
        <v>1079</v>
      </c>
      <c r="H101" s="286" t="s">
        <v>33</v>
      </c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">
        <v>18</v>
      </c>
      <c r="C102" s="323" t="s">
        <v>1870</v>
      </c>
      <c r="D102" s="323" t="s">
        <v>1815</v>
      </c>
      <c r="E102" s="325"/>
      <c r="F102" s="337">
        <v>220.0</v>
      </c>
      <c r="G102" s="327" t="s">
        <v>1816</v>
      </c>
      <c r="H102" s="328" t="s">
        <v>33</v>
      </c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B7</f>
        <v>하나 #304</v>
      </c>
      <c r="C103" s="323" t="s">
        <v>1870</v>
      </c>
      <c r="D103" s="282" t="s">
        <v>1706</v>
      </c>
      <c r="E103" s="283">
        <v>5400000.0</v>
      </c>
      <c r="F103" s="283"/>
      <c r="G103" s="313" t="s">
        <v>1871</v>
      </c>
      <c r="H103" s="286" t="s">
        <v>1555</v>
      </c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323"/>
      <c r="E104" s="325"/>
      <c r="F104" s="325"/>
      <c r="G104" s="327"/>
      <c r="H104" s="328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323"/>
      <c r="E105" s="325"/>
      <c r="F105" s="325"/>
      <c r="G105" s="327"/>
      <c r="H105" s="328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323"/>
      <c r="E106" s="325"/>
      <c r="F106" s="325"/>
      <c r="G106" s="327"/>
      <c r="H106" s="328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323"/>
      <c r="D107" s="323"/>
      <c r="E107" s="325"/>
      <c r="F107" s="325"/>
      <c r="G107" s="327"/>
      <c r="H107" s="328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323"/>
      <c r="D108" s="323"/>
      <c r="E108" s="325"/>
      <c r="F108" s="325"/>
      <c r="G108" s="327"/>
      <c r="H108" s="328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323"/>
      <c r="D109" s="323"/>
      <c r="E109" s="325"/>
      <c r="F109" s="325"/>
      <c r="G109" s="327"/>
      <c r="H109" s="328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25"/>
      <c r="F110" s="325"/>
      <c r="G110" s="327"/>
      <c r="H110" s="328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323"/>
      <c r="E111" s="325"/>
      <c r="F111" s="325"/>
      <c r="G111" s="327"/>
      <c r="H111" s="328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13"/>
      <c r="H112" s="286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13"/>
      <c r="H113" s="286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13"/>
      <c r="H115" s="286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13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B142" s="281"/>
      <c r="C142" s="282"/>
      <c r="D142" s="282"/>
      <c r="E142" s="291"/>
      <c r="F142" s="292"/>
      <c r="G142" s="313"/>
      <c r="H142" s="286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B143" s="281"/>
      <c r="C143" s="282"/>
      <c r="D143" s="282"/>
      <c r="E143" s="291"/>
      <c r="F143" s="292"/>
      <c r="G143" s="313"/>
      <c r="H143" s="286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B144" s="281"/>
      <c r="C144" s="282"/>
      <c r="D144" s="282"/>
      <c r="E144" s="291"/>
      <c r="F144" s="292"/>
      <c r="G144" s="313"/>
      <c r="H144" s="286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B145" s="281"/>
      <c r="C145" s="282"/>
      <c r="D145" s="282"/>
      <c r="E145" s="291"/>
      <c r="F145" s="292"/>
      <c r="G145" s="313"/>
      <c r="H145" s="286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B146" s="281"/>
      <c r="C146" s="282"/>
      <c r="D146" s="282"/>
      <c r="E146" s="291"/>
      <c r="F146" s="292"/>
      <c r="G146" s="313"/>
      <c r="H146" s="286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B147" s="281"/>
      <c r="C147" s="282"/>
      <c r="D147" s="282"/>
      <c r="E147" s="291"/>
      <c r="F147" s="292"/>
      <c r="G147" s="313"/>
      <c r="H147" s="286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B148" s="281"/>
      <c r="C148" s="282"/>
      <c r="D148" s="282"/>
      <c r="E148" s="291"/>
      <c r="F148" s="292"/>
      <c r="G148" s="313"/>
      <c r="H148" s="286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B149" s="281"/>
      <c r="C149" s="282"/>
      <c r="D149" s="282"/>
      <c r="E149" s="291"/>
      <c r="F149" s="292"/>
      <c r="G149" s="313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B150" s="281"/>
      <c r="C150" s="282"/>
      <c r="D150" s="282"/>
      <c r="E150" s="291"/>
      <c r="F150" s="292"/>
      <c r="G150" s="313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B151" s="281"/>
      <c r="C151" s="282"/>
      <c r="D151" s="282"/>
      <c r="E151" s="291"/>
      <c r="F151" s="292"/>
      <c r="G151" s="313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B152" s="281"/>
      <c r="C152" s="282"/>
      <c r="D152" s="282"/>
      <c r="E152" s="291"/>
      <c r="F152" s="292"/>
      <c r="G152" s="313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</sheetData>
  <autoFilter ref="$B$24:$H$152">
    <sortState ref="B24:H152">
      <sortCondition ref="B24:B152"/>
    </sortState>
  </autoFilter>
  <customSheetViews>
    <customSheetView guid="{CD2BF927-9D79-47FC-BBA8-927062D6B3F5}" filter="1" showAutoFilter="1">
      <autoFilter ref="$B$24:$H$152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52">
      <formula1>$L:$L</formula1>
    </dataValidation>
  </dataValidations>
  <hyperlinks>
    <hyperlink r:id="rId1" ref="I3"/>
    <hyperlink r:id="rId2" ref="I4"/>
  </hyperlinks>
  <printOptions/>
  <pageMargins bottom="0.75" footer="0.0" header="0.0" left="0.25" right="0.25" top="0.75"/>
  <pageSetup fitToHeight="0" paperSize="9" orientation="portrait"/>
  <drawing r:id="rId3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1872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'24.06월'!G5</f>
        <v>3505685</v>
      </c>
      <c r="E5" s="355">
        <f t="shared" ref="E5:E16" si="1">sumif($B$25:$B$155,B5,$E$25:$E$155)</f>
        <v>24000000</v>
      </c>
      <c r="F5" s="356">
        <f t="shared" ref="F5:F16" si="2">sumif($B$25:$B$155,B5,$F$25:$F$155)</f>
        <v>26185293</v>
      </c>
      <c r="G5" s="229">
        <f t="shared" ref="G5:G16" si="3">D5+E5-F5</f>
        <v>1320392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'24.06월'!G6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231" t="s">
        <v>15</v>
      </c>
      <c r="D7" s="376">
        <f>'24.06월'!G7</f>
        <v>6108594</v>
      </c>
      <c r="E7" s="359">
        <f t="shared" si="1"/>
        <v>157286382</v>
      </c>
      <c r="F7" s="360">
        <f t="shared" si="2"/>
        <v>155643641</v>
      </c>
      <c r="G7" s="239">
        <f t="shared" si="3"/>
        <v>7751335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'24.06월'!G8</f>
        <v>0</v>
      </c>
      <c r="E8" s="361">
        <f t="shared" si="1"/>
        <v>99982.8</v>
      </c>
      <c r="F8" s="358">
        <f t="shared" si="2"/>
        <v>99982.8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76">
        <f>'24.06월'!G9</f>
        <v>18727351</v>
      </c>
      <c r="E9" s="359">
        <f t="shared" si="1"/>
        <v>142003979</v>
      </c>
      <c r="F9" s="360">
        <f t="shared" si="2"/>
        <v>160670271</v>
      </c>
      <c r="G9" s="239">
        <f t="shared" si="3"/>
        <v>61059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232">
        <f>'24.06월'!G10</f>
        <v>15435</v>
      </c>
      <c r="E10" s="359">
        <f t="shared" si="1"/>
        <v>0</v>
      </c>
      <c r="F10" s="360">
        <f t="shared" si="2"/>
        <v>0</v>
      </c>
      <c r="G10" s="239">
        <f t="shared" si="3"/>
        <v>15435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'24.06월'!G11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'24.06월'!G12</f>
        <v>64925.91</v>
      </c>
      <c r="E12" s="361">
        <f t="shared" si="1"/>
        <v>0</v>
      </c>
      <c r="F12" s="362">
        <f t="shared" si="2"/>
        <v>18551.19</v>
      </c>
      <c r="G12" s="329">
        <f t="shared" si="3"/>
        <v>46374.72</v>
      </c>
      <c r="H12" s="351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'24.06월'!G13</f>
        <v>0</v>
      </c>
      <c r="E13" s="363">
        <f t="shared" si="1"/>
        <v>0</v>
      </c>
      <c r="F13" s="364">
        <f t="shared" si="2"/>
        <v>0</v>
      </c>
      <c r="G13" s="320">
        <f t="shared" si="3"/>
        <v>0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76">
        <f>'24.06월'!G14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'24.06월'!G15</f>
        <v>143584.11</v>
      </c>
      <c r="E15" s="361">
        <f t="shared" si="1"/>
        <v>99153.57</v>
      </c>
      <c r="F15" s="358">
        <f t="shared" si="2"/>
        <v>108550.45</v>
      </c>
      <c r="G15" s="235">
        <f t="shared" si="3"/>
        <v>134187.23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'24.06월'!G16</f>
        <v>385.01</v>
      </c>
      <c r="E16" s="366">
        <f t="shared" si="1"/>
        <v>0</v>
      </c>
      <c r="F16" s="367">
        <f t="shared" si="2"/>
        <v>10</v>
      </c>
      <c r="G16" s="310">
        <f t="shared" si="3"/>
        <v>375.01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28357065</v>
      </c>
      <c r="E18" s="262">
        <f t="shared" si="4"/>
        <v>323290361</v>
      </c>
      <c r="F18" s="263">
        <f t="shared" si="4"/>
        <v>342499205</v>
      </c>
      <c r="G18" s="345">
        <f t="shared" si="4"/>
        <v>9148221</v>
      </c>
      <c r="H18" s="353">
        <f>G18</f>
        <v>9148221</v>
      </c>
      <c r="I18" s="353">
        <f>D18</f>
        <v>28357065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</f>
        <v>208512.33</v>
      </c>
      <c r="E19" s="269">
        <f t="shared" si="5"/>
        <v>199136.37</v>
      </c>
      <c r="F19" s="270">
        <f t="shared" si="5"/>
        <v>227084.44</v>
      </c>
      <c r="G19" s="346">
        <f t="shared" si="5"/>
        <v>180564.26</v>
      </c>
      <c r="H19" s="265">
        <f>rounddown(G19*$J$3,0)</f>
        <v>265921499</v>
      </c>
      <c r="I19" s="265">
        <f>rounddown(D19*$J$3,0)</f>
        <v>307081321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385.01</v>
      </c>
      <c r="E20" s="274">
        <f t="shared" si="6"/>
        <v>0</v>
      </c>
      <c r="F20" s="275">
        <f t="shared" si="6"/>
        <v>10</v>
      </c>
      <c r="G20" s="347">
        <f t="shared" si="6"/>
        <v>375.01</v>
      </c>
      <c r="H20" s="277">
        <f>rounddown(G20*$J$4,0)</f>
        <v>428968</v>
      </c>
      <c r="I20" s="277">
        <f>rounddown(D20*$J$4,0)</f>
        <v>440407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275498688</v>
      </c>
      <c r="I21" s="279">
        <f t="shared" si="7"/>
        <v>335878793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-60380105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/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B12</f>
        <v>WISE USD</v>
      </c>
      <c r="C25" s="323" t="s">
        <v>1873</v>
      </c>
      <c r="D25" s="323" t="s">
        <v>740</v>
      </c>
      <c r="E25" s="325"/>
      <c r="F25" s="337">
        <v>9386.43</v>
      </c>
      <c r="G25" s="327" t="s">
        <v>1326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WISE USD</v>
      </c>
      <c r="C26" s="323" t="s">
        <v>1873</v>
      </c>
      <c r="D26" s="323" t="s">
        <v>1072</v>
      </c>
      <c r="E26" s="325"/>
      <c r="F26" s="337">
        <v>1.13</v>
      </c>
      <c r="G26" s="327" t="s">
        <v>1119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B9</f>
        <v>기업 #019</v>
      </c>
      <c r="C27" s="323" t="s">
        <v>1874</v>
      </c>
      <c r="D27" s="323" t="s">
        <v>1297</v>
      </c>
      <c r="E27" s="337"/>
      <c r="F27" s="325">
        <v>6426190.0</v>
      </c>
      <c r="G27" s="327" t="s">
        <v>1337</v>
      </c>
      <c r="H27" s="328" t="s">
        <v>31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B9</f>
        <v>기업 #019</v>
      </c>
      <c r="C28" s="323" t="s">
        <v>1874</v>
      </c>
      <c r="D28" s="323" t="s">
        <v>1297</v>
      </c>
      <c r="E28" s="337"/>
      <c r="F28" s="325">
        <v>165000.0</v>
      </c>
      <c r="G28" s="327" t="s">
        <v>1875</v>
      </c>
      <c r="H28" s="328" t="s">
        <v>31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B9</f>
        <v>기업 #019</v>
      </c>
      <c r="C29" s="323" t="s">
        <v>1874</v>
      </c>
      <c r="D29" s="323" t="s">
        <v>1299</v>
      </c>
      <c r="E29" s="325"/>
      <c r="F29" s="325">
        <v>659030.0</v>
      </c>
      <c r="G29" s="327" t="s">
        <v>1876</v>
      </c>
      <c r="H29" s="328" t="s">
        <v>31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B9</f>
        <v>기업 #019</v>
      </c>
      <c r="C30" s="323" t="s">
        <v>1874</v>
      </c>
      <c r="D30" s="323" t="s">
        <v>1552</v>
      </c>
      <c r="E30" s="326"/>
      <c r="F30" s="325">
        <v>231000.0</v>
      </c>
      <c r="G30" s="327" t="s">
        <v>1877</v>
      </c>
      <c r="H30" s="328" t="s">
        <v>33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B9</f>
        <v>기업 #019</v>
      </c>
      <c r="C31" s="323" t="s">
        <v>1874</v>
      </c>
      <c r="D31" s="323" t="s">
        <v>789</v>
      </c>
      <c r="E31" s="337"/>
      <c r="F31" s="325">
        <v>6424330.0</v>
      </c>
      <c r="G31" s="327" t="s">
        <v>1342</v>
      </c>
      <c r="H31" s="328" t="s">
        <v>33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B9</f>
        <v>기업 #019</v>
      </c>
      <c r="C32" s="323" t="s">
        <v>1874</v>
      </c>
      <c r="D32" s="323" t="s">
        <v>1829</v>
      </c>
      <c r="E32" s="325"/>
      <c r="F32" s="325">
        <v>825000.0</v>
      </c>
      <c r="G32" s="327" t="s">
        <v>1878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B12</f>
        <v>WISE USD</v>
      </c>
      <c r="C33" s="323" t="s">
        <v>1873</v>
      </c>
      <c r="D33" s="323" t="s">
        <v>1879</v>
      </c>
      <c r="E33" s="325"/>
      <c r="F33" s="337">
        <v>19.76</v>
      </c>
      <c r="G33" s="327" t="s">
        <v>1819</v>
      </c>
      <c r="H33" s="328" t="s">
        <v>33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B12</f>
        <v>WISE USD</v>
      </c>
      <c r="C34" s="323" t="s">
        <v>1880</v>
      </c>
      <c r="D34" s="323" t="s">
        <v>1679</v>
      </c>
      <c r="E34" s="325"/>
      <c r="F34" s="337">
        <v>220.08</v>
      </c>
      <c r="G34" s="327" t="s">
        <v>1881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B15</f>
        <v>OCBC USD</v>
      </c>
      <c r="C35" s="323" t="s">
        <v>1882</v>
      </c>
      <c r="D35" s="323" t="s">
        <v>1883</v>
      </c>
      <c r="E35" s="337">
        <v>99153.57</v>
      </c>
      <c r="F35" s="325"/>
      <c r="G35" s="327" t="s">
        <v>1884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B15</f>
        <v>OCBC USD</v>
      </c>
      <c r="C36" s="323" t="s">
        <v>1882</v>
      </c>
      <c r="D36" s="323" t="s">
        <v>828</v>
      </c>
      <c r="E36" s="337"/>
      <c r="F36" s="337">
        <v>10.0</v>
      </c>
      <c r="G36" s="313" t="s">
        <v>1079</v>
      </c>
      <c r="H36" s="286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B15</f>
        <v>OCBC USD</v>
      </c>
      <c r="C37" s="323" t="s">
        <v>1882</v>
      </c>
      <c r="D37" s="323" t="s">
        <v>828</v>
      </c>
      <c r="E37" s="337"/>
      <c r="F37" s="337">
        <v>7.31</v>
      </c>
      <c r="G37" s="313" t="s">
        <v>1079</v>
      </c>
      <c r="H37" s="286" t="s">
        <v>33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tr">
        <f>B15</f>
        <v>OCBC USD</v>
      </c>
      <c r="C38" s="323" t="s">
        <v>1885</v>
      </c>
      <c r="D38" s="323" t="s">
        <v>632</v>
      </c>
      <c r="E38" s="337"/>
      <c r="F38" s="337">
        <v>50000.0</v>
      </c>
      <c r="G38" s="327" t="s">
        <v>1035</v>
      </c>
      <c r="H38" s="328" t="s">
        <v>556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tr">
        <f>B15</f>
        <v>OCBC USD</v>
      </c>
      <c r="C39" s="323" t="s">
        <v>1885</v>
      </c>
      <c r="D39" s="323" t="s">
        <v>828</v>
      </c>
      <c r="E39" s="337"/>
      <c r="F39" s="337">
        <v>22.37</v>
      </c>
      <c r="G39" s="313" t="s">
        <v>1079</v>
      </c>
      <c r="H39" s="286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 t="shared" ref="B40:B41" si="8">B15</f>
        <v>OCBC USD</v>
      </c>
      <c r="C40" s="323" t="s">
        <v>1885</v>
      </c>
      <c r="D40" s="323" t="s">
        <v>828</v>
      </c>
      <c r="E40" s="337"/>
      <c r="F40" s="337">
        <v>15.0</v>
      </c>
      <c r="G40" s="313" t="s">
        <v>1079</v>
      </c>
      <c r="H40" s="286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tr">
        <f t="shared" si="8"/>
        <v>OCBC SGD</v>
      </c>
      <c r="C41" s="323" t="s">
        <v>1874</v>
      </c>
      <c r="D41" s="323" t="s">
        <v>828</v>
      </c>
      <c r="E41" s="325"/>
      <c r="F41" s="337">
        <v>10.0</v>
      </c>
      <c r="G41" s="327" t="s">
        <v>1079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B5</f>
        <v>신한 #672</v>
      </c>
      <c r="C42" s="323" t="s">
        <v>1885</v>
      </c>
      <c r="D42" s="323" t="s">
        <v>1886</v>
      </c>
      <c r="E42" s="337"/>
      <c r="F42" s="325">
        <v>300000.0</v>
      </c>
      <c r="G42" s="327" t="s">
        <v>1886</v>
      </c>
      <c r="H42" s="328" t="s">
        <v>1640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323" t="s">
        <v>1887</v>
      </c>
      <c r="D43" s="323" t="s">
        <v>1344</v>
      </c>
      <c r="E43" s="337"/>
      <c r="F43" s="325">
        <v>279369.0</v>
      </c>
      <c r="G43" s="327" t="s">
        <v>1888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B8</f>
        <v>하나 #138</v>
      </c>
      <c r="C44" s="323" t="s">
        <v>1880</v>
      </c>
      <c r="D44" s="323" t="s">
        <v>1725</v>
      </c>
      <c r="E44" s="337">
        <v>49995.0</v>
      </c>
      <c r="F44" s="337"/>
      <c r="G44" s="327" t="s">
        <v>1035</v>
      </c>
      <c r="H44" s="328" t="s">
        <v>556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B8</f>
        <v>하나 #138</v>
      </c>
      <c r="C45" s="323" t="s">
        <v>1889</v>
      </c>
      <c r="D45" s="323" t="s">
        <v>632</v>
      </c>
      <c r="E45" s="325"/>
      <c r="F45" s="337">
        <v>49995.0</v>
      </c>
      <c r="G45" s="327" t="s">
        <v>679</v>
      </c>
      <c r="H45" s="328" t="s">
        <v>556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B7</f>
        <v>하나 #304</v>
      </c>
      <c r="C46" s="323" t="s">
        <v>1889</v>
      </c>
      <c r="D46" s="323" t="s">
        <v>632</v>
      </c>
      <c r="E46" s="325">
        <v>6.8650634E7</v>
      </c>
      <c r="F46" s="325"/>
      <c r="G46" s="327" t="s">
        <v>1035</v>
      </c>
      <c r="H46" s="328" t="s">
        <v>556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B7</f>
        <v>하나 #304</v>
      </c>
      <c r="C47" s="323" t="s">
        <v>1889</v>
      </c>
      <c r="D47" s="323" t="s">
        <v>632</v>
      </c>
      <c r="E47" s="325"/>
      <c r="F47" s="325">
        <v>7.2E7</v>
      </c>
      <c r="G47" s="327" t="s">
        <v>1035</v>
      </c>
      <c r="H47" s="328" t="s">
        <v>556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B7</f>
        <v>하나 #304</v>
      </c>
      <c r="C48" s="323" t="s">
        <v>1889</v>
      </c>
      <c r="D48" s="323" t="s">
        <v>1115</v>
      </c>
      <c r="E48" s="325"/>
      <c r="F48" s="325">
        <v>500.0</v>
      </c>
      <c r="G48" s="313" t="s">
        <v>1073</v>
      </c>
      <c r="H48" s="328" t="s">
        <v>33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B9</f>
        <v>기업 #019</v>
      </c>
      <c r="C49" s="323" t="s">
        <v>1889</v>
      </c>
      <c r="D49" s="323" t="s">
        <v>632</v>
      </c>
      <c r="E49" s="325">
        <v>7.2E7</v>
      </c>
      <c r="F49" s="337"/>
      <c r="G49" s="327" t="s">
        <v>1035</v>
      </c>
      <c r="H49" s="328" t="s">
        <v>556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B9</f>
        <v>기업 #019</v>
      </c>
      <c r="C50" s="323" t="s">
        <v>1889</v>
      </c>
      <c r="D50" s="323" t="s">
        <v>632</v>
      </c>
      <c r="E50" s="337"/>
      <c r="F50" s="325">
        <v>2.2E7</v>
      </c>
      <c r="G50" s="327" t="s">
        <v>1035</v>
      </c>
      <c r="H50" s="328" t="s">
        <v>556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B5</f>
        <v>신한 #672</v>
      </c>
      <c r="C51" s="323" t="s">
        <v>1889</v>
      </c>
      <c r="D51" s="323" t="s">
        <v>632</v>
      </c>
      <c r="E51" s="325">
        <v>2.2E7</v>
      </c>
      <c r="F51" s="325"/>
      <c r="G51" s="327" t="s">
        <v>1035</v>
      </c>
      <c r="H51" s="328" t="s">
        <v>556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B9</f>
        <v>기업 #019</v>
      </c>
      <c r="C52" s="323" t="s">
        <v>1890</v>
      </c>
      <c r="D52" s="323" t="s">
        <v>122</v>
      </c>
      <c r="E52" s="337"/>
      <c r="F52" s="325">
        <v>500000.0</v>
      </c>
      <c r="G52" s="327" t="s">
        <v>1891</v>
      </c>
      <c r="H52" s="328" t="s">
        <v>1327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B5</f>
        <v>신한 #672</v>
      </c>
      <c r="C53" s="323" t="s">
        <v>1890</v>
      </c>
      <c r="D53" s="323" t="s">
        <v>1892</v>
      </c>
      <c r="E53" s="326"/>
      <c r="F53" s="326">
        <v>604030.0</v>
      </c>
      <c r="G53" s="327" t="s">
        <v>1892</v>
      </c>
      <c r="H53" s="328" t="s">
        <v>31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B5</f>
        <v>신한 #672</v>
      </c>
      <c r="C54" s="323" t="s">
        <v>1890</v>
      </c>
      <c r="D54" s="323" t="s">
        <v>1893</v>
      </c>
      <c r="E54" s="325"/>
      <c r="F54" s="325">
        <v>1698950.0</v>
      </c>
      <c r="G54" s="327" t="s">
        <v>1893</v>
      </c>
      <c r="H54" s="328" t="s">
        <v>31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B5</f>
        <v>신한 #672</v>
      </c>
      <c r="C55" s="323" t="s">
        <v>1890</v>
      </c>
      <c r="D55" s="323" t="s">
        <v>1894</v>
      </c>
      <c r="E55" s="325"/>
      <c r="F55" s="325">
        <v>7696560.0</v>
      </c>
      <c r="G55" s="327" t="s">
        <v>1894</v>
      </c>
      <c r="H55" s="328" t="s">
        <v>31</v>
      </c>
      <c r="I55" s="107"/>
      <c r="J55" s="141"/>
      <c r="K55" s="141"/>
      <c r="L55" s="83"/>
      <c r="M55" s="84"/>
      <c r="N55" s="141"/>
      <c r="O55" s="141"/>
      <c r="P55" s="141"/>
      <c r="Q55" s="141"/>
      <c r="R55" s="141"/>
      <c r="S55" s="141"/>
      <c r="T55" s="141"/>
      <c r="U55" s="141"/>
      <c r="V55" s="141"/>
      <c r="W55" s="141"/>
      <c r="X55" s="141"/>
      <c r="Y55" s="141"/>
    </row>
    <row r="56" ht="15.0" customHeight="1">
      <c r="A56" s="105"/>
      <c r="B56" s="281" t="str">
        <f>B5</f>
        <v>신한 #672</v>
      </c>
      <c r="C56" s="323" t="s">
        <v>1890</v>
      </c>
      <c r="D56" s="323" t="s">
        <v>1895</v>
      </c>
      <c r="E56" s="325"/>
      <c r="F56" s="325">
        <v>8752480.0</v>
      </c>
      <c r="G56" s="327" t="s">
        <v>1895</v>
      </c>
      <c r="H56" s="328" t="s">
        <v>31</v>
      </c>
      <c r="I56" s="107"/>
      <c r="J56" s="141"/>
      <c r="K56" s="141"/>
      <c r="L56" s="83"/>
      <c r="M56" s="84"/>
      <c r="N56" s="141"/>
      <c r="O56" s="141"/>
      <c r="P56" s="141"/>
      <c r="Q56" s="141"/>
      <c r="R56" s="141"/>
      <c r="S56" s="141"/>
      <c r="T56" s="141"/>
      <c r="U56" s="141"/>
      <c r="V56" s="141"/>
      <c r="W56" s="141"/>
      <c r="X56" s="141"/>
      <c r="Y56" s="141"/>
    </row>
    <row r="57" ht="15.0" customHeight="1">
      <c r="A57" s="105"/>
      <c r="B57" s="281" t="str">
        <f>B9</f>
        <v>기업 #019</v>
      </c>
      <c r="C57" s="323" t="s">
        <v>1896</v>
      </c>
      <c r="D57" s="323" t="s">
        <v>1736</v>
      </c>
      <c r="E57" s="325"/>
      <c r="F57" s="325">
        <v>1188000.0</v>
      </c>
      <c r="G57" s="327" t="s">
        <v>1632</v>
      </c>
      <c r="H57" s="328" t="s">
        <v>33</v>
      </c>
      <c r="I57" s="107"/>
      <c r="J57" s="141"/>
      <c r="K57" s="141"/>
      <c r="L57" s="83"/>
      <c r="M57" s="84"/>
      <c r="N57" s="141"/>
      <c r="O57" s="141"/>
      <c r="P57" s="141"/>
      <c r="Q57" s="141"/>
      <c r="R57" s="141"/>
      <c r="S57" s="141"/>
      <c r="T57" s="141"/>
      <c r="U57" s="141"/>
      <c r="V57" s="141"/>
      <c r="W57" s="141"/>
      <c r="X57" s="141"/>
      <c r="Y57" s="141"/>
    </row>
    <row r="58" ht="15.0" customHeight="1">
      <c r="A58" s="105"/>
      <c r="B58" s="281" t="str">
        <f>B9</f>
        <v>기업 #019</v>
      </c>
      <c r="C58" s="323" t="s">
        <v>1896</v>
      </c>
      <c r="D58" s="323" t="s">
        <v>119</v>
      </c>
      <c r="E58" s="325"/>
      <c r="F58" s="325">
        <v>34018.0</v>
      </c>
      <c r="G58" s="327" t="s">
        <v>1857</v>
      </c>
      <c r="H58" s="328" t="s">
        <v>4</v>
      </c>
      <c r="I58" s="107"/>
      <c r="J58" s="141"/>
      <c r="K58" s="141"/>
      <c r="L58" s="83"/>
      <c r="M58" s="84"/>
      <c r="N58" s="141"/>
      <c r="O58" s="141"/>
      <c r="P58" s="141"/>
      <c r="Q58" s="141"/>
      <c r="R58" s="141"/>
      <c r="S58" s="141"/>
      <c r="T58" s="141"/>
      <c r="U58" s="141"/>
      <c r="V58" s="141"/>
      <c r="W58" s="141"/>
      <c r="X58" s="141"/>
      <c r="Y58" s="141"/>
    </row>
    <row r="59" ht="15.0" customHeight="1">
      <c r="A59" s="105"/>
      <c r="B59" s="281" t="str">
        <f>B9</f>
        <v>기업 #019</v>
      </c>
      <c r="C59" s="323" t="s">
        <v>1896</v>
      </c>
      <c r="D59" s="323" t="s">
        <v>113</v>
      </c>
      <c r="E59" s="325"/>
      <c r="F59" s="337">
        <v>50000.0</v>
      </c>
      <c r="G59" s="327" t="s">
        <v>1667</v>
      </c>
      <c r="H59" s="328" t="s">
        <v>4</v>
      </c>
      <c r="I59" s="107"/>
      <c r="J59" s="141"/>
      <c r="K59" s="141"/>
      <c r="L59" s="83"/>
      <c r="M59" s="84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B9</f>
        <v>기업 #019</v>
      </c>
      <c r="C60" s="323" t="s">
        <v>1896</v>
      </c>
      <c r="D60" s="323" t="s">
        <v>1858</v>
      </c>
      <c r="E60" s="337"/>
      <c r="F60" s="337">
        <v>89383.0</v>
      </c>
      <c r="G60" s="327" t="s">
        <v>1859</v>
      </c>
      <c r="H60" s="328" t="s">
        <v>4</v>
      </c>
      <c r="I60" s="107"/>
      <c r="J60" s="141"/>
      <c r="K60" s="141"/>
      <c r="L60" s="83"/>
      <c r="M60" s="84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B9</f>
        <v>기업 #019</v>
      </c>
      <c r="C61" s="323" t="s">
        <v>1896</v>
      </c>
      <c r="D61" s="323" t="s">
        <v>993</v>
      </c>
      <c r="E61" s="337"/>
      <c r="F61" s="337">
        <v>161300.0</v>
      </c>
      <c r="G61" s="327" t="s">
        <v>1667</v>
      </c>
      <c r="H61" s="328" t="s">
        <v>4</v>
      </c>
      <c r="I61" s="107"/>
      <c r="J61" s="141"/>
      <c r="K61" s="141"/>
      <c r="L61" s="83"/>
      <c r="M61" s="84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B15</f>
        <v>OCBC USD</v>
      </c>
      <c r="C62" s="323" t="s">
        <v>1897</v>
      </c>
      <c r="D62" s="323" t="s">
        <v>1303</v>
      </c>
      <c r="E62" s="325"/>
      <c r="F62" s="337">
        <v>8420.82</v>
      </c>
      <c r="G62" s="327" t="s">
        <v>1304</v>
      </c>
      <c r="H62" s="328" t="s">
        <v>930</v>
      </c>
      <c r="I62" s="107"/>
      <c r="J62" s="141"/>
      <c r="K62" s="141"/>
      <c r="L62" s="83"/>
      <c r="M62" s="84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350" t="str">
        <f>B15</f>
        <v>OCBC USD</v>
      </c>
      <c r="C63" s="323" t="s">
        <v>1897</v>
      </c>
      <c r="D63" s="323" t="s">
        <v>828</v>
      </c>
      <c r="E63" s="371"/>
      <c r="F63" s="371">
        <v>15.0</v>
      </c>
      <c r="G63" s="327" t="s">
        <v>1079</v>
      </c>
      <c r="H63" s="328" t="s">
        <v>33</v>
      </c>
      <c r="I63" s="107"/>
      <c r="J63" s="141"/>
      <c r="K63" s="141"/>
      <c r="L63" s="83"/>
      <c r="M63" s="84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350" t="str">
        <f>B15</f>
        <v>OCBC USD</v>
      </c>
      <c r="C64" s="323" t="s">
        <v>1897</v>
      </c>
      <c r="D64" s="323" t="s">
        <v>828</v>
      </c>
      <c r="E64" s="325"/>
      <c r="F64" s="337">
        <v>22.47</v>
      </c>
      <c r="G64" s="327" t="s">
        <v>1079</v>
      </c>
      <c r="H64" s="328" t="s">
        <v>33</v>
      </c>
      <c r="I64" s="107"/>
      <c r="J64" s="141"/>
      <c r="K64" s="141"/>
      <c r="L64" s="83"/>
      <c r="M64" s="84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>B9</f>
        <v>기업 #019</v>
      </c>
      <c r="C65" s="323" t="s">
        <v>1897</v>
      </c>
      <c r="D65" s="323" t="s">
        <v>1898</v>
      </c>
      <c r="E65" s="325"/>
      <c r="F65" s="325">
        <v>406140.0</v>
      </c>
      <c r="G65" s="327" t="s">
        <v>1899</v>
      </c>
      <c r="H65" s="328" t="s">
        <v>39</v>
      </c>
      <c r="I65" s="107"/>
      <c r="J65" s="141"/>
      <c r="K65" s="141"/>
      <c r="L65" s="83"/>
      <c r="M65" s="84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B9</f>
        <v>기업 #019</v>
      </c>
      <c r="C66" s="374" t="s">
        <v>1900</v>
      </c>
      <c r="D66" s="323" t="s">
        <v>84</v>
      </c>
      <c r="E66" s="325"/>
      <c r="F66" s="325">
        <v>973442.0</v>
      </c>
      <c r="G66" s="327" t="s">
        <v>1660</v>
      </c>
      <c r="H66" s="328" t="s">
        <v>1642</v>
      </c>
      <c r="I66" s="107"/>
      <c r="J66" s="141"/>
      <c r="K66" s="141"/>
      <c r="L66" s="83"/>
      <c r="M66" s="84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281" t="str">
        <f>B12</f>
        <v>WISE USD</v>
      </c>
      <c r="C67" s="323" t="s">
        <v>1901</v>
      </c>
      <c r="D67" s="323" t="s">
        <v>1679</v>
      </c>
      <c r="E67" s="325"/>
      <c r="F67" s="337">
        <v>1378.36</v>
      </c>
      <c r="G67" s="327" t="s">
        <v>1902</v>
      </c>
      <c r="H67" s="286" t="s">
        <v>33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B12</f>
        <v>WISE USD</v>
      </c>
      <c r="C68" s="323" t="s">
        <v>1901</v>
      </c>
      <c r="D68" s="323" t="s">
        <v>1072</v>
      </c>
      <c r="E68" s="325"/>
      <c r="F68" s="337">
        <v>5.96</v>
      </c>
      <c r="G68" s="327" t="s">
        <v>1565</v>
      </c>
      <c r="H68" s="286" t="s">
        <v>33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B9</f>
        <v>기업 #019</v>
      </c>
      <c r="C69" s="323" t="s">
        <v>1901</v>
      </c>
      <c r="D69" s="323" t="s">
        <v>632</v>
      </c>
      <c r="E69" s="337"/>
      <c r="F69" s="325">
        <v>1.0E7</v>
      </c>
      <c r="G69" s="327" t="s">
        <v>1035</v>
      </c>
      <c r="H69" s="328" t="s">
        <v>556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B7</f>
        <v>하나 #304</v>
      </c>
      <c r="C70" s="323" t="s">
        <v>1901</v>
      </c>
      <c r="D70" s="323" t="s">
        <v>632</v>
      </c>
      <c r="E70" s="325">
        <v>1.0E7</v>
      </c>
      <c r="F70" s="325"/>
      <c r="G70" s="327" t="s">
        <v>1035</v>
      </c>
      <c r="H70" s="328" t="s">
        <v>556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B9</f>
        <v>기업 #019</v>
      </c>
      <c r="C71" s="323" t="s">
        <v>1901</v>
      </c>
      <c r="D71" s="323" t="s">
        <v>632</v>
      </c>
      <c r="E71" s="337"/>
      <c r="F71" s="325">
        <v>2000000.0</v>
      </c>
      <c r="G71" s="327" t="s">
        <v>1035</v>
      </c>
      <c r="H71" s="328" t="s">
        <v>556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>
      <c r="B72" s="281" t="str">
        <f>B5</f>
        <v>신한 #672</v>
      </c>
      <c r="C72" s="323" t="s">
        <v>1901</v>
      </c>
      <c r="D72" s="323" t="s">
        <v>632</v>
      </c>
      <c r="E72" s="325">
        <v>2000000.0</v>
      </c>
      <c r="F72" s="325"/>
      <c r="G72" s="327" t="s">
        <v>1035</v>
      </c>
      <c r="H72" s="328" t="s">
        <v>556</v>
      </c>
    </row>
    <row r="73" ht="15.0" customHeight="1">
      <c r="A73" s="105"/>
      <c r="B73" s="281" t="str">
        <f>B7</f>
        <v>하나 #304</v>
      </c>
      <c r="C73" s="323" t="s">
        <v>1901</v>
      </c>
      <c r="D73" s="323" t="s">
        <v>721</v>
      </c>
      <c r="E73" s="326"/>
      <c r="F73" s="326">
        <v>2615454.0</v>
      </c>
      <c r="G73" s="327" t="s">
        <v>1798</v>
      </c>
      <c r="H73" s="286" t="s">
        <v>33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B7</f>
        <v>하나 #304</v>
      </c>
      <c r="C74" s="323" t="s">
        <v>1901</v>
      </c>
      <c r="D74" s="323" t="s">
        <v>721</v>
      </c>
      <c r="E74" s="326"/>
      <c r="F74" s="326">
        <v>728983.0</v>
      </c>
      <c r="G74" s="327" t="s">
        <v>1798</v>
      </c>
      <c r="H74" s="286" t="s">
        <v>33</v>
      </c>
      <c r="I74" s="107"/>
      <c r="J74" s="141"/>
      <c r="K74" s="138"/>
      <c r="L74" s="99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B7</f>
        <v>하나 #304</v>
      </c>
      <c r="C75" s="323" t="s">
        <v>1901</v>
      </c>
      <c r="D75" s="323" t="s">
        <v>721</v>
      </c>
      <c r="E75" s="326"/>
      <c r="F75" s="326">
        <v>3048467.0</v>
      </c>
      <c r="G75" s="327" t="s">
        <v>1798</v>
      </c>
      <c r="H75" s="286" t="s">
        <v>33</v>
      </c>
      <c r="I75" s="107"/>
      <c r="J75" s="141"/>
      <c r="K75" s="138"/>
      <c r="L75" s="99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350" t="str">
        <f>B15</f>
        <v>OCBC USD</v>
      </c>
      <c r="C76" s="323" t="s">
        <v>1903</v>
      </c>
      <c r="D76" s="323" t="s">
        <v>632</v>
      </c>
      <c r="E76" s="337"/>
      <c r="F76" s="337">
        <v>50000.0</v>
      </c>
      <c r="G76" s="327" t="s">
        <v>1035</v>
      </c>
      <c r="H76" s="328" t="s">
        <v>556</v>
      </c>
      <c r="I76" s="107"/>
      <c r="J76" s="141"/>
      <c r="K76" s="138"/>
      <c r="L76" s="99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350" t="str">
        <f>B15</f>
        <v>OCBC USD</v>
      </c>
      <c r="C77" s="323" t="s">
        <v>1903</v>
      </c>
      <c r="D77" s="323" t="s">
        <v>828</v>
      </c>
      <c r="E77" s="337"/>
      <c r="F77" s="337">
        <v>22.48</v>
      </c>
      <c r="G77" s="313" t="s">
        <v>1079</v>
      </c>
      <c r="H77" s="286" t="s">
        <v>33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350" t="str">
        <f>B15</f>
        <v>OCBC USD</v>
      </c>
      <c r="C78" s="323" t="s">
        <v>1903</v>
      </c>
      <c r="D78" s="323" t="s">
        <v>828</v>
      </c>
      <c r="E78" s="337"/>
      <c r="F78" s="337">
        <v>15.0</v>
      </c>
      <c r="G78" s="313" t="s">
        <v>1079</v>
      </c>
      <c r="H78" s="286" t="s">
        <v>33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>
      <c r="B79" s="281" t="str">
        <f>B8</f>
        <v>하나 #138</v>
      </c>
      <c r="C79" s="323" t="s">
        <v>1903</v>
      </c>
      <c r="D79" s="323" t="s">
        <v>1725</v>
      </c>
      <c r="E79" s="337">
        <v>49987.8</v>
      </c>
      <c r="F79" s="337"/>
      <c r="G79" s="327" t="s">
        <v>1035</v>
      </c>
      <c r="H79" s="328" t="s">
        <v>556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341"/>
      <c r="B80" s="281" t="str">
        <f>B5</f>
        <v>신한 #672</v>
      </c>
      <c r="C80" s="323" t="s">
        <v>1903</v>
      </c>
      <c r="D80" s="323" t="s">
        <v>1202</v>
      </c>
      <c r="E80" s="326"/>
      <c r="F80" s="326">
        <v>110000.0</v>
      </c>
      <c r="G80" s="327" t="s">
        <v>1202</v>
      </c>
      <c r="H80" s="328" t="s">
        <v>33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B9</f>
        <v>기업 #019</v>
      </c>
      <c r="C81" s="323" t="s">
        <v>1903</v>
      </c>
      <c r="D81" s="323" t="s">
        <v>1837</v>
      </c>
      <c r="E81" s="325">
        <v>3979.0</v>
      </c>
      <c r="F81" s="325"/>
      <c r="G81" s="327" t="s">
        <v>1837</v>
      </c>
      <c r="H81" s="328" t="s">
        <v>75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B12</f>
        <v>WISE USD</v>
      </c>
      <c r="C82" s="323" t="s">
        <v>1904</v>
      </c>
      <c r="D82" s="323" t="s">
        <v>1718</v>
      </c>
      <c r="E82" s="326"/>
      <c r="F82" s="371">
        <v>59.68</v>
      </c>
      <c r="G82" s="327" t="s">
        <v>1719</v>
      </c>
      <c r="H82" s="286" t="s">
        <v>33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B8</f>
        <v>하나 #138</v>
      </c>
      <c r="C83" s="323" t="s">
        <v>1905</v>
      </c>
      <c r="D83" s="323" t="s">
        <v>632</v>
      </c>
      <c r="E83" s="325"/>
      <c r="F83" s="371">
        <v>49987.8</v>
      </c>
      <c r="G83" s="327" t="s">
        <v>679</v>
      </c>
      <c r="H83" s="328" t="s">
        <v>556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B7</f>
        <v>하나 #304</v>
      </c>
      <c r="C84" s="323" t="s">
        <v>1905</v>
      </c>
      <c r="D84" s="323" t="s">
        <v>632</v>
      </c>
      <c r="E84" s="325">
        <v>6.8635748E7</v>
      </c>
      <c r="F84" s="325"/>
      <c r="G84" s="327" t="s">
        <v>679</v>
      </c>
      <c r="H84" s="328" t="s">
        <v>556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B7</f>
        <v>하나 #304</v>
      </c>
      <c r="C85" s="323" t="s">
        <v>1905</v>
      </c>
      <c r="D85" s="323" t="s">
        <v>632</v>
      </c>
      <c r="E85" s="325"/>
      <c r="F85" s="325">
        <v>6.9E7</v>
      </c>
      <c r="G85" s="327" t="s">
        <v>1035</v>
      </c>
      <c r="H85" s="328" t="s">
        <v>556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B7</f>
        <v>하나 #304</v>
      </c>
      <c r="C86" s="323" t="s">
        <v>1905</v>
      </c>
      <c r="D86" s="323" t="s">
        <v>1115</v>
      </c>
      <c r="E86" s="325"/>
      <c r="F86" s="325">
        <v>500.0</v>
      </c>
      <c r="G86" s="313" t="s">
        <v>1079</v>
      </c>
      <c r="H86" s="286" t="s">
        <v>33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B9</f>
        <v>기업 #019</v>
      </c>
      <c r="C87" s="323" t="s">
        <v>1905</v>
      </c>
      <c r="D87" s="323" t="s">
        <v>632</v>
      </c>
      <c r="E87" s="283">
        <v>6.9E7</v>
      </c>
      <c r="F87" s="325"/>
      <c r="G87" s="327" t="s">
        <v>1035</v>
      </c>
      <c r="H87" s="328" t="s">
        <v>556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B9</f>
        <v>기업 #019</v>
      </c>
      <c r="C88" s="323" t="s">
        <v>1906</v>
      </c>
      <c r="D88" s="323" t="s">
        <v>632</v>
      </c>
      <c r="E88" s="283">
        <v>1000000.0</v>
      </c>
      <c r="F88" s="326"/>
      <c r="G88" s="327" t="s">
        <v>1035</v>
      </c>
      <c r="H88" s="328" t="s">
        <v>556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350" t="str">
        <f>B9</f>
        <v>기업 #019</v>
      </c>
      <c r="C89" s="323" t="s">
        <v>1906</v>
      </c>
      <c r="D89" s="323" t="s">
        <v>1907</v>
      </c>
      <c r="E89" s="325"/>
      <c r="F89" s="325">
        <v>1.1568337E7</v>
      </c>
      <c r="G89" s="313" t="s">
        <v>1908</v>
      </c>
      <c r="H89" s="286" t="s">
        <v>33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B9</f>
        <v>기업 #019</v>
      </c>
      <c r="C90" s="323" t="s">
        <v>1906</v>
      </c>
      <c r="D90" s="323" t="s">
        <v>41</v>
      </c>
      <c r="E90" s="325"/>
      <c r="F90" s="325">
        <v>9.6969101E7</v>
      </c>
      <c r="G90" s="327" t="s">
        <v>1909</v>
      </c>
      <c r="H90" s="328" t="s">
        <v>41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B7</f>
        <v>하나 #304</v>
      </c>
      <c r="C91" s="323" t="s">
        <v>1906</v>
      </c>
      <c r="D91" s="323" t="s">
        <v>721</v>
      </c>
      <c r="E91" s="325"/>
      <c r="F91" s="325">
        <v>5732317.0</v>
      </c>
      <c r="G91" s="313" t="s">
        <v>1908</v>
      </c>
      <c r="H91" s="286" t="s">
        <v>33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B7</f>
        <v>하나 #304</v>
      </c>
      <c r="C92" s="323" t="s">
        <v>1906</v>
      </c>
      <c r="D92" s="323" t="s">
        <v>721</v>
      </c>
      <c r="E92" s="325"/>
      <c r="F92" s="325">
        <v>268755.0</v>
      </c>
      <c r="G92" s="313" t="s">
        <v>1908</v>
      </c>
      <c r="H92" s="286" t="s">
        <v>33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B5</f>
        <v>신한 #672</v>
      </c>
      <c r="C93" s="323" t="s">
        <v>1906</v>
      </c>
      <c r="D93" s="323" t="s">
        <v>1910</v>
      </c>
      <c r="E93" s="325"/>
      <c r="F93" s="325">
        <v>98000.0</v>
      </c>
      <c r="G93" s="327" t="s">
        <v>1047</v>
      </c>
      <c r="H93" s="328" t="s">
        <v>4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B5</f>
        <v>신한 #672</v>
      </c>
      <c r="C94" s="323" t="s">
        <v>1906</v>
      </c>
      <c r="D94" s="323" t="s">
        <v>623</v>
      </c>
      <c r="E94" s="325"/>
      <c r="F94" s="325">
        <v>4790110.0</v>
      </c>
      <c r="G94" s="313" t="s">
        <v>1908</v>
      </c>
      <c r="H94" s="286" t="s">
        <v>33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B5</f>
        <v>신한 #672</v>
      </c>
      <c r="C95" s="323" t="s">
        <v>1906</v>
      </c>
      <c r="D95" s="323" t="s">
        <v>1371</v>
      </c>
      <c r="E95" s="325"/>
      <c r="F95" s="325">
        <v>20660.0</v>
      </c>
      <c r="G95" s="327" t="s">
        <v>1038</v>
      </c>
      <c r="H95" s="328" t="s">
        <v>4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B5</f>
        <v>신한 #672</v>
      </c>
      <c r="C96" s="323" t="s">
        <v>1906</v>
      </c>
      <c r="D96" s="323" t="s">
        <v>1371</v>
      </c>
      <c r="E96" s="325"/>
      <c r="F96" s="325">
        <v>20660.0</v>
      </c>
      <c r="G96" s="327" t="s">
        <v>1038</v>
      </c>
      <c r="H96" s="328" t="s">
        <v>4</v>
      </c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B5</f>
        <v>신한 #672</v>
      </c>
      <c r="C97" s="323" t="s">
        <v>1906</v>
      </c>
      <c r="D97" s="323" t="s">
        <v>1371</v>
      </c>
      <c r="E97" s="325"/>
      <c r="F97" s="325">
        <v>50250.0</v>
      </c>
      <c r="G97" s="327" t="s">
        <v>1039</v>
      </c>
      <c r="H97" s="328" t="s">
        <v>4</v>
      </c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B5</f>
        <v>신한 #672</v>
      </c>
      <c r="C98" s="323" t="s">
        <v>1906</v>
      </c>
      <c r="D98" s="323" t="s">
        <v>1371</v>
      </c>
      <c r="E98" s="325"/>
      <c r="F98" s="325">
        <v>37430.0</v>
      </c>
      <c r="G98" s="327" t="s">
        <v>1040</v>
      </c>
      <c r="H98" s="328" t="s">
        <v>4</v>
      </c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B5</f>
        <v>신한 #672</v>
      </c>
      <c r="C99" s="323" t="s">
        <v>1906</v>
      </c>
      <c r="D99" s="323" t="s">
        <v>1371</v>
      </c>
      <c r="E99" s="325"/>
      <c r="F99" s="325">
        <v>37430.0</v>
      </c>
      <c r="G99" s="327" t="s">
        <v>1039</v>
      </c>
      <c r="H99" s="328" t="s">
        <v>4</v>
      </c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B5</f>
        <v>신한 #672</v>
      </c>
      <c r="C100" s="323" t="s">
        <v>1906</v>
      </c>
      <c r="D100" s="282" t="s">
        <v>497</v>
      </c>
      <c r="E100" s="291"/>
      <c r="F100" s="284">
        <v>330000.0</v>
      </c>
      <c r="G100" s="327" t="s">
        <v>1042</v>
      </c>
      <c r="H100" s="328" t="s">
        <v>33</v>
      </c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B5</f>
        <v>신한 #672</v>
      </c>
      <c r="C101" s="323" t="s">
        <v>1906</v>
      </c>
      <c r="D101" s="282" t="s">
        <v>1370</v>
      </c>
      <c r="E101" s="291"/>
      <c r="F101" s="284">
        <v>55770.0</v>
      </c>
      <c r="G101" s="327" t="s">
        <v>1044</v>
      </c>
      <c r="H101" s="328" t="s">
        <v>4</v>
      </c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B5</f>
        <v>신한 #672</v>
      </c>
      <c r="C102" s="323" t="s">
        <v>1906</v>
      </c>
      <c r="D102" s="282" t="s">
        <v>1911</v>
      </c>
      <c r="E102" s="291"/>
      <c r="F102" s="284">
        <v>1000000.0</v>
      </c>
      <c r="G102" s="327" t="s">
        <v>1035</v>
      </c>
      <c r="H102" s="328" t="s">
        <v>556</v>
      </c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B5</f>
        <v>신한 #672</v>
      </c>
      <c r="C103" s="323" t="s">
        <v>1906</v>
      </c>
      <c r="D103" s="282" t="s">
        <v>1120</v>
      </c>
      <c r="E103" s="291"/>
      <c r="F103" s="284">
        <v>500.0</v>
      </c>
      <c r="G103" s="313" t="s">
        <v>1073</v>
      </c>
      <c r="H103" s="286" t="s">
        <v>33</v>
      </c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B12</f>
        <v>WISE USD</v>
      </c>
      <c r="C104" s="282" t="s">
        <v>1912</v>
      </c>
      <c r="D104" s="282" t="s">
        <v>1913</v>
      </c>
      <c r="E104" s="291"/>
      <c r="F104" s="292">
        <v>7259.79</v>
      </c>
      <c r="G104" s="327" t="s">
        <v>1035</v>
      </c>
      <c r="H104" s="328" t="s">
        <v>556</v>
      </c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B7</f>
        <v>하나 #304</v>
      </c>
      <c r="C105" s="282" t="s">
        <v>1912</v>
      </c>
      <c r="D105" s="282" t="s">
        <v>1725</v>
      </c>
      <c r="E105" s="283">
        <v>1.0E7</v>
      </c>
      <c r="F105" s="292"/>
      <c r="G105" s="327" t="s">
        <v>1035</v>
      </c>
      <c r="H105" s="328" t="s">
        <v>556</v>
      </c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 t="str">
        <f>B12</f>
        <v>WISE USD</v>
      </c>
      <c r="C106" s="282" t="s">
        <v>1914</v>
      </c>
      <c r="D106" s="282" t="s">
        <v>1815</v>
      </c>
      <c r="E106" s="283"/>
      <c r="F106" s="292">
        <v>220.0</v>
      </c>
      <c r="G106" s="313" t="s">
        <v>1816</v>
      </c>
      <c r="H106" s="286" t="s">
        <v>33</v>
      </c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>B7</f>
        <v>하나 #304</v>
      </c>
      <c r="C107" s="323" t="s">
        <v>1912</v>
      </c>
      <c r="D107" s="323" t="s">
        <v>721</v>
      </c>
      <c r="E107" s="325"/>
      <c r="F107" s="325">
        <v>2248665.0</v>
      </c>
      <c r="G107" s="313" t="s">
        <v>1908</v>
      </c>
      <c r="H107" s="286" t="s">
        <v>33</v>
      </c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>B5</f>
        <v>신한 #672</v>
      </c>
      <c r="C108" s="282" t="s">
        <v>1914</v>
      </c>
      <c r="D108" s="282" t="s">
        <v>362</v>
      </c>
      <c r="E108" s="291"/>
      <c r="F108" s="284">
        <v>226094.0</v>
      </c>
      <c r="G108" s="313" t="s">
        <v>1915</v>
      </c>
      <c r="H108" s="286" t="s">
        <v>33</v>
      </c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 t="str">
        <f>B5</f>
        <v>신한 #672</v>
      </c>
      <c r="C109" s="282" t="s">
        <v>1916</v>
      </c>
      <c r="D109" s="282" t="s">
        <v>920</v>
      </c>
      <c r="E109" s="291"/>
      <c r="F109" s="326">
        <v>77000.0</v>
      </c>
      <c r="G109" s="327" t="s">
        <v>1006</v>
      </c>
      <c r="H109" s="328" t="s">
        <v>33</v>
      </c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282"/>
      <c r="D110" s="282"/>
      <c r="E110" s="291"/>
      <c r="F110" s="292"/>
      <c r="G110" s="327"/>
      <c r="H110" s="328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92"/>
      <c r="G111" s="327"/>
      <c r="H111" s="328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292"/>
      <c r="G112" s="327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27"/>
      <c r="H113" s="328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27"/>
      <c r="H114" s="328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27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27"/>
      <c r="H116" s="328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</sheetData>
  <autoFilter ref="$B$24:$H$128">
    <sortState ref="B24:H128">
      <sortCondition ref="B24:B128"/>
    </sortState>
  </autoFilter>
  <customSheetViews>
    <customSheetView guid="{CD2BF927-9D79-47FC-BBA8-927062D6B3F5}" filter="1" showAutoFilter="1">
      <autoFilter ref="$B$24:$H$128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28">
      <formula1>$L:$L</formula1>
    </dataValidation>
  </dataValidations>
  <hyperlinks>
    <hyperlink r:id="rId1" ref="I3"/>
    <hyperlink r:id="rId2" ref="I4"/>
  </hyperlinks>
  <printOptions/>
  <pageMargins bottom="0.75" footer="0.0" header="0.0" left="0.25" right="0.25" top="0.75"/>
  <pageSetup fitToHeight="0" paperSize="9" orientation="portrait"/>
  <drawing r:id="rId3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1917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'24.07월'!G5</f>
        <v>1320392</v>
      </c>
      <c r="E5" s="355">
        <f t="shared" ref="E5:E16" si="1">sumif($B$25:$B$158,B5,$E$25:$E$158)</f>
        <v>26353090</v>
      </c>
      <c r="F5" s="356">
        <f t="shared" ref="F5:F16" si="2">sumif($B$25:$B$158,B5,$F$25:$F$158)</f>
        <v>27080972</v>
      </c>
      <c r="G5" s="229">
        <f t="shared" ref="G5:G16" si="3">D5+E5-F5</f>
        <v>592510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'24.07월'!G6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'24.07월'!G7</f>
        <v>7751335</v>
      </c>
      <c r="E7" s="359">
        <f t="shared" si="1"/>
        <v>162248839</v>
      </c>
      <c r="F7" s="360">
        <f t="shared" si="2"/>
        <v>158860754</v>
      </c>
      <c r="G7" s="239">
        <f t="shared" si="3"/>
        <v>11139420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'24.07월'!G8</f>
        <v>0</v>
      </c>
      <c r="E8" s="361">
        <f t="shared" si="1"/>
        <v>119995</v>
      </c>
      <c r="F8" s="358">
        <f t="shared" si="2"/>
        <v>119995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'24.07월'!G9</f>
        <v>61059</v>
      </c>
      <c r="E9" s="359">
        <f t="shared" si="1"/>
        <v>115003017</v>
      </c>
      <c r="F9" s="360">
        <f t="shared" si="2"/>
        <v>113546837</v>
      </c>
      <c r="G9" s="239">
        <f t="shared" si="3"/>
        <v>1517239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'24.07월'!G10</f>
        <v>15435</v>
      </c>
      <c r="E10" s="359">
        <f t="shared" si="1"/>
        <v>0</v>
      </c>
      <c r="F10" s="360">
        <f t="shared" si="2"/>
        <v>0</v>
      </c>
      <c r="G10" s="239">
        <f t="shared" si="3"/>
        <v>15435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'24.07월'!G11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'24.07월'!G12</f>
        <v>46374.72</v>
      </c>
      <c r="E12" s="361">
        <f t="shared" si="1"/>
        <v>0</v>
      </c>
      <c r="F12" s="362">
        <f t="shared" si="2"/>
        <v>19496.61</v>
      </c>
      <c r="G12" s="329">
        <f t="shared" si="3"/>
        <v>26878.11</v>
      </c>
      <c r="H12" s="351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'24.07월'!G13</f>
        <v>0</v>
      </c>
      <c r="E13" s="363">
        <f t="shared" si="1"/>
        <v>0</v>
      </c>
      <c r="F13" s="364">
        <f t="shared" si="2"/>
        <v>0</v>
      </c>
      <c r="G13" s="320">
        <f t="shared" si="3"/>
        <v>0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'24.07월'!G14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'24.07월'!G15</f>
        <v>134187.23</v>
      </c>
      <c r="E15" s="361">
        <f t="shared" si="1"/>
        <v>122776.33</v>
      </c>
      <c r="F15" s="358">
        <f t="shared" si="2"/>
        <v>120055.25</v>
      </c>
      <c r="G15" s="235">
        <f t="shared" si="3"/>
        <v>136908.31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'24.07월'!G16</f>
        <v>375.01</v>
      </c>
      <c r="E16" s="366">
        <f t="shared" si="1"/>
        <v>0</v>
      </c>
      <c r="F16" s="367">
        <f t="shared" si="2"/>
        <v>40</v>
      </c>
      <c r="G16" s="310">
        <f t="shared" si="3"/>
        <v>335.01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252"/>
      <c r="C17" s="253"/>
      <c r="D17" s="254"/>
      <c r="E17" s="368"/>
      <c r="F17" s="369"/>
      <c r="G17" s="257"/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9148221</v>
      </c>
      <c r="E18" s="262">
        <f t="shared" si="4"/>
        <v>303604946</v>
      </c>
      <c r="F18" s="263">
        <f t="shared" si="4"/>
        <v>299488563</v>
      </c>
      <c r="G18" s="345">
        <f t="shared" si="4"/>
        <v>13264604</v>
      </c>
      <c r="H18" s="353">
        <f>G18</f>
        <v>13264604</v>
      </c>
      <c r="I18" s="353">
        <f>D18</f>
        <v>9148221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</f>
        <v>180564.26</v>
      </c>
      <c r="E19" s="269">
        <f t="shared" si="5"/>
        <v>242771.33</v>
      </c>
      <c r="F19" s="270">
        <f t="shared" si="5"/>
        <v>259546.86</v>
      </c>
      <c r="G19" s="346">
        <f t="shared" si="5"/>
        <v>163788.73</v>
      </c>
      <c r="H19" s="265">
        <f>rounddown(G19*$J$3,0)</f>
        <v>241215757</v>
      </c>
      <c r="I19" s="265">
        <f>rounddown(D19*$J$3,0)</f>
        <v>265921499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375.01</v>
      </c>
      <c r="E20" s="274">
        <f t="shared" si="6"/>
        <v>0</v>
      </c>
      <c r="F20" s="275">
        <f t="shared" si="6"/>
        <v>40</v>
      </c>
      <c r="G20" s="347">
        <f t="shared" si="6"/>
        <v>335.01</v>
      </c>
      <c r="H20" s="277">
        <f>rounddown(G20*$J$4,0)</f>
        <v>383212</v>
      </c>
      <c r="I20" s="277">
        <f>rounddown(D20*$J$4,0)</f>
        <v>428968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ht="13.5" customHeight="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254863573</v>
      </c>
      <c r="I21" s="279">
        <f t="shared" si="7"/>
        <v>275498688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-20635115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-14011.51946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">
        <v>18</v>
      </c>
      <c r="C25" s="323" t="s">
        <v>1918</v>
      </c>
      <c r="D25" s="323" t="s">
        <v>740</v>
      </c>
      <c r="E25" s="325"/>
      <c r="F25" s="337">
        <v>9386.43</v>
      </c>
      <c r="G25" s="327" t="s">
        <v>1919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WISE USD</v>
      </c>
      <c r="C26" s="323" t="s">
        <v>1918</v>
      </c>
      <c r="D26" s="323" t="s">
        <v>1072</v>
      </c>
      <c r="E26" s="325"/>
      <c r="F26" s="337">
        <v>1.13</v>
      </c>
      <c r="G26" s="327" t="s">
        <v>1119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B12</f>
        <v>WISE USD</v>
      </c>
      <c r="C27" s="323" t="s">
        <v>1918</v>
      </c>
      <c r="D27" s="323" t="s">
        <v>740</v>
      </c>
      <c r="E27" s="326"/>
      <c r="F27" s="337">
        <v>9386.43</v>
      </c>
      <c r="G27" s="327" t="s">
        <v>1920</v>
      </c>
      <c r="H27" s="328" t="s">
        <v>41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B12</f>
        <v>WISE USD</v>
      </c>
      <c r="C28" s="323" t="s">
        <v>1918</v>
      </c>
      <c r="D28" s="323" t="s">
        <v>1072</v>
      </c>
      <c r="E28" s="326"/>
      <c r="F28" s="337">
        <v>1.13</v>
      </c>
      <c r="G28" s="327" t="s">
        <v>1119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B12</f>
        <v>WISE USD</v>
      </c>
      <c r="C29" s="323" t="s">
        <v>1873</v>
      </c>
      <c r="D29" s="323" t="s">
        <v>1879</v>
      </c>
      <c r="E29" s="325"/>
      <c r="F29" s="337">
        <v>20.0</v>
      </c>
      <c r="G29" s="327" t="s">
        <v>1819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B5</f>
        <v>신한 #672</v>
      </c>
      <c r="C30" s="323" t="s">
        <v>1921</v>
      </c>
      <c r="D30" s="323" t="s">
        <v>1008</v>
      </c>
      <c r="E30" s="326">
        <v>6353090.0</v>
      </c>
      <c r="F30" s="326"/>
      <c r="G30" s="327" t="s">
        <v>1753</v>
      </c>
      <c r="H30" s="328" t="s">
        <v>36</v>
      </c>
      <c r="I30" s="107"/>
      <c r="J30" s="141"/>
      <c r="K30" s="138"/>
      <c r="L30" s="83"/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B7</f>
        <v>하나 #304</v>
      </c>
      <c r="C31" s="323" t="s">
        <v>1922</v>
      </c>
      <c r="D31" s="323" t="s">
        <v>789</v>
      </c>
      <c r="E31" s="337"/>
      <c r="F31" s="325">
        <v>6472400.0</v>
      </c>
      <c r="G31" s="327" t="s">
        <v>1923</v>
      </c>
      <c r="H31" s="328" t="s">
        <v>33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B7</f>
        <v>하나 #304</v>
      </c>
      <c r="C32" s="323" t="s">
        <v>1922</v>
      </c>
      <c r="D32" s="323" t="s">
        <v>1115</v>
      </c>
      <c r="E32" s="325"/>
      <c r="F32" s="325">
        <v>500.0</v>
      </c>
      <c r="G32" s="327" t="s">
        <v>1119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B7</f>
        <v>하나 #304</v>
      </c>
      <c r="C33" s="323" t="s">
        <v>1922</v>
      </c>
      <c r="D33" s="323" t="s">
        <v>1829</v>
      </c>
      <c r="E33" s="326"/>
      <c r="F33" s="325">
        <v>825000.0</v>
      </c>
      <c r="G33" s="327" t="s">
        <v>1924</v>
      </c>
      <c r="H33" s="328" t="s">
        <v>33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 t="shared" ref="B34:B35" si="8">B7</f>
        <v>하나 #304</v>
      </c>
      <c r="C34" s="323" t="s">
        <v>1922</v>
      </c>
      <c r="D34" s="323" t="s">
        <v>1115</v>
      </c>
      <c r="E34" s="337"/>
      <c r="F34" s="325">
        <v>500.0</v>
      </c>
      <c r="G34" s="327" t="s">
        <v>1119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 t="shared" si="8"/>
        <v>하나 #138</v>
      </c>
      <c r="C35" s="323" t="s">
        <v>1922</v>
      </c>
      <c r="D35" s="323" t="s">
        <v>1725</v>
      </c>
      <c r="E35" s="337">
        <v>119995.0</v>
      </c>
      <c r="F35" s="337"/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">
        <v>746</v>
      </c>
      <c r="C36" s="323" t="s">
        <v>1921</v>
      </c>
      <c r="D36" s="323" t="s">
        <v>1883</v>
      </c>
      <c r="E36" s="337">
        <v>122776.33</v>
      </c>
      <c r="F36" s="325"/>
      <c r="G36" s="327" t="s">
        <v>1925</v>
      </c>
      <c r="H36" s="328" t="s">
        <v>556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">
        <v>746</v>
      </c>
      <c r="C37" s="323" t="s">
        <v>1921</v>
      </c>
      <c r="D37" s="323" t="s">
        <v>828</v>
      </c>
      <c r="E37" s="325"/>
      <c r="F37" s="337">
        <v>10.0</v>
      </c>
      <c r="G37" s="313" t="s">
        <v>1079</v>
      </c>
      <c r="H37" s="328" t="s">
        <v>33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">
        <v>746</v>
      </c>
      <c r="C38" s="323" t="s">
        <v>1921</v>
      </c>
      <c r="D38" s="323" t="s">
        <v>828</v>
      </c>
      <c r="E38" s="325"/>
      <c r="F38" s="337">
        <v>7.42</v>
      </c>
      <c r="G38" s="313" t="s">
        <v>1079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">
        <v>746</v>
      </c>
      <c r="C39" s="323" t="s">
        <v>1922</v>
      </c>
      <c r="D39" s="323" t="s">
        <v>632</v>
      </c>
      <c r="E39" s="325"/>
      <c r="F39" s="337">
        <v>120000.0</v>
      </c>
      <c r="G39" s="327" t="s">
        <v>1035</v>
      </c>
      <c r="H39" s="328" t="s">
        <v>556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">
        <v>746</v>
      </c>
      <c r="C40" s="323" t="s">
        <v>1922</v>
      </c>
      <c r="D40" s="323" t="s">
        <v>828</v>
      </c>
      <c r="E40" s="325"/>
      <c r="F40" s="337">
        <v>22.83</v>
      </c>
      <c r="G40" s="313" t="s">
        <v>1079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">
        <v>746</v>
      </c>
      <c r="C41" s="323" t="s">
        <v>1922</v>
      </c>
      <c r="D41" s="323" t="s">
        <v>828</v>
      </c>
      <c r="E41" s="325"/>
      <c r="F41" s="337">
        <v>15.0</v>
      </c>
      <c r="G41" s="313" t="s">
        <v>1079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">
        <v>747</v>
      </c>
      <c r="C42" s="323" t="s">
        <v>1918</v>
      </c>
      <c r="D42" s="323" t="s">
        <v>828</v>
      </c>
      <c r="E42" s="325"/>
      <c r="F42" s="337">
        <v>15.0</v>
      </c>
      <c r="G42" s="313" t="s">
        <v>1079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">
        <v>747</v>
      </c>
      <c r="C43" s="323" t="s">
        <v>1922</v>
      </c>
      <c r="D43" s="323" t="s">
        <v>828</v>
      </c>
      <c r="E43" s="325"/>
      <c r="F43" s="337">
        <v>10.0</v>
      </c>
      <c r="G43" s="313" t="s">
        <v>1079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tr">
        <f>B5</f>
        <v>신한 #672</v>
      </c>
      <c r="C44" s="323" t="s">
        <v>1922</v>
      </c>
      <c r="D44" s="323" t="s">
        <v>1886</v>
      </c>
      <c r="E44" s="337"/>
      <c r="F44" s="325">
        <v>300000.0</v>
      </c>
      <c r="G44" s="327" t="s">
        <v>1886</v>
      </c>
      <c r="H44" s="328" t="s">
        <v>1640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B8</f>
        <v>하나 #138</v>
      </c>
      <c r="C45" s="323" t="s">
        <v>1926</v>
      </c>
      <c r="D45" s="323" t="s">
        <v>632</v>
      </c>
      <c r="E45" s="325"/>
      <c r="F45" s="337">
        <v>119995.0</v>
      </c>
      <c r="G45" s="327" t="s">
        <v>679</v>
      </c>
      <c r="H45" s="328" t="s">
        <v>556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B7</f>
        <v>하나 #304</v>
      </c>
      <c r="C46" s="323" t="s">
        <v>1926</v>
      </c>
      <c r="D46" s="323" t="s">
        <v>632</v>
      </c>
      <c r="E46" s="325">
        <v>1.62248839E8</v>
      </c>
      <c r="F46" s="325"/>
      <c r="G46" s="327" t="s">
        <v>679</v>
      </c>
      <c r="H46" s="328" t="s">
        <v>556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B7</f>
        <v>하나 #304</v>
      </c>
      <c r="C47" s="323" t="s">
        <v>1926</v>
      </c>
      <c r="D47" s="323" t="s">
        <v>1927</v>
      </c>
      <c r="E47" s="337"/>
      <c r="F47" s="325">
        <v>6426190.0</v>
      </c>
      <c r="G47" s="327" t="s">
        <v>1398</v>
      </c>
      <c r="H47" s="328" t="s">
        <v>31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B7</f>
        <v>하나 #304</v>
      </c>
      <c r="C48" s="323" t="s">
        <v>1926</v>
      </c>
      <c r="D48" s="323" t="s">
        <v>1927</v>
      </c>
      <c r="E48" s="337"/>
      <c r="F48" s="325">
        <v>29400.0</v>
      </c>
      <c r="G48" s="327" t="s">
        <v>1399</v>
      </c>
      <c r="H48" s="328" t="s">
        <v>31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B7</f>
        <v>하나 #304</v>
      </c>
      <c r="C49" s="323" t="s">
        <v>1926</v>
      </c>
      <c r="D49" s="323" t="s">
        <v>1552</v>
      </c>
      <c r="E49" s="325"/>
      <c r="F49" s="325">
        <v>250800.0</v>
      </c>
      <c r="G49" s="327" t="s">
        <v>1928</v>
      </c>
      <c r="H49" s="328" t="s">
        <v>33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B7</f>
        <v>하나 #304</v>
      </c>
      <c r="C50" s="323" t="s">
        <v>1926</v>
      </c>
      <c r="D50" s="323" t="s">
        <v>202</v>
      </c>
      <c r="E50" s="325"/>
      <c r="F50" s="325">
        <v>645470.0</v>
      </c>
      <c r="G50" s="327" t="s">
        <v>1400</v>
      </c>
      <c r="H50" s="328" t="s">
        <v>31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B7</f>
        <v>하나 #304</v>
      </c>
      <c r="C51" s="323" t="s">
        <v>1926</v>
      </c>
      <c r="D51" s="323" t="s">
        <v>202</v>
      </c>
      <c r="E51" s="325"/>
      <c r="F51" s="325">
        <v>62500.0</v>
      </c>
      <c r="G51" s="327" t="s">
        <v>1929</v>
      </c>
      <c r="H51" s="328" t="s">
        <v>31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tr">
        <f>B7</f>
        <v>하나 #304</v>
      </c>
      <c r="C52" s="323" t="s">
        <v>1926</v>
      </c>
      <c r="D52" s="323" t="s">
        <v>1775</v>
      </c>
      <c r="E52" s="325"/>
      <c r="F52" s="325">
        <v>1.0E8</v>
      </c>
      <c r="G52" s="313" t="s">
        <v>1035</v>
      </c>
      <c r="H52" s="328" t="s">
        <v>556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tr">
        <f>B7</f>
        <v>하나 #304</v>
      </c>
      <c r="C53" s="323" t="s">
        <v>1926</v>
      </c>
      <c r="D53" s="323" t="s">
        <v>1115</v>
      </c>
      <c r="E53" s="325"/>
      <c r="F53" s="325">
        <v>500.0</v>
      </c>
      <c r="G53" s="327" t="s">
        <v>1119</v>
      </c>
      <c r="H53" s="328" t="s">
        <v>33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tr">
        <f>B9</f>
        <v>기업 #019</v>
      </c>
      <c r="C54" s="323" t="s">
        <v>1926</v>
      </c>
      <c r="D54" s="323" t="s">
        <v>1775</v>
      </c>
      <c r="E54" s="325">
        <v>1.0E8</v>
      </c>
      <c r="F54" s="325"/>
      <c r="G54" s="313" t="s">
        <v>1035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B9</f>
        <v>기업 #019</v>
      </c>
      <c r="C55" s="323" t="s">
        <v>1926</v>
      </c>
      <c r="D55" s="323" t="s">
        <v>1094</v>
      </c>
      <c r="E55" s="325"/>
      <c r="F55" s="325">
        <v>8314805.0</v>
      </c>
      <c r="G55" s="327" t="s">
        <v>1930</v>
      </c>
      <c r="H55" s="328" t="s">
        <v>33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기업 #019</v>
      </c>
      <c r="C56" s="323" t="s">
        <v>1926</v>
      </c>
      <c r="D56" s="323" t="s">
        <v>1094</v>
      </c>
      <c r="E56" s="337"/>
      <c r="F56" s="325">
        <v>76846.0</v>
      </c>
      <c r="G56" s="327" t="s">
        <v>1931</v>
      </c>
      <c r="H56" s="328" t="s">
        <v>33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B7</f>
        <v>하나 #304</v>
      </c>
      <c r="C57" s="323" t="s">
        <v>1932</v>
      </c>
      <c r="D57" s="323" t="s">
        <v>1775</v>
      </c>
      <c r="E57" s="325"/>
      <c r="F57" s="325">
        <v>2.0E7</v>
      </c>
      <c r="G57" s="313" t="s">
        <v>1035</v>
      </c>
      <c r="H57" s="328" t="s">
        <v>556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B7</f>
        <v>하나 #304</v>
      </c>
      <c r="C58" s="323" t="s">
        <v>1932</v>
      </c>
      <c r="D58" s="323" t="s">
        <v>1115</v>
      </c>
      <c r="E58" s="325"/>
      <c r="F58" s="325">
        <v>500.0</v>
      </c>
      <c r="G58" s="327" t="s">
        <v>1119</v>
      </c>
      <c r="H58" s="328" t="s">
        <v>33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323" t="s">
        <v>1932</v>
      </c>
      <c r="D59" s="323" t="s">
        <v>1775</v>
      </c>
      <c r="E59" s="325">
        <v>2.0E7</v>
      </c>
      <c r="F59" s="325"/>
      <c r="G59" s="313" t="s">
        <v>1035</v>
      </c>
      <c r="H59" s="328" t="s">
        <v>556</v>
      </c>
      <c r="I59" s="107"/>
      <c r="J59" s="141"/>
      <c r="K59" s="141"/>
      <c r="L59" s="83"/>
      <c r="M59" s="84"/>
      <c r="N59" s="141"/>
      <c r="O59" s="141"/>
      <c r="P59" s="141"/>
      <c r="Q59" s="141"/>
      <c r="R59" s="141"/>
      <c r="S59" s="141"/>
      <c r="T59" s="141"/>
      <c r="U59" s="141"/>
      <c r="V59" s="141"/>
      <c r="W59" s="141"/>
      <c r="X59" s="141"/>
      <c r="Y59" s="141"/>
    </row>
    <row r="60" ht="15.0" customHeight="1">
      <c r="A60" s="105"/>
      <c r="B60" s="281" t="str">
        <f>B5</f>
        <v>신한 #672</v>
      </c>
      <c r="C60" s="323" t="s">
        <v>1932</v>
      </c>
      <c r="D60" s="323" t="s">
        <v>1933</v>
      </c>
      <c r="E60" s="325"/>
      <c r="F60" s="325">
        <v>652550.0</v>
      </c>
      <c r="G60" s="327" t="s">
        <v>1933</v>
      </c>
      <c r="H60" s="328" t="s">
        <v>31</v>
      </c>
      <c r="I60" s="107"/>
      <c r="J60" s="141"/>
      <c r="K60" s="141"/>
      <c r="L60" s="83"/>
      <c r="M60" s="84"/>
      <c r="N60" s="141"/>
      <c r="O60" s="141"/>
      <c r="P60" s="141"/>
      <c r="Q60" s="141"/>
      <c r="R60" s="141"/>
      <c r="S60" s="141"/>
      <c r="T60" s="141"/>
      <c r="U60" s="141"/>
      <c r="V60" s="141"/>
      <c r="W60" s="141"/>
      <c r="X60" s="141"/>
      <c r="Y60" s="141"/>
    </row>
    <row r="61" ht="15.0" customHeight="1">
      <c r="A61" s="105"/>
      <c r="B61" s="281" t="str">
        <f>B5</f>
        <v>신한 #672</v>
      </c>
      <c r="C61" s="323" t="s">
        <v>1932</v>
      </c>
      <c r="D61" s="323" t="s">
        <v>1934</v>
      </c>
      <c r="E61" s="325"/>
      <c r="F61" s="325">
        <v>1858400.0</v>
      </c>
      <c r="G61" s="327" t="s">
        <v>1934</v>
      </c>
      <c r="H61" s="328" t="s">
        <v>31</v>
      </c>
      <c r="I61" s="107"/>
      <c r="J61" s="141"/>
      <c r="K61" s="141"/>
      <c r="L61" s="83"/>
      <c r="M61" s="84"/>
      <c r="N61" s="141"/>
      <c r="O61" s="141"/>
      <c r="P61" s="141"/>
      <c r="Q61" s="141"/>
      <c r="R61" s="141"/>
      <c r="S61" s="141"/>
      <c r="T61" s="141"/>
      <c r="U61" s="141"/>
      <c r="V61" s="141"/>
      <c r="W61" s="141"/>
      <c r="X61" s="141"/>
      <c r="Y61" s="141"/>
    </row>
    <row r="62" ht="15.0" customHeight="1">
      <c r="A62" s="105"/>
      <c r="B62" s="281" t="str">
        <f>B5</f>
        <v>신한 #672</v>
      </c>
      <c r="C62" s="323" t="s">
        <v>1932</v>
      </c>
      <c r="D62" s="323" t="s">
        <v>1935</v>
      </c>
      <c r="E62" s="325"/>
      <c r="F62" s="325">
        <v>9291140.0</v>
      </c>
      <c r="G62" s="327" t="s">
        <v>1935</v>
      </c>
      <c r="H62" s="328" t="s">
        <v>31</v>
      </c>
      <c r="I62" s="107"/>
      <c r="J62" s="141"/>
      <c r="K62" s="141"/>
      <c r="L62" s="83"/>
      <c r="M62" s="84"/>
      <c r="N62" s="141"/>
      <c r="O62" s="141"/>
      <c r="P62" s="141"/>
      <c r="Q62" s="141"/>
      <c r="R62" s="141"/>
      <c r="S62" s="141"/>
      <c r="T62" s="141"/>
      <c r="U62" s="141"/>
      <c r="V62" s="141"/>
      <c r="W62" s="141"/>
      <c r="X62" s="141"/>
      <c r="Y62" s="141"/>
    </row>
    <row r="63" ht="15.0" customHeight="1">
      <c r="A63" s="105"/>
      <c r="B63" s="281" t="str">
        <f>B5</f>
        <v>신한 #672</v>
      </c>
      <c r="C63" s="323" t="s">
        <v>1932</v>
      </c>
      <c r="D63" s="323" t="s">
        <v>1936</v>
      </c>
      <c r="E63" s="325"/>
      <c r="F63" s="325">
        <v>8942200.0</v>
      </c>
      <c r="G63" s="327" t="s">
        <v>1936</v>
      </c>
      <c r="H63" s="328" t="s">
        <v>31</v>
      </c>
      <c r="I63" s="107"/>
      <c r="J63" s="141"/>
      <c r="K63" s="141"/>
      <c r="L63" s="83"/>
      <c r="M63" s="84"/>
      <c r="N63" s="141"/>
      <c r="O63" s="141"/>
      <c r="P63" s="141"/>
      <c r="Q63" s="141"/>
      <c r="R63" s="141"/>
      <c r="S63" s="141"/>
      <c r="T63" s="141"/>
      <c r="U63" s="141"/>
      <c r="V63" s="141"/>
      <c r="W63" s="141"/>
      <c r="X63" s="141"/>
      <c r="Y63" s="141"/>
    </row>
    <row r="64" ht="15.0" customHeight="1">
      <c r="A64" s="105"/>
      <c r="B64" s="281" t="str">
        <f>B9</f>
        <v>기업 #019</v>
      </c>
      <c r="C64" s="323" t="s">
        <v>1937</v>
      </c>
      <c r="D64" s="323" t="s">
        <v>1938</v>
      </c>
      <c r="E64" s="337"/>
      <c r="F64" s="325">
        <v>300000.0</v>
      </c>
      <c r="G64" s="327" t="s">
        <v>1939</v>
      </c>
      <c r="H64" s="328" t="s">
        <v>4</v>
      </c>
      <c r="I64" s="107"/>
      <c r="J64" s="141"/>
      <c r="K64" s="141"/>
      <c r="L64" s="83"/>
      <c r="M64" s="84"/>
      <c r="N64" s="141"/>
      <c r="O64" s="141"/>
      <c r="P64" s="141"/>
      <c r="Q64" s="141"/>
      <c r="R64" s="141"/>
      <c r="S64" s="141"/>
      <c r="T64" s="141"/>
      <c r="U64" s="141"/>
      <c r="V64" s="141"/>
      <c r="W64" s="141"/>
      <c r="X64" s="141"/>
      <c r="Y64" s="141"/>
    </row>
    <row r="65" ht="15.0" customHeight="1">
      <c r="A65" s="105"/>
      <c r="B65" s="281" t="str">
        <f>B7</f>
        <v>하나 #304</v>
      </c>
      <c r="C65" s="374" t="s">
        <v>1940</v>
      </c>
      <c r="D65" s="323" t="s">
        <v>1775</v>
      </c>
      <c r="E65" s="325"/>
      <c r="F65" s="325">
        <v>1.5E7</v>
      </c>
      <c r="G65" s="313" t="s">
        <v>1035</v>
      </c>
      <c r="H65" s="328" t="s">
        <v>556</v>
      </c>
      <c r="I65" s="107"/>
      <c r="J65" s="141"/>
      <c r="K65" s="141"/>
      <c r="L65" s="83"/>
      <c r="M65" s="84"/>
      <c r="N65" s="141"/>
      <c r="O65" s="141"/>
      <c r="P65" s="141"/>
      <c r="Q65" s="141"/>
      <c r="R65" s="141"/>
      <c r="S65" s="141"/>
      <c r="T65" s="141"/>
      <c r="U65" s="141"/>
      <c r="V65" s="141"/>
      <c r="W65" s="141"/>
      <c r="X65" s="141"/>
      <c r="Y65" s="141"/>
    </row>
    <row r="66" ht="15.0" customHeight="1">
      <c r="A66" s="105"/>
      <c r="B66" s="281" t="str">
        <f>B7</f>
        <v>하나 #304</v>
      </c>
      <c r="C66" s="374" t="s">
        <v>1940</v>
      </c>
      <c r="D66" s="323" t="s">
        <v>1115</v>
      </c>
      <c r="E66" s="325"/>
      <c r="F66" s="325">
        <v>500.0</v>
      </c>
      <c r="G66" s="327" t="s">
        <v>1119</v>
      </c>
      <c r="H66" s="328" t="s">
        <v>33</v>
      </c>
      <c r="I66" s="107"/>
      <c r="J66" s="141"/>
      <c r="K66" s="141"/>
      <c r="L66" s="83"/>
      <c r="M66" s="84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350" t="str">
        <f>B9</f>
        <v>기업 #019</v>
      </c>
      <c r="C67" s="323" t="s">
        <v>1941</v>
      </c>
      <c r="D67" s="323" t="s">
        <v>112</v>
      </c>
      <c r="E67" s="371"/>
      <c r="F67" s="326">
        <v>100000.0</v>
      </c>
      <c r="G67" s="327" t="s">
        <v>1942</v>
      </c>
      <c r="H67" s="328" t="s">
        <v>1327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350" t="str">
        <f>B9</f>
        <v>기업 #019</v>
      </c>
      <c r="C68" s="323" t="s">
        <v>1943</v>
      </c>
      <c r="D68" s="323" t="s">
        <v>84</v>
      </c>
      <c r="E68" s="325"/>
      <c r="F68" s="325">
        <v>975398.0</v>
      </c>
      <c r="G68" s="327" t="s">
        <v>1660</v>
      </c>
      <c r="H68" s="328" t="s">
        <v>1642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B9</f>
        <v>기업 #019</v>
      </c>
      <c r="C69" s="323" t="s">
        <v>1943</v>
      </c>
      <c r="D69" s="323" t="s">
        <v>1944</v>
      </c>
      <c r="E69" s="325">
        <v>3017.0</v>
      </c>
      <c r="F69" s="325"/>
      <c r="G69" s="327" t="s">
        <v>1837</v>
      </c>
      <c r="H69" s="328" t="s">
        <v>75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B9</f>
        <v>기업 #019</v>
      </c>
      <c r="C70" s="374" t="s">
        <v>1940</v>
      </c>
      <c r="D70" s="323" t="s">
        <v>1775</v>
      </c>
      <c r="E70" s="325">
        <v>1.5E7</v>
      </c>
      <c r="F70" s="325"/>
      <c r="G70" s="313" t="s">
        <v>1035</v>
      </c>
      <c r="H70" s="328" t="s">
        <v>556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B5</f>
        <v>신한 #672</v>
      </c>
      <c r="C71" s="323" t="s">
        <v>1945</v>
      </c>
      <c r="D71" s="323" t="s">
        <v>1202</v>
      </c>
      <c r="E71" s="326"/>
      <c r="F71" s="326">
        <v>110000.0</v>
      </c>
      <c r="G71" s="327" t="s">
        <v>1202</v>
      </c>
      <c r="H71" s="328" t="s">
        <v>33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B12</f>
        <v>WISE USD</v>
      </c>
      <c r="C72" s="323" t="s">
        <v>1940</v>
      </c>
      <c r="D72" s="323" t="s">
        <v>1718</v>
      </c>
      <c r="E72" s="326"/>
      <c r="F72" s="371">
        <v>61.49</v>
      </c>
      <c r="G72" s="327" t="s">
        <v>1719</v>
      </c>
      <c r="H72" s="286" t="s">
        <v>33</v>
      </c>
      <c r="I72" s="107"/>
      <c r="J72" s="141"/>
      <c r="K72" s="141"/>
      <c r="L72" s="83"/>
      <c r="M72" s="84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B9</f>
        <v>기업 #019</v>
      </c>
      <c r="C73" s="323" t="s">
        <v>1946</v>
      </c>
      <c r="D73" s="323" t="s">
        <v>41</v>
      </c>
      <c r="E73" s="325"/>
      <c r="F73" s="325">
        <v>9.7452131E7</v>
      </c>
      <c r="G73" s="327" t="s">
        <v>41</v>
      </c>
      <c r="H73" s="328" t="s">
        <v>41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B9</f>
        <v>기업 #019</v>
      </c>
      <c r="C74" s="323" t="s">
        <v>1946</v>
      </c>
      <c r="D74" s="323" t="s">
        <v>1623</v>
      </c>
      <c r="E74" s="337"/>
      <c r="F74" s="325">
        <v>2061272.0</v>
      </c>
      <c r="G74" s="327" t="s">
        <v>1623</v>
      </c>
      <c r="H74" s="328" t="s">
        <v>41</v>
      </c>
      <c r="I74" s="107"/>
      <c r="J74" s="141"/>
      <c r="K74" s="141"/>
      <c r="L74" s="83"/>
      <c r="M74" s="84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>
      <c r="B75" s="281" t="str">
        <f>B9</f>
        <v>기업 #019</v>
      </c>
      <c r="C75" s="323" t="s">
        <v>1946</v>
      </c>
      <c r="D75" s="323" t="s">
        <v>1947</v>
      </c>
      <c r="E75" s="325"/>
      <c r="F75" s="325">
        <v>492000.0</v>
      </c>
      <c r="G75" s="327" t="s">
        <v>1948</v>
      </c>
      <c r="H75" s="328" t="s">
        <v>930</v>
      </c>
    </row>
    <row r="76" ht="15.0" customHeight="1">
      <c r="A76" s="105"/>
      <c r="B76" s="281" t="str">
        <f>B5</f>
        <v>신한 #672</v>
      </c>
      <c r="C76" s="323" t="s">
        <v>1946</v>
      </c>
      <c r="D76" s="323" t="s">
        <v>1633</v>
      </c>
      <c r="E76" s="326"/>
      <c r="F76" s="326">
        <v>5199102.0</v>
      </c>
      <c r="G76" s="327" t="s">
        <v>1488</v>
      </c>
      <c r="H76" s="286" t="s">
        <v>33</v>
      </c>
      <c r="I76" s="107"/>
      <c r="J76" s="141"/>
      <c r="K76" s="141"/>
      <c r="L76" s="83"/>
      <c r="M76" s="84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 t="str">
        <f>B9</f>
        <v>기업 #019</v>
      </c>
      <c r="C77" s="323" t="s">
        <v>1949</v>
      </c>
      <c r="D77" s="323" t="s">
        <v>1669</v>
      </c>
      <c r="E77" s="326"/>
      <c r="F77" s="326">
        <v>3651877.0</v>
      </c>
      <c r="G77" s="327" t="s">
        <v>1488</v>
      </c>
      <c r="H77" s="286" t="s">
        <v>33</v>
      </c>
      <c r="I77" s="107"/>
      <c r="J77" s="141"/>
      <c r="K77" s="138"/>
      <c r="L77" s="99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B7</f>
        <v>하나 #304</v>
      </c>
      <c r="C78" s="323" t="s">
        <v>1949</v>
      </c>
      <c r="D78" s="323" t="s">
        <v>721</v>
      </c>
      <c r="E78" s="326"/>
      <c r="F78" s="326">
        <v>9105387.0</v>
      </c>
      <c r="G78" s="327" t="s">
        <v>1488</v>
      </c>
      <c r="H78" s="286" t="s">
        <v>33</v>
      </c>
      <c r="I78" s="107"/>
      <c r="J78" s="141"/>
      <c r="K78" s="138"/>
      <c r="L78" s="99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350" t="str">
        <f>B7</f>
        <v>하나 #304</v>
      </c>
      <c r="C79" s="323" t="s">
        <v>1949</v>
      </c>
      <c r="D79" s="323" t="s">
        <v>721</v>
      </c>
      <c r="E79" s="337"/>
      <c r="F79" s="325">
        <v>41107.0</v>
      </c>
      <c r="G79" s="327" t="s">
        <v>1488</v>
      </c>
      <c r="H79" s="286" t="s">
        <v>33</v>
      </c>
      <c r="I79" s="107"/>
      <c r="J79" s="141"/>
      <c r="K79" s="138"/>
      <c r="L79" s="99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350" t="str">
        <f>B5</f>
        <v>신한 #672</v>
      </c>
      <c r="C80" s="323" t="s">
        <v>1949</v>
      </c>
      <c r="D80" s="323" t="s">
        <v>1950</v>
      </c>
      <c r="E80" s="337"/>
      <c r="F80" s="325">
        <v>56150.0</v>
      </c>
      <c r="G80" s="313" t="s">
        <v>1951</v>
      </c>
      <c r="H80" s="286" t="s">
        <v>27</v>
      </c>
      <c r="I80" s="107"/>
      <c r="J80" s="141"/>
      <c r="K80" s="138"/>
      <c r="L80" s="99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350" t="str">
        <f>B5</f>
        <v>신한 #672</v>
      </c>
      <c r="C81" s="323" t="s">
        <v>1949</v>
      </c>
      <c r="D81" s="323" t="s">
        <v>497</v>
      </c>
      <c r="E81" s="337"/>
      <c r="F81" s="325">
        <v>330000.0</v>
      </c>
      <c r="G81" s="313" t="s">
        <v>1952</v>
      </c>
      <c r="H81" s="286" t="s">
        <v>33</v>
      </c>
      <c r="I81" s="107"/>
      <c r="J81" s="141"/>
      <c r="K81" s="138"/>
      <c r="L81" s="99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>
      <c r="B82" s="281" t="str">
        <f>B5</f>
        <v>신한 #672</v>
      </c>
      <c r="C82" s="323" t="s">
        <v>1949</v>
      </c>
      <c r="D82" s="323" t="s">
        <v>1953</v>
      </c>
      <c r="E82" s="337"/>
      <c r="F82" s="325">
        <v>37430.0</v>
      </c>
      <c r="G82" s="327" t="s">
        <v>1038</v>
      </c>
      <c r="H82" s="328" t="s">
        <v>4</v>
      </c>
      <c r="I82" s="107"/>
      <c r="J82" s="141"/>
      <c r="K82" s="138"/>
      <c r="L82" s="99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341"/>
      <c r="B83" s="281" t="str">
        <f>B5</f>
        <v>신한 #672</v>
      </c>
      <c r="C83" s="323" t="s">
        <v>1949</v>
      </c>
      <c r="D83" s="323" t="s">
        <v>1953</v>
      </c>
      <c r="E83" s="326"/>
      <c r="F83" s="326">
        <v>37430.0</v>
      </c>
      <c r="G83" s="327" t="s">
        <v>1038</v>
      </c>
      <c r="H83" s="328" t="s">
        <v>4</v>
      </c>
      <c r="I83" s="107"/>
      <c r="J83" s="141"/>
      <c r="K83" s="138"/>
      <c r="L83" s="99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323" t="s">
        <v>1949</v>
      </c>
      <c r="D84" s="323" t="s">
        <v>1953</v>
      </c>
      <c r="E84" s="325"/>
      <c r="F84" s="325">
        <v>50250.0</v>
      </c>
      <c r="G84" s="327" t="s">
        <v>1040</v>
      </c>
      <c r="H84" s="328" t="s">
        <v>4</v>
      </c>
      <c r="I84" s="107"/>
      <c r="J84" s="141"/>
      <c r="K84" s="138"/>
      <c r="L84" s="99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323" t="s">
        <v>1949</v>
      </c>
      <c r="D85" s="323" t="s">
        <v>1953</v>
      </c>
      <c r="E85" s="326"/>
      <c r="F85" s="326">
        <v>20660.0</v>
      </c>
      <c r="G85" s="327" t="s">
        <v>1039</v>
      </c>
      <c r="H85" s="328" t="s">
        <v>4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1949</v>
      </c>
      <c r="D86" s="323" t="s">
        <v>1953</v>
      </c>
      <c r="E86" s="325"/>
      <c r="F86" s="326">
        <v>20660.0</v>
      </c>
      <c r="G86" s="327" t="s">
        <v>1039</v>
      </c>
      <c r="H86" s="328" t="s">
        <v>4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1949</v>
      </c>
      <c r="D87" s="323" t="s">
        <v>1954</v>
      </c>
      <c r="E87" s="325"/>
      <c r="F87" s="325">
        <v>98000.0</v>
      </c>
      <c r="G87" s="327" t="s">
        <v>1047</v>
      </c>
      <c r="H87" s="328" t="s">
        <v>4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B9</f>
        <v>기업 #019</v>
      </c>
      <c r="C88" s="323" t="s">
        <v>1955</v>
      </c>
      <c r="D88" s="323" t="s">
        <v>119</v>
      </c>
      <c r="E88" s="325"/>
      <c r="F88" s="325">
        <v>64152.0</v>
      </c>
      <c r="G88" s="327" t="s">
        <v>1857</v>
      </c>
      <c r="H88" s="328" t="s">
        <v>4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B9</f>
        <v>기업 #019</v>
      </c>
      <c r="C89" s="323" t="s">
        <v>1955</v>
      </c>
      <c r="D89" s="323" t="s">
        <v>1858</v>
      </c>
      <c r="E89" s="325"/>
      <c r="F89" s="325">
        <v>22038.0</v>
      </c>
      <c r="G89" s="313" t="s">
        <v>1859</v>
      </c>
      <c r="H89" s="328" t="s">
        <v>4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B9</f>
        <v>기업 #019</v>
      </c>
      <c r="C90" s="323" t="s">
        <v>1955</v>
      </c>
      <c r="D90" s="323" t="s">
        <v>115</v>
      </c>
      <c r="E90" s="283"/>
      <c r="F90" s="325">
        <v>23218.0</v>
      </c>
      <c r="G90" s="327" t="s">
        <v>1859</v>
      </c>
      <c r="H90" s="328" t="s">
        <v>4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B9</f>
        <v>기업 #019</v>
      </c>
      <c r="C91" s="323" t="s">
        <v>1955</v>
      </c>
      <c r="D91" s="323" t="s">
        <v>637</v>
      </c>
      <c r="E91" s="283"/>
      <c r="F91" s="326">
        <v>13100.0</v>
      </c>
      <c r="G91" s="327" t="s">
        <v>1667</v>
      </c>
      <c r="H91" s="328" t="s">
        <v>4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B5</f>
        <v>신한 #672</v>
      </c>
      <c r="C92" s="323" t="s">
        <v>1955</v>
      </c>
      <c r="D92" s="282" t="s">
        <v>920</v>
      </c>
      <c r="E92" s="291"/>
      <c r="F92" s="326">
        <v>77000.0</v>
      </c>
      <c r="G92" s="327" t="s">
        <v>1006</v>
      </c>
      <c r="H92" s="328" t="s">
        <v>33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B12</f>
        <v>WISE USD</v>
      </c>
      <c r="C93" s="323" t="s">
        <v>1956</v>
      </c>
      <c r="D93" s="323" t="s">
        <v>1607</v>
      </c>
      <c r="E93" s="325"/>
      <c r="F93" s="337">
        <v>420.0</v>
      </c>
      <c r="G93" s="327" t="s">
        <v>1957</v>
      </c>
      <c r="H93" s="328" t="s">
        <v>33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B12</f>
        <v>WISE USD</v>
      </c>
      <c r="C94" s="323" t="s">
        <v>1958</v>
      </c>
      <c r="D94" s="323" t="s">
        <v>1816</v>
      </c>
      <c r="E94" s="325"/>
      <c r="F94" s="337">
        <v>220.0</v>
      </c>
      <c r="G94" s="313" t="s">
        <v>1959</v>
      </c>
      <c r="H94" s="328" t="s">
        <v>33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350" t="s">
        <v>747</v>
      </c>
      <c r="C95" s="323" t="s">
        <v>1960</v>
      </c>
      <c r="D95" s="323" t="s">
        <v>828</v>
      </c>
      <c r="E95" s="325"/>
      <c r="F95" s="337">
        <v>15.0</v>
      </c>
      <c r="G95" s="313" t="s">
        <v>1079</v>
      </c>
      <c r="H95" s="328" t="s">
        <v>33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323"/>
      <c r="D96" s="323"/>
      <c r="E96" s="325"/>
      <c r="F96" s="325"/>
      <c r="G96" s="327"/>
      <c r="H96" s="328"/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323"/>
      <c r="D97" s="323"/>
      <c r="E97" s="325"/>
      <c r="F97" s="325"/>
      <c r="G97" s="313"/>
      <c r="H97" s="286"/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323"/>
      <c r="D98" s="323"/>
      <c r="E98" s="325"/>
      <c r="F98" s="325"/>
      <c r="G98" s="327"/>
      <c r="H98" s="328"/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323"/>
      <c r="D99" s="323"/>
      <c r="E99" s="325"/>
      <c r="F99" s="325"/>
      <c r="G99" s="327"/>
      <c r="H99" s="328"/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323"/>
      <c r="D100" s="323"/>
      <c r="E100" s="325"/>
      <c r="F100" s="325"/>
      <c r="G100" s="327"/>
      <c r="H100" s="328"/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323"/>
      <c r="D101" s="323"/>
      <c r="E101" s="325"/>
      <c r="F101" s="325"/>
      <c r="G101" s="327"/>
      <c r="H101" s="328"/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323"/>
      <c r="D102" s="323"/>
      <c r="E102" s="325"/>
      <c r="F102" s="325"/>
      <c r="G102" s="327"/>
      <c r="H102" s="328"/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323"/>
      <c r="D103" s="282"/>
      <c r="E103" s="291"/>
      <c r="F103" s="284"/>
      <c r="G103" s="327"/>
      <c r="H103" s="328"/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282"/>
      <c r="E104" s="291"/>
      <c r="F104" s="284"/>
      <c r="G104" s="327"/>
      <c r="H104" s="328"/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282"/>
      <c r="E105" s="291"/>
      <c r="F105" s="284"/>
      <c r="G105" s="327"/>
      <c r="H105" s="328"/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282"/>
      <c r="E106" s="291"/>
      <c r="F106" s="284"/>
      <c r="G106" s="313"/>
      <c r="H106" s="286"/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282"/>
      <c r="D107" s="282"/>
      <c r="E107" s="291"/>
      <c r="F107" s="292"/>
      <c r="G107" s="327"/>
      <c r="H107" s="328"/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282"/>
      <c r="D108" s="282"/>
      <c r="E108" s="283"/>
      <c r="F108" s="292"/>
      <c r="G108" s="327"/>
      <c r="H108" s="328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350"/>
      <c r="C109" s="282"/>
      <c r="D109" s="282"/>
      <c r="E109" s="283"/>
      <c r="F109" s="292"/>
      <c r="G109" s="313"/>
      <c r="H109" s="286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25"/>
      <c r="F110" s="325"/>
      <c r="G110" s="313"/>
      <c r="H110" s="286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282"/>
      <c r="D111" s="282"/>
      <c r="E111" s="291"/>
      <c r="F111" s="284"/>
      <c r="G111" s="313"/>
      <c r="H111" s="286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282"/>
      <c r="D112" s="282"/>
      <c r="E112" s="291"/>
      <c r="F112" s="326"/>
      <c r="G112" s="327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282"/>
      <c r="D113" s="282"/>
      <c r="E113" s="291"/>
      <c r="F113" s="292"/>
      <c r="G113" s="327"/>
      <c r="H113" s="328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282"/>
      <c r="D114" s="282"/>
      <c r="E114" s="291"/>
      <c r="F114" s="292"/>
      <c r="G114" s="327"/>
      <c r="H114" s="328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27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292"/>
      <c r="G116" s="327"/>
      <c r="H116" s="328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27"/>
      <c r="H117" s="328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27"/>
      <c r="H118" s="328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27"/>
      <c r="H119" s="328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</sheetData>
  <autoFilter ref="$B$24:$H$131">
    <sortState ref="B24:H131">
      <sortCondition ref="B24:B131"/>
    </sortState>
  </autoFilter>
  <customSheetViews>
    <customSheetView guid="{CD2BF927-9D79-47FC-BBA8-927062D6B3F5}" filter="1" showAutoFilter="1">
      <autoFilter ref="$B$24:$H$131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31">
      <formula1>$L:$L</formula1>
    </dataValidation>
  </dataValidations>
  <hyperlinks>
    <hyperlink r:id="rId1" ref="I3"/>
    <hyperlink r:id="rId2" ref="I4"/>
  </hyperlinks>
  <printOptions/>
  <pageMargins bottom="0.75" footer="0.0" header="0.0" left="0.25" right="0.25" top="0.75"/>
  <pageSetup fitToHeight="0" paperSize="9" orientation="portrait"/>
  <drawing r:id="rId3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 outlineLevelRow="1"/>
  <cols>
    <col customWidth="1" min="1" max="1" width="1.57"/>
    <col customWidth="1" min="2" max="2" width="18.86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1961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02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'24.08월'!G5</f>
        <v>592510</v>
      </c>
      <c r="E5" s="355">
        <f t="shared" ref="E5:E17" si="1">sumif($B$25:$B$166,B5,$E$25:$E$166)</f>
        <v>30001742</v>
      </c>
      <c r="F5" s="356">
        <f t="shared" ref="F5:F17" si="2">sumif($B$25:$B$166,B5,$F$25:$F$166)</f>
        <v>29807408</v>
      </c>
      <c r="G5" s="229">
        <f t="shared" ref="G5:G17" si="3">D5+E5-F5</f>
        <v>786844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'24.08월'!G6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'24.08월'!G7</f>
        <v>11139420</v>
      </c>
      <c r="E7" s="359">
        <f t="shared" si="1"/>
        <v>163036259</v>
      </c>
      <c r="F7" s="360">
        <f t="shared" si="2"/>
        <v>162187505</v>
      </c>
      <c r="G7" s="239">
        <f t="shared" si="3"/>
        <v>11988174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'24.08월'!G8</f>
        <v>0</v>
      </c>
      <c r="E8" s="361">
        <f t="shared" si="1"/>
        <v>119995.28</v>
      </c>
      <c r="F8" s="358">
        <f t="shared" si="2"/>
        <v>119995</v>
      </c>
      <c r="G8" s="235">
        <f t="shared" si="3"/>
        <v>0.28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'24.08월'!G9</f>
        <v>1517239</v>
      </c>
      <c r="E9" s="359">
        <f t="shared" si="1"/>
        <v>129904066</v>
      </c>
      <c r="F9" s="360">
        <f t="shared" si="2"/>
        <v>130908757</v>
      </c>
      <c r="G9" s="239">
        <f t="shared" si="3"/>
        <v>512548</v>
      </c>
      <c r="H9" s="351" t="s">
        <v>1583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'24.08월'!G10</f>
        <v>15435</v>
      </c>
      <c r="E10" s="359">
        <f t="shared" si="1"/>
        <v>0</v>
      </c>
      <c r="F10" s="360">
        <f t="shared" si="2"/>
        <v>0</v>
      </c>
      <c r="G10" s="239">
        <f t="shared" si="3"/>
        <v>15435</v>
      </c>
      <c r="H10" s="351" t="s">
        <v>1585</v>
      </c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'24.08월'!G11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'24.08월'!G12</f>
        <v>26878.11</v>
      </c>
      <c r="E12" s="361">
        <f t="shared" si="1"/>
        <v>0</v>
      </c>
      <c r="F12" s="362">
        <f t="shared" si="2"/>
        <v>9883.67</v>
      </c>
      <c r="G12" s="329">
        <f t="shared" si="3"/>
        <v>16994.44</v>
      </c>
      <c r="H12" s="351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'24.08월'!G13</f>
        <v>0</v>
      </c>
      <c r="E13" s="363">
        <f t="shared" si="1"/>
        <v>0</v>
      </c>
      <c r="F13" s="364">
        <f t="shared" si="2"/>
        <v>0</v>
      </c>
      <c r="G13" s="320">
        <f t="shared" si="3"/>
        <v>0</v>
      </c>
      <c r="H13" s="125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'24.08월'!G14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125"/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'24.08월'!G15</f>
        <v>136908.31</v>
      </c>
      <c r="E15" s="361">
        <f t="shared" si="1"/>
        <v>122321.03</v>
      </c>
      <c r="F15" s="358">
        <f t="shared" si="2"/>
        <v>123487.04</v>
      </c>
      <c r="G15" s="235">
        <f t="shared" si="3"/>
        <v>135742.3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'24.08월'!G16</f>
        <v>335.01</v>
      </c>
      <c r="E16" s="366">
        <f t="shared" si="1"/>
        <v>0</v>
      </c>
      <c r="F16" s="367">
        <f t="shared" si="2"/>
        <v>35</v>
      </c>
      <c r="G16" s="310">
        <f t="shared" si="3"/>
        <v>300.01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382" t="s">
        <v>1962</v>
      </c>
      <c r="C17" s="383" t="s">
        <v>19</v>
      </c>
      <c r="D17" s="384">
        <f>  68627.47 - 200.03</f>
        <v>68427.44</v>
      </c>
      <c r="E17" s="385">
        <f t="shared" si="1"/>
        <v>200.03</v>
      </c>
      <c r="F17" s="386">
        <f t="shared" si="2"/>
        <v>0</v>
      </c>
      <c r="G17" s="387">
        <f t="shared" si="3"/>
        <v>68627.47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13264604</v>
      </c>
      <c r="E18" s="262">
        <f t="shared" si="4"/>
        <v>322942067</v>
      </c>
      <c r="F18" s="263">
        <f t="shared" si="4"/>
        <v>322903670</v>
      </c>
      <c r="G18" s="345">
        <f t="shared" si="4"/>
        <v>13303001</v>
      </c>
      <c r="H18" s="353">
        <f>G18</f>
        <v>13303001</v>
      </c>
      <c r="I18" s="353">
        <f>D18</f>
        <v>13264604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232216.17</v>
      </c>
      <c r="E19" s="269">
        <f t="shared" si="5"/>
        <v>242516.34</v>
      </c>
      <c r="F19" s="270">
        <f t="shared" si="5"/>
        <v>253365.71</v>
      </c>
      <c r="G19" s="346">
        <f t="shared" si="5"/>
        <v>221366.8</v>
      </c>
      <c r="H19" s="265">
        <f>rounddown(G19*$J$3,0)</f>
        <v>326012420</v>
      </c>
      <c r="I19" s="265">
        <f>rounddown(D19*$J$3,0)</f>
        <v>341990558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335.01</v>
      </c>
      <c r="E20" s="274">
        <f t="shared" si="6"/>
        <v>0</v>
      </c>
      <c r="F20" s="275">
        <f t="shared" si="6"/>
        <v>35</v>
      </c>
      <c r="G20" s="347">
        <f t="shared" si="6"/>
        <v>300.01</v>
      </c>
      <c r="H20" s="277">
        <f>rounddown(G20*$J$4,0)</f>
        <v>343176</v>
      </c>
      <c r="I20" s="277">
        <f>rounddown(D20*$J$4,0)</f>
        <v>383212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339658597</v>
      </c>
      <c r="I21" s="279">
        <f t="shared" si="7"/>
        <v>355638374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-15979777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-10850.48261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B9</f>
        <v>기업 #019</v>
      </c>
      <c r="C25" s="323" t="s">
        <v>1963</v>
      </c>
      <c r="D25" s="323" t="s">
        <v>1964</v>
      </c>
      <c r="E25" s="325"/>
      <c r="F25" s="325">
        <v>862600.0</v>
      </c>
      <c r="G25" s="327" t="s">
        <v>1965</v>
      </c>
      <c r="H25" s="328" t="s">
        <v>20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WISE USD</v>
      </c>
      <c r="C26" s="323" t="s">
        <v>1966</v>
      </c>
      <c r="D26" s="323" t="s">
        <v>1803</v>
      </c>
      <c r="E26" s="325"/>
      <c r="F26" s="337">
        <v>20.26</v>
      </c>
      <c r="G26" s="327" t="s">
        <v>1967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">
        <v>746</v>
      </c>
      <c r="C27" s="323" t="s">
        <v>1968</v>
      </c>
      <c r="D27" s="323" t="s">
        <v>1883</v>
      </c>
      <c r="E27" s="371">
        <v>119712.0</v>
      </c>
      <c r="F27" s="337"/>
      <c r="G27" s="327" t="s">
        <v>1969</v>
      </c>
      <c r="H27" s="328" t="s">
        <v>556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">
        <v>746</v>
      </c>
      <c r="C28" s="323" t="s">
        <v>1968</v>
      </c>
      <c r="D28" s="323" t="s">
        <v>828</v>
      </c>
      <c r="E28" s="371"/>
      <c r="F28" s="371">
        <v>10.0</v>
      </c>
      <c r="G28" s="313" t="s">
        <v>1079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">
        <v>746</v>
      </c>
      <c r="C29" s="323" t="s">
        <v>1968</v>
      </c>
      <c r="D29" s="323" t="s">
        <v>828</v>
      </c>
      <c r="E29" s="326"/>
      <c r="F29" s="337">
        <v>7.59</v>
      </c>
      <c r="G29" s="313" t="s">
        <v>1079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">
        <v>746</v>
      </c>
      <c r="C30" s="323" t="s">
        <v>1968</v>
      </c>
      <c r="D30" s="323" t="s">
        <v>1775</v>
      </c>
      <c r="E30" s="325"/>
      <c r="F30" s="337">
        <v>120000.0</v>
      </c>
      <c r="G30" s="327" t="s">
        <v>1035</v>
      </c>
      <c r="H30" s="328" t="s">
        <v>556</v>
      </c>
      <c r="I30" s="107"/>
      <c r="J30" s="141"/>
      <c r="K30" s="138"/>
      <c r="L30" s="83" t="s">
        <v>1970</v>
      </c>
      <c r="M30" s="84"/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">
        <v>746</v>
      </c>
      <c r="C31" s="323" t="s">
        <v>1968</v>
      </c>
      <c r="D31" s="323" t="s">
        <v>828</v>
      </c>
      <c r="E31" s="326"/>
      <c r="F31" s="337">
        <v>23.12</v>
      </c>
      <c r="G31" s="313" t="s">
        <v>1079</v>
      </c>
      <c r="H31" s="328" t="s">
        <v>33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">
        <v>746</v>
      </c>
      <c r="C32" s="323" t="s">
        <v>1968</v>
      </c>
      <c r="D32" s="323" t="s">
        <v>828</v>
      </c>
      <c r="E32" s="337"/>
      <c r="F32" s="337">
        <v>15.0</v>
      </c>
      <c r="G32" s="313" t="s">
        <v>1079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">
        <v>746</v>
      </c>
      <c r="C33" s="323" t="s">
        <v>1971</v>
      </c>
      <c r="D33" s="323" t="s">
        <v>828</v>
      </c>
      <c r="E33" s="337">
        <v>2609.03</v>
      </c>
      <c r="F33" s="337"/>
      <c r="G33" s="327" t="s">
        <v>1972</v>
      </c>
      <c r="H33" s="328" t="s">
        <v>556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">
        <v>746</v>
      </c>
      <c r="C34" s="323" t="s">
        <v>1971</v>
      </c>
      <c r="D34" s="323" t="s">
        <v>828</v>
      </c>
      <c r="E34" s="371"/>
      <c r="F34" s="371">
        <v>10.0</v>
      </c>
      <c r="G34" s="313" t="s">
        <v>1079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">
        <v>746</v>
      </c>
      <c r="C35" s="323" t="s">
        <v>1971</v>
      </c>
      <c r="D35" s="323" t="s">
        <v>828</v>
      </c>
      <c r="E35" s="371"/>
      <c r="F35" s="371">
        <v>7.59</v>
      </c>
      <c r="G35" s="313" t="s">
        <v>1079</v>
      </c>
      <c r="H35" s="328" t="s">
        <v>33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">
        <v>746</v>
      </c>
      <c r="C36" s="323" t="s">
        <v>1973</v>
      </c>
      <c r="D36" s="323" t="s">
        <v>1974</v>
      </c>
      <c r="E36" s="337"/>
      <c r="F36" s="337">
        <v>2281.06</v>
      </c>
      <c r="G36" s="313" t="s">
        <v>1975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">
        <v>746</v>
      </c>
      <c r="C37" s="323" t="s">
        <v>1973</v>
      </c>
      <c r="D37" s="323" t="s">
        <v>828</v>
      </c>
      <c r="E37" s="371"/>
      <c r="F37" s="371">
        <v>23.26</v>
      </c>
      <c r="G37" s="313" t="s">
        <v>1079</v>
      </c>
      <c r="H37" s="328" t="s">
        <v>33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">
        <v>746</v>
      </c>
      <c r="C38" s="323" t="s">
        <v>1973</v>
      </c>
      <c r="D38" s="323" t="s">
        <v>828</v>
      </c>
      <c r="E38" s="371"/>
      <c r="F38" s="371">
        <v>15.0</v>
      </c>
      <c r="G38" s="313" t="s">
        <v>1079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">
        <v>747</v>
      </c>
      <c r="C39" s="323" t="s">
        <v>1968</v>
      </c>
      <c r="D39" s="323" t="s">
        <v>828</v>
      </c>
      <c r="E39" s="337"/>
      <c r="F39" s="337">
        <v>10.0</v>
      </c>
      <c r="G39" s="313" t="s">
        <v>1079</v>
      </c>
      <c r="H39" s="328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">
        <v>747</v>
      </c>
      <c r="C40" s="323" t="s">
        <v>1976</v>
      </c>
      <c r="D40" s="323" t="s">
        <v>828</v>
      </c>
      <c r="E40" s="337"/>
      <c r="F40" s="337">
        <v>10.0</v>
      </c>
      <c r="G40" s="313" t="s">
        <v>1079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">
        <v>746</v>
      </c>
      <c r="C41" s="323" t="s">
        <v>1977</v>
      </c>
      <c r="D41" s="323" t="s">
        <v>1974</v>
      </c>
      <c r="E41" s="337"/>
      <c r="F41" s="337">
        <v>1056.0</v>
      </c>
      <c r="G41" s="313" t="s">
        <v>1978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">
        <v>746</v>
      </c>
      <c r="C42" s="323" t="s">
        <v>1977</v>
      </c>
      <c r="D42" s="323" t="s">
        <v>828</v>
      </c>
      <c r="E42" s="371"/>
      <c r="F42" s="371">
        <v>23.42</v>
      </c>
      <c r="G42" s="313" t="s">
        <v>1079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">
        <v>746</v>
      </c>
      <c r="C43" s="323" t="s">
        <v>1979</v>
      </c>
      <c r="D43" s="323" t="s">
        <v>828</v>
      </c>
      <c r="E43" s="337"/>
      <c r="F43" s="337">
        <v>15.0</v>
      </c>
      <c r="G43" s="313" t="s">
        <v>1079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">
        <v>747</v>
      </c>
      <c r="C44" s="323" t="s">
        <v>1979</v>
      </c>
      <c r="D44" s="323" t="s">
        <v>828</v>
      </c>
      <c r="E44" s="337"/>
      <c r="F44" s="337">
        <v>15.0</v>
      </c>
      <c r="G44" s="313" t="s">
        <v>1079</v>
      </c>
      <c r="H44" s="328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B8</f>
        <v>하나 #138</v>
      </c>
      <c r="C45" s="323" t="s">
        <v>1971</v>
      </c>
      <c r="D45" s="323" t="s">
        <v>1110</v>
      </c>
      <c r="E45" s="325">
        <v>119995.0</v>
      </c>
      <c r="F45" s="337"/>
      <c r="G45" s="327" t="s">
        <v>1035</v>
      </c>
      <c r="H45" s="328" t="s">
        <v>556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B8</f>
        <v>하나 #138</v>
      </c>
      <c r="C46" s="323" t="s">
        <v>1980</v>
      </c>
      <c r="D46" s="323" t="s">
        <v>1981</v>
      </c>
      <c r="E46" s="325"/>
      <c r="F46" s="337">
        <v>119995.0</v>
      </c>
      <c r="G46" s="313" t="s">
        <v>679</v>
      </c>
      <c r="H46" s="328" t="s">
        <v>556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B7</f>
        <v>하나 #304</v>
      </c>
      <c r="C47" s="323" t="s">
        <v>1980</v>
      </c>
      <c r="D47" s="323" t="s">
        <v>1981</v>
      </c>
      <c r="E47" s="325">
        <v>1.59066571E8</v>
      </c>
      <c r="F47" s="337"/>
      <c r="G47" s="313" t="s">
        <v>679</v>
      </c>
      <c r="H47" s="328" t="s">
        <v>556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B7</f>
        <v>하나 #304</v>
      </c>
      <c r="C48" s="323" t="s">
        <v>1980</v>
      </c>
      <c r="D48" s="323" t="s">
        <v>1981</v>
      </c>
      <c r="E48" s="325"/>
      <c r="F48" s="325">
        <v>1.2E8</v>
      </c>
      <c r="G48" s="313" t="s">
        <v>1035</v>
      </c>
      <c r="H48" s="328" t="s">
        <v>556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B7</f>
        <v>하나 #304</v>
      </c>
      <c r="C49" s="323" t="s">
        <v>1980</v>
      </c>
      <c r="D49" s="323" t="s">
        <v>1115</v>
      </c>
      <c r="E49" s="325"/>
      <c r="F49" s="325">
        <v>500.0</v>
      </c>
      <c r="G49" s="327" t="s">
        <v>1119</v>
      </c>
      <c r="H49" s="328" t="s">
        <v>33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B7</f>
        <v>하나 #304</v>
      </c>
      <c r="C50" s="323" t="s">
        <v>1980</v>
      </c>
      <c r="D50" s="323" t="s">
        <v>1981</v>
      </c>
      <c r="E50" s="325"/>
      <c r="F50" s="325">
        <v>3.0E7</v>
      </c>
      <c r="G50" s="313" t="s">
        <v>1035</v>
      </c>
      <c r="H50" s="328" t="s">
        <v>556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B7</f>
        <v>하나 #304</v>
      </c>
      <c r="C51" s="323" t="s">
        <v>1980</v>
      </c>
      <c r="D51" s="323" t="s">
        <v>1115</v>
      </c>
      <c r="E51" s="325"/>
      <c r="F51" s="325">
        <v>500.0</v>
      </c>
      <c r="G51" s="327" t="s">
        <v>1119</v>
      </c>
      <c r="H51" s="328" t="s">
        <v>33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tr">
        <f>B5</f>
        <v>신한 #672</v>
      </c>
      <c r="C52" s="323" t="s">
        <v>1980</v>
      </c>
      <c r="D52" s="323" t="s">
        <v>1981</v>
      </c>
      <c r="E52" s="325">
        <v>3.0E7</v>
      </c>
      <c r="F52" s="325"/>
      <c r="G52" s="313" t="s">
        <v>1035</v>
      </c>
      <c r="H52" s="328" t="s">
        <v>556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tr">
        <f>B9</f>
        <v>기업 #019</v>
      </c>
      <c r="C53" s="323" t="s">
        <v>1980</v>
      </c>
      <c r="D53" s="323" t="s">
        <v>1981</v>
      </c>
      <c r="E53" s="325">
        <v>1.2E8</v>
      </c>
      <c r="F53" s="325"/>
      <c r="G53" s="313" t="s">
        <v>1035</v>
      </c>
      <c r="H53" s="328" t="s">
        <v>556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B9</f>
        <v>기업 #019</v>
      </c>
      <c r="C54" s="323" t="s">
        <v>1980</v>
      </c>
      <c r="D54" s="323" t="s">
        <v>1297</v>
      </c>
      <c r="E54" s="325"/>
      <c r="F54" s="325">
        <v>5017750.0</v>
      </c>
      <c r="G54" s="327" t="s">
        <v>1439</v>
      </c>
      <c r="H54" s="328" t="s">
        <v>31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B9</f>
        <v>기업 #019</v>
      </c>
      <c r="C55" s="323" t="s">
        <v>1980</v>
      </c>
      <c r="D55" s="323" t="s">
        <v>1297</v>
      </c>
      <c r="E55" s="337"/>
      <c r="F55" s="325">
        <v>180810.0</v>
      </c>
      <c r="G55" s="327" t="s">
        <v>1436</v>
      </c>
      <c r="H55" s="328" t="s">
        <v>31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기업 #019</v>
      </c>
      <c r="C56" s="323" t="s">
        <v>1980</v>
      </c>
      <c r="D56" s="323" t="s">
        <v>1297</v>
      </c>
      <c r="E56" s="337"/>
      <c r="F56" s="325">
        <v>28970.0</v>
      </c>
      <c r="G56" s="327" t="s">
        <v>1982</v>
      </c>
      <c r="H56" s="328" t="s">
        <v>31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B9</f>
        <v>기업 #019</v>
      </c>
      <c r="C57" s="323" t="s">
        <v>1980</v>
      </c>
      <c r="D57" s="323" t="s">
        <v>1299</v>
      </c>
      <c r="E57" s="325"/>
      <c r="F57" s="325">
        <v>522730.0</v>
      </c>
      <c r="G57" s="327" t="s">
        <v>1437</v>
      </c>
      <c r="H57" s="328" t="s">
        <v>31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B9</f>
        <v>기업 #019</v>
      </c>
      <c r="C58" s="323" t="s">
        <v>1980</v>
      </c>
      <c r="D58" s="323" t="s">
        <v>1552</v>
      </c>
      <c r="E58" s="325"/>
      <c r="F58" s="325">
        <v>237600.0</v>
      </c>
      <c r="G58" s="327" t="s">
        <v>1983</v>
      </c>
      <c r="H58" s="328" t="s">
        <v>33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50" t="str">
        <f>B9</f>
        <v>기업 #019</v>
      </c>
      <c r="C59" s="323" t="s">
        <v>1980</v>
      </c>
      <c r="D59" s="323" t="s">
        <v>789</v>
      </c>
      <c r="E59" s="325"/>
      <c r="F59" s="325">
        <v>6561390.0</v>
      </c>
      <c r="G59" s="327" t="s">
        <v>1984</v>
      </c>
      <c r="H59" s="328" t="s">
        <v>33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50" t="str">
        <f>B9</f>
        <v>기업 #019</v>
      </c>
      <c r="C60" s="323" t="s">
        <v>1980</v>
      </c>
      <c r="D60" s="323" t="s">
        <v>1829</v>
      </c>
      <c r="E60" s="325"/>
      <c r="F60" s="325">
        <v>825000.0</v>
      </c>
      <c r="G60" s="313" t="s">
        <v>1985</v>
      </c>
      <c r="H60" s="328" t="s">
        <v>33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 t="str">
        <f>B9</f>
        <v>기업 #019</v>
      </c>
      <c r="C61" s="323" t="s">
        <v>1980</v>
      </c>
      <c r="D61" s="323" t="s">
        <v>1986</v>
      </c>
      <c r="E61" s="325"/>
      <c r="F61" s="325">
        <v>4508775.0</v>
      </c>
      <c r="G61" s="327" t="s">
        <v>1987</v>
      </c>
      <c r="H61" s="328" t="s">
        <v>31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tr">
        <f>B9</f>
        <v>기업 #019</v>
      </c>
      <c r="C62" s="323" t="s">
        <v>1980</v>
      </c>
      <c r="D62" s="323" t="s">
        <v>1988</v>
      </c>
      <c r="E62" s="325"/>
      <c r="F62" s="325">
        <v>1015200.0</v>
      </c>
      <c r="G62" s="313" t="s">
        <v>1989</v>
      </c>
      <c r="H62" s="328" t="s">
        <v>31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B9</f>
        <v>기업 #019</v>
      </c>
      <c r="C63" s="323" t="s">
        <v>1980</v>
      </c>
      <c r="D63" s="323" t="s">
        <v>122</v>
      </c>
      <c r="E63" s="325"/>
      <c r="F63" s="325">
        <v>500000.0</v>
      </c>
      <c r="G63" s="327" t="s">
        <v>1990</v>
      </c>
      <c r="H63" s="328" t="s">
        <v>1327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B9</f>
        <v>기업 #019</v>
      </c>
      <c r="C64" s="323" t="s">
        <v>1980</v>
      </c>
      <c r="D64" s="323" t="s">
        <v>1991</v>
      </c>
      <c r="E64" s="337"/>
      <c r="F64" s="325">
        <v>4562885.0</v>
      </c>
      <c r="G64" s="327" t="s">
        <v>1992</v>
      </c>
      <c r="H64" s="328" t="s">
        <v>33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B9</f>
        <v>기업 #019</v>
      </c>
      <c r="C65" s="323" t="s">
        <v>1993</v>
      </c>
      <c r="D65" s="323" t="s">
        <v>1845</v>
      </c>
      <c r="E65" s="325"/>
      <c r="F65" s="325">
        <v>1650000.0</v>
      </c>
      <c r="G65" s="313" t="s">
        <v>1994</v>
      </c>
      <c r="H65" s="328" t="s">
        <v>930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B5</f>
        <v>신한 #672</v>
      </c>
      <c r="C66" s="323" t="s">
        <v>1980</v>
      </c>
      <c r="D66" s="323" t="s">
        <v>1995</v>
      </c>
      <c r="E66" s="325"/>
      <c r="F66" s="325">
        <v>300000.0</v>
      </c>
      <c r="G66" s="327" t="s">
        <v>1996</v>
      </c>
      <c r="H66" s="328" t="s">
        <v>1640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B5</f>
        <v>신한 #672</v>
      </c>
      <c r="C67" s="323" t="s">
        <v>1993</v>
      </c>
      <c r="D67" s="323" t="s">
        <v>1997</v>
      </c>
      <c r="E67" s="325"/>
      <c r="F67" s="325">
        <v>9291140.0</v>
      </c>
      <c r="G67" s="313" t="s">
        <v>1997</v>
      </c>
      <c r="H67" s="328" t="s">
        <v>31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281" t="str">
        <f>B5</f>
        <v>신한 #672</v>
      </c>
      <c r="C68" s="323" t="s">
        <v>1993</v>
      </c>
      <c r="D68" s="323" t="s">
        <v>1998</v>
      </c>
      <c r="E68" s="325"/>
      <c r="F68" s="325">
        <v>1858400.0</v>
      </c>
      <c r="G68" s="327" t="s">
        <v>1998</v>
      </c>
      <c r="H68" s="328" t="s">
        <v>31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281" t="str">
        <f>B5</f>
        <v>신한 #672</v>
      </c>
      <c r="C69" s="323" t="s">
        <v>1993</v>
      </c>
      <c r="D69" s="323" t="s">
        <v>1999</v>
      </c>
      <c r="E69" s="325"/>
      <c r="F69" s="325">
        <v>8636320.0</v>
      </c>
      <c r="G69" s="327" t="s">
        <v>1999</v>
      </c>
      <c r="H69" s="328" t="s">
        <v>31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281" t="str">
        <f>B5</f>
        <v>신한 #672</v>
      </c>
      <c r="C70" s="323" t="s">
        <v>1993</v>
      </c>
      <c r="D70" s="323" t="s">
        <v>2000</v>
      </c>
      <c r="E70" s="325"/>
      <c r="F70" s="325">
        <v>666150.0</v>
      </c>
      <c r="G70" s="327" t="s">
        <v>2000</v>
      </c>
      <c r="H70" s="328" t="s">
        <v>31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281" t="str">
        <f>B9</f>
        <v>기업 #019</v>
      </c>
      <c r="C71" s="323" t="s">
        <v>2001</v>
      </c>
      <c r="D71" s="323" t="s">
        <v>119</v>
      </c>
      <c r="E71" s="325"/>
      <c r="F71" s="325">
        <v>61821.0</v>
      </c>
      <c r="G71" s="327" t="s">
        <v>1857</v>
      </c>
      <c r="H71" s="328" t="s">
        <v>4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281" t="str">
        <f>B9</f>
        <v>기업 #019</v>
      </c>
      <c r="C72" s="323" t="s">
        <v>2001</v>
      </c>
      <c r="D72" s="323" t="s">
        <v>1858</v>
      </c>
      <c r="E72" s="337"/>
      <c r="F72" s="325">
        <v>95995.0</v>
      </c>
      <c r="G72" s="327" t="s">
        <v>1859</v>
      </c>
      <c r="H72" s="328" t="s">
        <v>4</v>
      </c>
      <c r="I72" s="107"/>
      <c r="J72" s="141"/>
      <c r="K72" s="141"/>
      <c r="L72" s="83"/>
      <c r="M72" s="84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281" t="str">
        <f>B9</f>
        <v>기업 #019</v>
      </c>
      <c r="C73" s="323" t="s">
        <v>2001</v>
      </c>
      <c r="D73" s="323" t="s">
        <v>2002</v>
      </c>
      <c r="E73" s="325"/>
      <c r="F73" s="325">
        <v>91600.0</v>
      </c>
      <c r="G73" s="313" t="s">
        <v>1667</v>
      </c>
      <c r="H73" s="328" t="s">
        <v>4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281" t="str">
        <f>B9</f>
        <v>기업 #019</v>
      </c>
      <c r="C74" s="323" t="s">
        <v>2001</v>
      </c>
      <c r="D74" s="323" t="s">
        <v>637</v>
      </c>
      <c r="E74" s="325"/>
      <c r="F74" s="325">
        <v>27400.0</v>
      </c>
      <c r="G74" s="327" t="s">
        <v>1667</v>
      </c>
      <c r="H74" s="328" t="s">
        <v>4</v>
      </c>
      <c r="I74" s="107"/>
      <c r="J74" s="141"/>
      <c r="K74" s="141"/>
      <c r="L74" s="83"/>
      <c r="M74" s="84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350" t="str">
        <f>B9</f>
        <v>기업 #019</v>
      </c>
      <c r="C75" s="323" t="s">
        <v>2001</v>
      </c>
      <c r="D75" s="323" t="s">
        <v>990</v>
      </c>
      <c r="E75" s="371"/>
      <c r="F75" s="326">
        <v>121080.0</v>
      </c>
      <c r="G75" s="327" t="s">
        <v>1667</v>
      </c>
      <c r="H75" s="328" t="s">
        <v>4</v>
      </c>
      <c r="I75" s="107"/>
      <c r="J75" s="141"/>
      <c r="K75" s="141"/>
      <c r="L75" s="83"/>
      <c r="M75" s="84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350" t="str">
        <f>B9</f>
        <v>기업 #019</v>
      </c>
      <c r="C76" s="323" t="s">
        <v>2001</v>
      </c>
      <c r="D76" s="323" t="s">
        <v>122</v>
      </c>
      <c r="E76" s="325"/>
      <c r="F76" s="325">
        <v>500000.0</v>
      </c>
      <c r="G76" s="327" t="s">
        <v>1990</v>
      </c>
      <c r="H76" s="328" t="s">
        <v>1327</v>
      </c>
      <c r="I76" s="107"/>
      <c r="J76" s="141"/>
      <c r="K76" s="141"/>
      <c r="L76" s="83"/>
      <c r="M76" s="84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 t="str">
        <f>B9</f>
        <v>기업 #019</v>
      </c>
      <c r="C77" s="323" t="s">
        <v>2003</v>
      </c>
      <c r="D77" s="374" t="s">
        <v>2004</v>
      </c>
      <c r="E77" s="325"/>
      <c r="F77" s="325">
        <v>4400.0</v>
      </c>
      <c r="G77" s="327" t="s">
        <v>2005</v>
      </c>
      <c r="H77" s="328" t="s">
        <v>33</v>
      </c>
      <c r="I77" s="107"/>
      <c r="J77" s="141"/>
      <c r="K77" s="141"/>
      <c r="L77" s="83"/>
      <c r="M77" s="84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 t="str">
        <f>B9</f>
        <v>기업 #019</v>
      </c>
      <c r="C78" s="374" t="s">
        <v>2006</v>
      </c>
      <c r="D78" s="323" t="s">
        <v>1944</v>
      </c>
      <c r="E78" s="325">
        <v>4066.0</v>
      </c>
      <c r="F78" s="325"/>
      <c r="G78" s="327" t="s">
        <v>1837</v>
      </c>
      <c r="H78" s="328" t="s">
        <v>75</v>
      </c>
      <c r="I78" s="107"/>
      <c r="J78" s="141"/>
      <c r="K78" s="141"/>
      <c r="L78" s="83"/>
      <c r="M78" s="84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 t="str">
        <f>B9</f>
        <v>기업 #019</v>
      </c>
      <c r="C79" s="374" t="s">
        <v>2006</v>
      </c>
      <c r="D79" s="323" t="s">
        <v>113</v>
      </c>
      <c r="E79" s="326"/>
      <c r="F79" s="326">
        <v>200000.0</v>
      </c>
      <c r="G79" s="327" t="s">
        <v>2007</v>
      </c>
      <c r="H79" s="328" t="s">
        <v>1327</v>
      </c>
      <c r="I79" s="107"/>
      <c r="J79" s="141"/>
      <c r="K79" s="141"/>
      <c r="L79" s="83"/>
      <c r="M79" s="84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</row>
    <row r="80" ht="15.0" customHeight="1">
      <c r="A80" s="105"/>
      <c r="B80" s="281" t="str">
        <f>B9</f>
        <v>기업 #019</v>
      </c>
      <c r="C80" s="323" t="s">
        <v>2008</v>
      </c>
      <c r="D80" s="323" t="s">
        <v>84</v>
      </c>
      <c r="E80" s="326"/>
      <c r="F80" s="326">
        <v>975398.0</v>
      </c>
      <c r="G80" s="327" t="s">
        <v>1660</v>
      </c>
      <c r="H80" s="286" t="s">
        <v>1642</v>
      </c>
      <c r="I80" s="107"/>
      <c r="J80" s="141"/>
      <c r="K80" s="141"/>
      <c r="L80" s="83"/>
      <c r="M80" s="84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</row>
    <row r="81" ht="15.0" customHeight="1">
      <c r="A81" s="105"/>
      <c r="B81" s="281" t="str">
        <f>B7</f>
        <v>하나 #304</v>
      </c>
      <c r="C81" s="323" t="s">
        <v>1976</v>
      </c>
      <c r="D81" s="323" t="s">
        <v>2009</v>
      </c>
      <c r="E81" s="325"/>
      <c r="F81" s="325">
        <v>1.0226633E7</v>
      </c>
      <c r="G81" s="327" t="s">
        <v>2010</v>
      </c>
      <c r="H81" s="328" t="s">
        <v>33</v>
      </c>
      <c r="I81" s="107"/>
      <c r="J81" s="141"/>
      <c r="K81" s="141"/>
      <c r="L81" s="83"/>
      <c r="M81" s="84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</row>
    <row r="82" ht="15.0" customHeight="1">
      <c r="A82" s="105"/>
      <c r="B82" s="281" t="str">
        <f>B12</f>
        <v>WISE USD</v>
      </c>
      <c r="C82" s="323" t="s">
        <v>2006</v>
      </c>
      <c r="D82" s="323" t="s">
        <v>740</v>
      </c>
      <c r="E82" s="337"/>
      <c r="F82" s="337">
        <v>9580.1</v>
      </c>
      <c r="G82" s="327" t="s">
        <v>2011</v>
      </c>
      <c r="H82" s="328" t="s">
        <v>41</v>
      </c>
      <c r="I82" s="107"/>
      <c r="J82" s="141"/>
      <c r="K82" s="141"/>
      <c r="L82" s="83"/>
      <c r="M82" s="84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>
      <c r="B83" s="281" t="str">
        <f>B12</f>
        <v>WISE USD</v>
      </c>
      <c r="C83" s="323" t="s">
        <v>2006</v>
      </c>
      <c r="D83" s="323" t="s">
        <v>1072</v>
      </c>
      <c r="E83" s="325"/>
      <c r="F83" s="337">
        <v>1.13</v>
      </c>
      <c r="G83" s="327" t="s">
        <v>1119</v>
      </c>
      <c r="H83" s="328" t="s">
        <v>33</v>
      </c>
    </row>
    <row r="84" ht="15.0" customHeight="1">
      <c r="A84" s="105"/>
      <c r="B84" s="281" t="str">
        <f t="shared" ref="B84:B85" si="8">B7</f>
        <v>하나 #304</v>
      </c>
      <c r="C84" s="323" t="s">
        <v>2012</v>
      </c>
      <c r="D84" s="323" t="s">
        <v>906</v>
      </c>
      <c r="E84" s="326">
        <v>3463.0</v>
      </c>
      <c r="F84" s="326"/>
      <c r="G84" s="327" t="s">
        <v>906</v>
      </c>
      <c r="H84" s="286" t="s">
        <v>75</v>
      </c>
      <c r="I84" s="107"/>
      <c r="J84" s="141"/>
      <c r="K84" s="141"/>
      <c r="L84" s="83"/>
      <c r="M84" s="84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</row>
    <row r="85" ht="15.0" customHeight="1">
      <c r="A85" s="105"/>
      <c r="B85" s="281" t="str">
        <f t="shared" si="8"/>
        <v>하나 #138</v>
      </c>
      <c r="C85" s="323" t="s">
        <v>2012</v>
      </c>
      <c r="D85" s="323" t="s">
        <v>906</v>
      </c>
      <c r="E85" s="371">
        <v>0.28</v>
      </c>
      <c r="F85" s="326"/>
      <c r="G85" s="327" t="s">
        <v>906</v>
      </c>
      <c r="H85" s="286" t="s">
        <v>75</v>
      </c>
      <c r="I85" s="107"/>
      <c r="J85" s="141"/>
      <c r="K85" s="138"/>
      <c r="L85" s="99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2012</v>
      </c>
      <c r="D86" s="323" t="s">
        <v>906</v>
      </c>
      <c r="E86" s="326">
        <v>1742.0</v>
      </c>
      <c r="F86" s="326"/>
      <c r="G86" s="327" t="s">
        <v>906</v>
      </c>
      <c r="H86" s="286" t="s">
        <v>75</v>
      </c>
      <c r="I86" s="107"/>
      <c r="J86" s="141"/>
      <c r="K86" s="138"/>
      <c r="L86" s="99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 t="str">
        <f>B5</f>
        <v>신한 #672</v>
      </c>
      <c r="C87" s="323" t="s">
        <v>1977</v>
      </c>
      <c r="D87" s="323" t="s">
        <v>1202</v>
      </c>
      <c r="E87" s="326"/>
      <c r="F87" s="326">
        <v>110000.0</v>
      </c>
      <c r="G87" s="327" t="s">
        <v>1202</v>
      </c>
      <c r="H87" s="286" t="s">
        <v>33</v>
      </c>
      <c r="I87" s="107"/>
      <c r="J87" s="141"/>
      <c r="K87" s="138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350" t="str">
        <f>B5</f>
        <v>신한 #672</v>
      </c>
      <c r="C88" s="323" t="s">
        <v>1977</v>
      </c>
      <c r="D88" s="323" t="s">
        <v>1633</v>
      </c>
      <c r="E88" s="337"/>
      <c r="F88" s="325">
        <v>7917708.0</v>
      </c>
      <c r="G88" s="327" t="s">
        <v>2010</v>
      </c>
      <c r="H88" s="286" t="s">
        <v>33</v>
      </c>
      <c r="I88" s="107"/>
      <c r="J88" s="141"/>
      <c r="K88" s="138"/>
      <c r="L88" s="99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350" t="str">
        <f>B5</f>
        <v>신한 #672</v>
      </c>
      <c r="C89" s="323" t="s">
        <v>1977</v>
      </c>
      <c r="D89" s="323" t="s">
        <v>115</v>
      </c>
      <c r="E89" s="337"/>
      <c r="F89" s="325">
        <v>300000.0</v>
      </c>
      <c r="G89" s="313" t="s">
        <v>2013</v>
      </c>
      <c r="H89" s="286" t="s">
        <v>1327</v>
      </c>
      <c r="I89" s="107"/>
      <c r="J89" s="141"/>
      <c r="K89" s="138"/>
      <c r="L89" s="99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>
      <c r="B90" s="281" t="str">
        <f>B12</f>
        <v>WISE USD</v>
      </c>
      <c r="C90" s="323" t="s">
        <v>2014</v>
      </c>
      <c r="D90" s="323" t="s">
        <v>1718</v>
      </c>
      <c r="E90" s="326"/>
      <c r="F90" s="371">
        <v>62.18</v>
      </c>
      <c r="G90" s="327" t="s">
        <v>1719</v>
      </c>
      <c r="H90" s="286" t="s">
        <v>33</v>
      </c>
      <c r="I90" s="107"/>
      <c r="J90" s="141"/>
      <c r="K90" s="138"/>
      <c r="L90" s="99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341"/>
      <c r="B91" s="281" t="str">
        <f>B9</f>
        <v>기업 #019</v>
      </c>
      <c r="C91" s="323" t="s">
        <v>2015</v>
      </c>
      <c r="D91" s="323" t="s">
        <v>2016</v>
      </c>
      <c r="E91" s="326">
        <v>9000000.0</v>
      </c>
      <c r="F91" s="326"/>
      <c r="G91" s="327" t="s">
        <v>2017</v>
      </c>
      <c r="H91" s="328" t="s">
        <v>77</v>
      </c>
      <c r="I91" s="107"/>
      <c r="J91" s="141"/>
      <c r="K91" s="138"/>
      <c r="L91" s="99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B9</f>
        <v>기업 #019</v>
      </c>
      <c r="C92" s="323" t="s">
        <v>2015</v>
      </c>
      <c r="D92" s="323" t="s">
        <v>2016</v>
      </c>
      <c r="E92" s="325">
        <v>900000.0</v>
      </c>
      <c r="F92" s="325"/>
      <c r="G92" s="327" t="s">
        <v>2017</v>
      </c>
      <c r="H92" s="328" t="s">
        <v>77</v>
      </c>
      <c r="I92" s="107"/>
      <c r="J92" s="141"/>
      <c r="K92" s="138"/>
      <c r="L92" s="99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B9</f>
        <v>기업 #019</v>
      </c>
      <c r="C93" s="323" t="s">
        <v>2015</v>
      </c>
      <c r="D93" s="323" t="s">
        <v>2018</v>
      </c>
      <c r="E93" s="326"/>
      <c r="F93" s="326">
        <v>8703000.0</v>
      </c>
      <c r="G93" s="327" t="s">
        <v>2019</v>
      </c>
      <c r="H93" s="328" t="s">
        <v>39</v>
      </c>
      <c r="I93" s="107"/>
      <c r="J93" s="141"/>
      <c r="K93" s="138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B9</f>
        <v>기업 #019</v>
      </c>
      <c r="C94" s="323" t="s">
        <v>2020</v>
      </c>
      <c r="D94" s="323" t="s">
        <v>1622</v>
      </c>
      <c r="E94" s="325"/>
      <c r="F94" s="326">
        <v>8.8865211E7</v>
      </c>
      <c r="G94" s="327" t="s">
        <v>2021</v>
      </c>
      <c r="H94" s="328" t="s">
        <v>41</v>
      </c>
      <c r="I94" s="107"/>
      <c r="J94" s="141"/>
      <c r="K94" s="138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B9</f>
        <v>기업 #019</v>
      </c>
      <c r="C95" s="323" t="s">
        <v>2020</v>
      </c>
      <c r="D95" s="323" t="s">
        <v>1623</v>
      </c>
      <c r="E95" s="325"/>
      <c r="F95" s="325">
        <v>1879396.0</v>
      </c>
      <c r="G95" s="327" t="s">
        <v>2022</v>
      </c>
      <c r="H95" s="328" t="s">
        <v>39</v>
      </c>
      <c r="I95" s="107"/>
      <c r="J95" s="141"/>
      <c r="K95" s="138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B5</f>
        <v>신한 #672</v>
      </c>
      <c r="C96" s="323" t="s">
        <v>2020</v>
      </c>
      <c r="D96" s="323" t="s">
        <v>1950</v>
      </c>
      <c r="E96" s="337"/>
      <c r="F96" s="325">
        <v>56260.0</v>
      </c>
      <c r="G96" s="313" t="s">
        <v>1951</v>
      </c>
      <c r="H96" s="286" t="s">
        <v>27</v>
      </c>
      <c r="I96" s="107"/>
      <c r="J96" s="141"/>
      <c r="K96" s="138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B5</f>
        <v>신한 #672</v>
      </c>
      <c r="C97" s="323" t="s">
        <v>2020</v>
      </c>
      <c r="D97" s="323" t="s">
        <v>497</v>
      </c>
      <c r="E97" s="337"/>
      <c r="F97" s="325">
        <v>330000.0</v>
      </c>
      <c r="G97" s="313" t="s">
        <v>1952</v>
      </c>
      <c r="H97" s="286" t="s">
        <v>33</v>
      </c>
      <c r="I97" s="107"/>
      <c r="J97" s="141"/>
      <c r="K97" s="138"/>
      <c r="L97" s="99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B5</f>
        <v>신한 #672</v>
      </c>
      <c r="C98" s="323" t="s">
        <v>2020</v>
      </c>
      <c r="D98" s="323" t="s">
        <v>1953</v>
      </c>
      <c r="E98" s="337"/>
      <c r="F98" s="325">
        <v>37430.0</v>
      </c>
      <c r="G98" s="327" t="s">
        <v>1038</v>
      </c>
      <c r="H98" s="328" t="s">
        <v>4</v>
      </c>
      <c r="I98" s="107"/>
      <c r="J98" s="141"/>
      <c r="K98" s="138"/>
      <c r="L98" s="99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B5</f>
        <v>신한 #672</v>
      </c>
      <c r="C99" s="323" t="s">
        <v>2020</v>
      </c>
      <c r="D99" s="323" t="s">
        <v>1953</v>
      </c>
      <c r="E99" s="326"/>
      <c r="F99" s="326">
        <v>37430.0</v>
      </c>
      <c r="G99" s="327" t="s">
        <v>1038</v>
      </c>
      <c r="H99" s="328" t="s">
        <v>4</v>
      </c>
      <c r="I99" s="107"/>
      <c r="J99" s="141"/>
      <c r="K99" s="138"/>
      <c r="L99" s="99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 t="str">
        <f>B5</f>
        <v>신한 #672</v>
      </c>
      <c r="C100" s="323" t="s">
        <v>2020</v>
      </c>
      <c r="D100" s="323" t="s">
        <v>1953</v>
      </c>
      <c r="E100" s="325"/>
      <c r="F100" s="325">
        <v>50250.0</v>
      </c>
      <c r="G100" s="327" t="s">
        <v>1040</v>
      </c>
      <c r="H100" s="328" t="s">
        <v>4</v>
      </c>
      <c r="I100" s="107"/>
      <c r="J100" s="141"/>
      <c r="K100" s="138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B5</f>
        <v>신한 #672</v>
      </c>
      <c r="C101" s="323" t="s">
        <v>2020</v>
      </c>
      <c r="D101" s="323" t="s">
        <v>1953</v>
      </c>
      <c r="E101" s="326"/>
      <c r="F101" s="326">
        <v>20660.0</v>
      </c>
      <c r="G101" s="327" t="s">
        <v>1039</v>
      </c>
      <c r="H101" s="328" t="s">
        <v>4</v>
      </c>
      <c r="I101" s="107"/>
      <c r="J101" s="141"/>
      <c r="K101" s="138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B5</f>
        <v>신한 #672</v>
      </c>
      <c r="C102" s="323" t="s">
        <v>2020</v>
      </c>
      <c r="D102" s="323" t="s">
        <v>1953</v>
      </c>
      <c r="E102" s="325"/>
      <c r="F102" s="326">
        <v>20660.0</v>
      </c>
      <c r="G102" s="327" t="s">
        <v>1039</v>
      </c>
      <c r="H102" s="328" t="s">
        <v>4</v>
      </c>
      <c r="I102" s="107"/>
      <c r="J102" s="141"/>
      <c r="K102" s="138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B5</f>
        <v>신한 #672</v>
      </c>
      <c r="C103" s="323" t="s">
        <v>2020</v>
      </c>
      <c r="D103" s="323" t="s">
        <v>1954</v>
      </c>
      <c r="E103" s="325"/>
      <c r="F103" s="325">
        <v>98000.0</v>
      </c>
      <c r="G103" s="327" t="s">
        <v>1047</v>
      </c>
      <c r="H103" s="328" t="s">
        <v>4</v>
      </c>
      <c r="I103" s="107"/>
      <c r="J103" s="141"/>
      <c r="K103" s="138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B7</f>
        <v>하나 #304</v>
      </c>
      <c r="C104" s="323" t="s">
        <v>2020</v>
      </c>
      <c r="D104" s="323" t="s">
        <v>721</v>
      </c>
      <c r="E104" s="325"/>
      <c r="F104" s="325">
        <v>1959872.0</v>
      </c>
      <c r="G104" s="313" t="s">
        <v>2023</v>
      </c>
      <c r="H104" s="286" t="s">
        <v>33</v>
      </c>
      <c r="I104" s="107"/>
      <c r="J104" s="141"/>
      <c r="K104" s="138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B9</f>
        <v>기업 #019</v>
      </c>
      <c r="C105" s="323" t="s">
        <v>2020</v>
      </c>
      <c r="D105" s="323" t="s">
        <v>1669</v>
      </c>
      <c r="E105" s="325"/>
      <c r="F105" s="325">
        <v>2909746.0</v>
      </c>
      <c r="G105" s="313" t="s">
        <v>2023</v>
      </c>
      <c r="H105" s="286" t="s">
        <v>33</v>
      </c>
      <c r="I105" s="107"/>
      <c r="J105" s="141"/>
      <c r="K105" s="138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>B7</f>
        <v>하나 #304</v>
      </c>
      <c r="C106" s="323" t="s">
        <v>2024</v>
      </c>
      <c r="D106" s="323" t="s">
        <v>122</v>
      </c>
      <c r="E106" s="325">
        <v>3966225.0</v>
      </c>
      <c r="F106" s="325"/>
      <c r="G106" s="327" t="s">
        <v>2025</v>
      </c>
      <c r="H106" s="328" t="s">
        <v>1970</v>
      </c>
      <c r="I106" s="107"/>
      <c r="J106" s="141"/>
      <c r="K106" s="138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>B12</f>
        <v>WISE USD</v>
      </c>
      <c r="C107" s="323" t="s">
        <v>2026</v>
      </c>
      <c r="D107" s="323" t="s">
        <v>1816</v>
      </c>
      <c r="E107" s="325"/>
      <c r="F107" s="337">
        <v>220.0</v>
      </c>
      <c r="G107" s="327" t="s">
        <v>1959</v>
      </c>
      <c r="H107" s="286" t="s">
        <v>33</v>
      </c>
      <c r="I107" s="107"/>
      <c r="J107" s="141"/>
      <c r="K107" s="138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>B5</f>
        <v>신한 #672</v>
      </c>
      <c r="C108" s="323" t="s">
        <v>1979</v>
      </c>
      <c r="D108" s="282" t="s">
        <v>920</v>
      </c>
      <c r="E108" s="291"/>
      <c r="F108" s="326">
        <v>77000.0</v>
      </c>
      <c r="G108" s="327" t="s">
        <v>1006</v>
      </c>
      <c r="H108" s="328" t="s">
        <v>33</v>
      </c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>
      <c r="A109" s="105"/>
      <c r="B109" s="350" t="str">
        <f>B17</f>
        <v>Board Wallet (USDT)</v>
      </c>
      <c r="C109" s="323" t="s">
        <v>2027</v>
      </c>
      <c r="D109" s="323" t="s">
        <v>2028</v>
      </c>
      <c r="E109" s="337">
        <v>200.03</v>
      </c>
      <c r="F109" s="325"/>
      <c r="G109" s="388" t="s">
        <v>2029</v>
      </c>
      <c r="H109" s="328" t="s">
        <v>33</v>
      </c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25"/>
      <c r="F110" s="325"/>
      <c r="G110" s="327"/>
      <c r="H110" s="328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282"/>
      <c r="E111" s="291"/>
      <c r="F111" s="284"/>
      <c r="G111" s="327"/>
      <c r="H111" s="328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282"/>
      <c r="E112" s="291"/>
      <c r="F112" s="284"/>
      <c r="G112" s="327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282"/>
      <c r="E113" s="291"/>
      <c r="F113" s="284"/>
      <c r="G113" s="327"/>
      <c r="H113" s="328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282"/>
      <c r="E114" s="291"/>
      <c r="F114" s="284"/>
      <c r="G114" s="313"/>
      <c r="H114" s="286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282"/>
      <c r="D115" s="282"/>
      <c r="E115" s="291"/>
      <c r="F115" s="292"/>
      <c r="G115" s="327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83"/>
      <c r="F116" s="292"/>
      <c r="G116" s="327"/>
      <c r="H116" s="328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350"/>
      <c r="C117" s="282"/>
      <c r="D117" s="282"/>
      <c r="E117" s="283"/>
      <c r="F117" s="292"/>
      <c r="G117" s="313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323"/>
      <c r="D118" s="323"/>
      <c r="E118" s="325"/>
      <c r="F118" s="325"/>
      <c r="G118" s="313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84"/>
      <c r="G119" s="313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326"/>
      <c r="G120" s="327"/>
      <c r="H120" s="328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27"/>
      <c r="H121" s="328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27"/>
      <c r="H122" s="328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27"/>
      <c r="H123" s="328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27"/>
      <c r="H124" s="328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27"/>
      <c r="H125" s="328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27"/>
      <c r="H126" s="328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27"/>
      <c r="H127" s="328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</sheetData>
  <autoFilter ref="$B$24:$H$139">
    <sortState ref="B24:H139">
      <sortCondition ref="B24:B139"/>
    </sortState>
  </autoFilter>
  <customSheetViews>
    <customSheetView guid="{CD2BF927-9D79-47FC-BBA8-927062D6B3F5}" filter="1" showAutoFilter="1">
      <autoFilter ref="$B$24:$H$139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39">
      <formula1>$L:$L</formula1>
    </dataValidation>
  </dataValidations>
  <hyperlinks>
    <hyperlink r:id="rId1" ref="I3"/>
    <hyperlink r:id="rId2" ref="I4"/>
  </hyperlinks>
  <printOptions/>
  <pageMargins bottom="0.75" footer="0.0" header="0.0" left="0.25" right="0.25" top="0.75"/>
  <pageSetup fitToHeight="0" paperSize="9" orientation="portrait"/>
  <drawing r:id="rId3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18.86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6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2030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51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'24.09월'!G5</f>
        <v>786844</v>
      </c>
      <c r="E5" s="355">
        <f t="shared" ref="E5:E17" si="1">sumif($B$25:$B$168,B5,$E$25:$E$168)</f>
        <v>28020000</v>
      </c>
      <c r="F5" s="356">
        <f t="shared" ref="F5:F17" si="2">sumif($B$25:$B$168,B5,$F$25:$F$168)</f>
        <v>28793980</v>
      </c>
      <c r="G5" s="229">
        <f t="shared" ref="G5:G17" si="3">D5+E5-F5</f>
        <v>12864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'24.09월'!G6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'24.09월'!G7</f>
        <v>11988174</v>
      </c>
      <c r="E7" s="359">
        <f t="shared" si="1"/>
        <v>161868433</v>
      </c>
      <c r="F7" s="360">
        <f t="shared" si="2"/>
        <v>173819451</v>
      </c>
      <c r="G7" s="239">
        <f t="shared" si="3"/>
        <v>37156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'24.09월'!G8</f>
        <v>0.28</v>
      </c>
      <c r="E8" s="361">
        <f t="shared" si="1"/>
        <v>119982.7</v>
      </c>
      <c r="F8" s="358">
        <f t="shared" si="2"/>
        <v>119982.98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'24.09월'!G9</f>
        <v>512548</v>
      </c>
      <c r="E9" s="359">
        <f t="shared" si="1"/>
        <v>159218554</v>
      </c>
      <c r="F9" s="360">
        <f t="shared" si="2"/>
        <v>159711488</v>
      </c>
      <c r="G9" s="239">
        <f t="shared" si="3"/>
        <v>19614</v>
      </c>
      <c r="H9" s="125"/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'24.09월'!G10</f>
        <v>15435</v>
      </c>
      <c r="E10" s="359">
        <f t="shared" si="1"/>
        <v>0</v>
      </c>
      <c r="F10" s="360">
        <f t="shared" si="2"/>
        <v>15435</v>
      </c>
      <c r="G10" s="239">
        <f t="shared" si="3"/>
        <v>0</v>
      </c>
      <c r="H10" s="125"/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'24.09월'!G11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'24.09월'!G12</f>
        <v>16994.44</v>
      </c>
      <c r="E12" s="361">
        <f t="shared" si="1"/>
        <v>0</v>
      </c>
      <c r="F12" s="362">
        <f t="shared" si="2"/>
        <v>14030.3</v>
      </c>
      <c r="G12" s="329">
        <f t="shared" si="3"/>
        <v>2964.14</v>
      </c>
      <c r="H12" s="389"/>
      <c r="I12" s="390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'24.09월'!G13</f>
        <v>0</v>
      </c>
      <c r="E13" s="363">
        <f t="shared" si="1"/>
        <v>537.43</v>
      </c>
      <c r="F13" s="364">
        <f t="shared" si="2"/>
        <v>130.92</v>
      </c>
      <c r="G13" s="320">
        <f t="shared" si="3"/>
        <v>406.51</v>
      </c>
      <c r="H13" s="351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'24.09월'!G14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H14" s="391" t="s">
        <v>2031</v>
      </c>
      <c r="I14" s="392" t="s">
        <v>2032</v>
      </c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'24.09월'!G15</f>
        <v>135742.3</v>
      </c>
      <c r="E15" s="361">
        <f t="shared" si="1"/>
        <v>195411.17</v>
      </c>
      <c r="F15" s="358">
        <f t="shared" si="2"/>
        <v>224445.14</v>
      </c>
      <c r="G15" s="235">
        <f t="shared" si="3"/>
        <v>106708.33</v>
      </c>
      <c r="H15" s="393">
        <v>109638.7</v>
      </c>
      <c r="I15" s="394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'24.09월'!G16</f>
        <v>300.01</v>
      </c>
      <c r="E16" s="366">
        <f t="shared" si="1"/>
        <v>0</v>
      </c>
      <c r="F16" s="367">
        <f t="shared" si="2"/>
        <v>25</v>
      </c>
      <c r="G16" s="310">
        <f t="shared" si="3"/>
        <v>275.01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395" t="s">
        <v>1962</v>
      </c>
      <c r="C17" s="396" t="s">
        <v>19</v>
      </c>
      <c r="D17" s="397">
        <f>'24.09월'!G17</f>
        <v>68627.47</v>
      </c>
      <c r="E17" s="361">
        <f t="shared" si="1"/>
        <v>150089.035</v>
      </c>
      <c r="F17" s="358">
        <f t="shared" si="2"/>
        <v>198000</v>
      </c>
      <c r="G17" s="235">
        <f t="shared" si="3"/>
        <v>20716.50501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13303001</v>
      </c>
      <c r="E18" s="262">
        <f t="shared" si="4"/>
        <v>349106987</v>
      </c>
      <c r="F18" s="263">
        <f t="shared" si="4"/>
        <v>362340354</v>
      </c>
      <c r="G18" s="345">
        <f t="shared" si="4"/>
        <v>69634</v>
      </c>
      <c r="H18" s="353">
        <f>G18</f>
        <v>69634</v>
      </c>
      <c r="I18" s="353">
        <f>D18</f>
        <v>13303001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221366.8</v>
      </c>
      <c r="E19" s="269">
        <f t="shared" si="5"/>
        <v>465482.905</v>
      </c>
      <c r="F19" s="270">
        <f t="shared" si="5"/>
        <v>556458.42</v>
      </c>
      <c r="G19" s="346">
        <f t="shared" si="5"/>
        <v>130391.285</v>
      </c>
      <c r="H19" s="265">
        <f>rounddown(G19*$J$3,0)</f>
        <v>192030505</v>
      </c>
      <c r="I19" s="265">
        <f>rounddown(D19*$J$3,0)</f>
        <v>326012420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300.01</v>
      </c>
      <c r="E20" s="274">
        <f t="shared" si="6"/>
        <v>537.43</v>
      </c>
      <c r="F20" s="275">
        <f t="shared" si="6"/>
        <v>155.92</v>
      </c>
      <c r="G20" s="347">
        <f t="shared" si="6"/>
        <v>681.52</v>
      </c>
      <c r="H20" s="277">
        <f>rounddown(G20*$J$4,0)</f>
        <v>779580</v>
      </c>
      <c r="I20" s="277">
        <f>rounddown(D20*$J$4,0)</f>
        <v>343176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192879719</v>
      </c>
      <c r="I21" s="279">
        <f t="shared" si="7"/>
        <v>339658597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-146778878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-99664.82405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>B12</f>
        <v>WISE USD</v>
      </c>
      <c r="C25" s="323" t="s">
        <v>2033</v>
      </c>
      <c r="D25" s="323" t="s">
        <v>740</v>
      </c>
      <c r="E25" s="337"/>
      <c r="F25" s="337">
        <v>9386.43</v>
      </c>
      <c r="G25" s="327" t="s">
        <v>2034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>B12</f>
        <v>WISE USD</v>
      </c>
      <c r="C26" s="323" t="s">
        <v>2033</v>
      </c>
      <c r="D26" s="323" t="s">
        <v>1072</v>
      </c>
      <c r="E26" s="325"/>
      <c r="F26" s="337">
        <v>1.13</v>
      </c>
      <c r="G26" s="327" t="s">
        <v>1119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B12</f>
        <v>WISE USD</v>
      </c>
      <c r="C27" s="323" t="s">
        <v>2033</v>
      </c>
      <c r="D27" s="323" t="s">
        <v>1803</v>
      </c>
      <c r="E27" s="325"/>
      <c r="F27" s="337">
        <v>20.27</v>
      </c>
      <c r="G27" s="327" t="s">
        <v>1719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">
        <v>746</v>
      </c>
      <c r="C28" s="323" t="s">
        <v>2033</v>
      </c>
      <c r="D28" s="323" t="s">
        <v>1775</v>
      </c>
      <c r="E28" s="325"/>
      <c r="F28" s="337">
        <v>50000.0</v>
      </c>
      <c r="G28" s="327" t="s">
        <v>1035</v>
      </c>
      <c r="H28" s="328" t="s">
        <v>556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">
        <v>746</v>
      </c>
      <c r="C29" s="323" t="s">
        <v>2033</v>
      </c>
      <c r="D29" s="323" t="s">
        <v>828</v>
      </c>
      <c r="E29" s="326"/>
      <c r="F29" s="337">
        <v>15.0</v>
      </c>
      <c r="G29" s="313" t="s">
        <v>1079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">
        <v>746</v>
      </c>
      <c r="C30" s="323" t="s">
        <v>2033</v>
      </c>
      <c r="D30" s="323" t="s">
        <v>828</v>
      </c>
      <c r="E30" s="326"/>
      <c r="F30" s="337">
        <v>23.53</v>
      </c>
      <c r="G30" s="313" t="s">
        <v>1079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B8</f>
        <v>하나 #138</v>
      </c>
      <c r="C31" s="323" t="s">
        <v>2037</v>
      </c>
      <c r="D31" s="323" t="s">
        <v>1110</v>
      </c>
      <c r="E31" s="371">
        <v>49995.0</v>
      </c>
      <c r="F31" s="337"/>
      <c r="G31" s="327" t="s">
        <v>1035</v>
      </c>
      <c r="H31" s="328" t="s">
        <v>556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">
        <v>747</v>
      </c>
      <c r="C32" s="323" t="s">
        <v>2038</v>
      </c>
      <c r="D32" s="323" t="s">
        <v>828</v>
      </c>
      <c r="E32" s="326"/>
      <c r="F32" s="337">
        <v>10.0</v>
      </c>
      <c r="G32" s="313" t="s">
        <v>1079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B8</f>
        <v>하나 #138</v>
      </c>
      <c r="C33" s="323" t="s">
        <v>2039</v>
      </c>
      <c r="D33" s="323" t="s">
        <v>1981</v>
      </c>
      <c r="E33" s="326"/>
      <c r="F33" s="371">
        <v>49995.28</v>
      </c>
      <c r="G33" s="313" t="s">
        <v>679</v>
      </c>
      <c r="H33" s="328" t="s">
        <v>556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B7</f>
        <v>하나 #304</v>
      </c>
      <c r="C34" s="323" t="s">
        <v>2039</v>
      </c>
      <c r="D34" s="323" t="s">
        <v>1981</v>
      </c>
      <c r="E34" s="325">
        <v>6.6163753E7</v>
      </c>
      <c r="F34" s="325"/>
      <c r="G34" s="313" t="s">
        <v>679</v>
      </c>
      <c r="H34" s="328" t="s">
        <v>556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B7</f>
        <v>하나 #304</v>
      </c>
      <c r="C35" s="323" t="s">
        <v>2039</v>
      </c>
      <c r="D35" s="323" t="s">
        <v>1981</v>
      </c>
      <c r="E35" s="325"/>
      <c r="F35" s="325">
        <v>6.6E7</v>
      </c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B7</f>
        <v>하나 #304</v>
      </c>
      <c r="C36" s="323" t="s">
        <v>2039</v>
      </c>
      <c r="D36" s="323" t="s">
        <v>1115</v>
      </c>
      <c r="E36" s="325"/>
      <c r="F36" s="326">
        <v>500.0</v>
      </c>
      <c r="G36" s="327" t="s">
        <v>1119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2039</v>
      </c>
      <c r="D37" s="323" t="s">
        <v>1981</v>
      </c>
      <c r="E37" s="325">
        <v>6.6E7</v>
      </c>
      <c r="F37" s="326"/>
      <c r="G37" s="327" t="s">
        <v>1035</v>
      </c>
      <c r="H37" s="328" t="s">
        <v>556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tr">
        <f>B9</f>
        <v>기업 #019</v>
      </c>
      <c r="C38" s="323" t="s">
        <v>2039</v>
      </c>
      <c r="D38" s="323" t="s">
        <v>1981</v>
      </c>
      <c r="E38" s="326"/>
      <c r="F38" s="326">
        <v>2.0E7</v>
      </c>
      <c r="G38" s="327" t="s">
        <v>1035</v>
      </c>
      <c r="H38" s="328" t="s">
        <v>556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tr">
        <f>B5</f>
        <v>신한 #672</v>
      </c>
      <c r="C39" s="323" t="s">
        <v>2039</v>
      </c>
      <c r="D39" s="323" t="s">
        <v>1981</v>
      </c>
      <c r="E39" s="326">
        <v>2.0E7</v>
      </c>
      <c r="F39" s="325"/>
      <c r="G39" s="327" t="s">
        <v>1035</v>
      </c>
      <c r="H39" s="328" t="s">
        <v>556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B9</f>
        <v>기업 #019</v>
      </c>
      <c r="C40" s="323" t="s">
        <v>2039</v>
      </c>
      <c r="D40" s="323" t="s">
        <v>1991</v>
      </c>
      <c r="E40" s="326"/>
      <c r="F40" s="326">
        <v>42823.0</v>
      </c>
      <c r="G40" s="313" t="s">
        <v>2040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tr">
        <f>B9</f>
        <v>기업 #019</v>
      </c>
      <c r="C41" s="323" t="s">
        <v>2039</v>
      </c>
      <c r="D41" s="323" t="s">
        <v>1991</v>
      </c>
      <c r="E41" s="326"/>
      <c r="F41" s="326">
        <v>8797509.0</v>
      </c>
      <c r="G41" s="313" t="s">
        <v>2041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tr">
        <f>B9</f>
        <v>기업 #019</v>
      </c>
      <c r="C42" s="323" t="s">
        <v>2039</v>
      </c>
      <c r="D42" s="323" t="s">
        <v>2042</v>
      </c>
      <c r="E42" s="325"/>
      <c r="F42" s="325">
        <v>2772000.0</v>
      </c>
      <c r="G42" s="313" t="s">
        <v>2043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tr">
        <f>B9</f>
        <v>기업 #019</v>
      </c>
      <c r="C43" s="323" t="s">
        <v>2039</v>
      </c>
      <c r="D43" s="323" t="s">
        <v>789</v>
      </c>
      <c r="E43" s="325"/>
      <c r="F43" s="325">
        <v>6480540.0</v>
      </c>
      <c r="G43" s="313" t="s">
        <v>1466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tr">
        <f>B9</f>
        <v>기업 #019</v>
      </c>
      <c r="C44" s="323" t="s">
        <v>2039</v>
      </c>
      <c r="D44" s="323" t="s">
        <v>1829</v>
      </c>
      <c r="E44" s="325"/>
      <c r="F44" s="325">
        <v>825000.0</v>
      </c>
      <c r="G44" s="313" t="s">
        <v>1467</v>
      </c>
      <c r="H44" s="328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B9</f>
        <v>기업 #019</v>
      </c>
      <c r="C45" s="323" t="s">
        <v>2039</v>
      </c>
      <c r="D45" s="323" t="s">
        <v>1552</v>
      </c>
      <c r="E45" s="326"/>
      <c r="F45" s="326">
        <v>370620.0</v>
      </c>
      <c r="G45" s="313" t="s">
        <v>2044</v>
      </c>
      <c r="H45" s="328" t="s">
        <v>33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B17</f>
        <v>Board Wallet (USDT)</v>
      </c>
      <c r="C46" s="323" t="s">
        <v>2039</v>
      </c>
      <c r="D46" s="323" t="s">
        <v>2045</v>
      </c>
      <c r="E46" s="326"/>
      <c r="F46" s="326">
        <v>2000.0</v>
      </c>
      <c r="G46" s="313" t="s">
        <v>2046</v>
      </c>
      <c r="H46" s="328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B12</f>
        <v>WISE USD</v>
      </c>
      <c r="C47" s="323" t="s">
        <v>2047</v>
      </c>
      <c r="D47" s="323" t="s">
        <v>2048</v>
      </c>
      <c r="E47" s="325"/>
      <c r="F47" s="337">
        <v>1822.5</v>
      </c>
      <c r="G47" s="327" t="s">
        <v>2049</v>
      </c>
      <c r="H47" s="328" t="s">
        <v>41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B12</f>
        <v>WISE USD</v>
      </c>
      <c r="C48" s="323" t="s">
        <v>2047</v>
      </c>
      <c r="D48" s="323" t="s">
        <v>1072</v>
      </c>
      <c r="E48" s="325"/>
      <c r="F48" s="337">
        <v>10.83</v>
      </c>
      <c r="G48" s="327" t="s">
        <v>1073</v>
      </c>
      <c r="H48" s="328" t="s">
        <v>33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B9</f>
        <v>기업 #019</v>
      </c>
      <c r="C49" s="323" t="s">
        <v>2050</v>
      </c>
      <c r="D49" s="323" t="s">
        <v>1297</v>
      </c>
      <c r="E49" s="325"/>
      <c r="F49" s="325">
        <v>6073230.0</v>
      </c>
      <c r="G49" s="313" t="s">
        <v>1475</v>
      </c>
      <c r="H49" s="328" t="s">
        <v>31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B9</f>
        <v>기업 #019</v>
      </c>
      <c r="C50" s="323" t="s">
        <v>2050</v>
      </c>
      <c r="D50" s="323" t="s">
        <v>1297</v>
      </c>
      <c r="E50" s="325"/>
      <c r="F50" s="325">
        <v>164850.0</v>
      </c>
      <c r="G50" s="313" t="s">
        <v>1476</v>
      </c>
      <c r="H50" s="328" t="s">
        <v>31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B9</f>
        <v>기업 #019</v>
      </c>
      <c r="C51" s="323" t="s">
        <v>2050</v>
      </c>
      <c r="D51" s="323" t="s">
        <v>1297</v>
      </c>
      <c r="E51" s="325"/>
      <c r="F51" s="325">
        <v>270000.0</v>
      </c>
      <c r="G51" s="313" t="s">
        <v>2051</v>
      </c>
      <c r="H51" s="328" t="s">
        <v>31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tr">
        <f>B9</f>
        <v>기업 #019</v>
      </c>
      <c r="C52" s="323" t="s">
        <v>2050</v>
      </c>
      <c r="D52" s="323" t="s">
        <v>1299</v>
      </c>
      <c r="E52" s="325"/>
      <c r="F52" s="325">
        <v>650720.0</v>
      </c>
      <c r="G52" s="327" t="s">
        <v>1477</v>
      </c>
      <c r="H52" s="328" t="s">
        <v>31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tr">
        <f>B5</f>
        <v>신한 #672</v>
      </c>
      <c r="C53" s="323" t="s">
        <v>2050</v>
      </c>
      <c r="D53" s="323" t="s">
        <v>2052</v>
      </c>
      <c r="E53" s="325"/>
      <c r="F53" s="325">
        <v>300000.0</v>
      </c>
      <c r="G53" s="327" t="s">
        <v>2052</v>
      </c>
      <c r="H53" s="328" t="s">
        <v>1640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tr">
        <f>B5</f>
        <v>신한 #672</v>
      </c>
      <c r="C54" s="323" t="s">
        <v>2050</v>
      </c>
      <c r="D54" s="323" t="s">
        <v>2053</v>
      </c>
      <c r="E54" s="325"/>
      <c r="F54" s="325">
        <v>631700.0</v>
      </c>
      <c r="G54" s="327" t="s">
        <v>2053</v>
      </c>
      <c r="H54" s="328" t="s">
        <v>31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tr">
        <f>B5</f>
        <v>신한 #672</v>
      </c>
      <c r="C55" s="323" t="s">
        <v>2050</v>
      </c>
      <c r="D55" s="323" t="s">
        <v>2054</v>
      </c>
      <c r="E55" s="325"/>
      <c r="F55" s="325">
        <v>7668480.0</v>
      </c>
      <c r="G55" s="313" t="s">
        <v>2054</v>
      </c>
      <c r="H55" s="328" t="s">
        <v>31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tr">
        <f>B5</f>
        <v>신한 #672</v>
      </c>
      <c r="C56" s="323" t="s">
        <v>2050</v>
      </c>
      <c r="D56" s="323" t="s">
        <v>2055</v>
      </c>
      <c r="E56" s="325"/>
      <c r="F56" s="325">
        <v>1760260.0</v>
      </c>
      <c r="G56" s="313" t="s">
        <v>2055</v>
      </c>
      <c r="H56" s="328" t="s">
        <v>31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</f>
        <v>신한 #672</v>
      </c>
      <c r="C57" s="323" t="s">
        <v>2050</v>
      </c>
      <c r="D57" s="323" t="s">
        <v>2056</v>
      </c>
      <c r="E57" s="325"/>
      <c r="F57" s="325">
        <v>8707460.0</v>
      </c>
      <c r="G57" s="327" t="s">
        <v>2056</v>
      </c>
      <c r="H57" s="328" t="s">
        <v>31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323" t="s">
        <v>2050</v>
      </c>
      <c r="D58" s="323" t="s">
        <v>1633</v>
      </c>
      <c r="E58" s="337"/>
      <c r="F58" s="325">
        <v>8887550.0</v>
      </c>
      <c r="G58" s="327" t="s">
        <v>2057</v>
      </c>
      <c r="H58" s="328" t="s">
        <v>33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B9</f>
        <v>기업 #019</v>
      </c>
      <c r="C59" s="323" t="s">
        <v>2050</v>
      </c>
      <c r="D59" s="323" t="s">
        <v>1981</v>
      </c>
      <c r="E59" s="337"/>
      <c r="F59" s="325">
        <v>8000000.0</v>
      </c>
      <c r="G59" s="327" t="s">
        <v>1035</v>
      </c>
      <c r="H59" s="328" t="s">
        <v>556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323" t="s">
        <v>2050</v>
      </c>
      <c r="D60" s="323" t="s">
        <v>1981</v>
      </c>
      <c r="E60" s="325">
        <v>8000000.0</v>
      </c>
      <c r="F60" s="325"/>
      <c r="G60" s="327" t="s">
        <v>1035</v>
      </c>
      <c r="H60" s="328" t="s">
        <v>556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B12</f>
        <v>WISE USD</v>
      </c>
      <c r="C61" s="323" t="s">
        <v>2058</v>
      </c>
      <c r="D61" s="323" t="s">
        <v>1607</v>
      </c>
      <c r="E61" s="325"/>
      <c r="F61" s="337">
        <v>196.19</v>
      </c>
      <c r="G61" s="313" t="s">
        <v>2059</v>
      </c>
      <c r="H61" s="328" t="s">
        <v>33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tr">
        <f>B12</f>
        <v>WISE USD</v>
      </c>
      <c r="C62" s="323" t="s">
        <v>2058</v>
      </c>
      <c r="D62" s="323" t="s">
        <v>1072</v>
      </c>
      <c r="E62" s="325"/>
      <c r="F62" s="337">
        <v>1.75</v>
      </c>
      <c r="G62" s="327" t="s">
        <v>1565</v>
      </c>
      <c r="H62" s="328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350" t="str">
        <f>B12</f>
        <v>WISE USD</v>
      </c>
      <c r="C63" s="323" t="s">
        <v>2058</v>
      </c>
      <c r="D63" s="323" t="s">
        <v>2060</v>
      </c>
      <c r="E63" s="325"/>
      <c r="F63" s="337">
        <v>5.24</v>
      </c>
      <c r="G63" s="327" t="s">
        <v>1719</v>
      </c>
      <c r="H63" s="328" t="s">
        <v>33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 t="str">
        <f>B12</f>
        <v>WISE USD</v>
      </c>
      <c r="C64" s="323" t="s">
        <v>2058</v>
      </c>
      <c r="D64" s="323" t="s">
        <v>1072</v>
      </c>
      <c r="E64" s="325"/>
      <c r="F64" s="337">
        <v>0.03</v>
      </c>
      <c r="G64" s="327" t="s">
        <v>1565</v>
      </c>
      <c r="H64" s="328" t="s">
        <v>33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tr">
        <f>B12</f>
        <v>WISE USD</v>
      </c>
      <c r="C65" s="323" t="s">
        <v>2061</v>
      </c>
      <c r="D65" s="323" t="s">
        <v>2062</v>
      </c>
      <c r="E65" s="325"/>
      <c r="F65" s="337">
        <v>2296.74</v>
      </c>
      <c r="G65" s="313" t="s">
        <v>2063</v>
      </c>
      <c r="H65" s="328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B12</f>
        <v>WISE USD</v>
      </c>
      <c r="C66" s="323" t="s">
        <v>2061</v>
      </c>
      <c r="D66" s="323" t="s">
        <v>1072</v>
      </c>
      <c r="E66" s="325"/>
      <c r="F66" s="337">
        <v>8.05</v>
      </c>
      <c r="G66" s="327" t="s">
        <v>1565</v>
      </c>
      <c r="H66" s="328" t="s">
        <v>33</v>
      </c>
      <c r="I66" s="107"/>
      <c r="J66" s="141"/>
      <c r="K66" s="141"/>
      <c r="L66" s="83"/>
      <c r="M66" s="84"/>
      <c r="N66" s="141"/>
      <c r="O66" s="141"/>
      <c r="P66" s="141"/>
      <c r="Q66" s="141"/>
      <c r="R66" s="141"/>
      <c r="S66" s="141"/>
      <c r="T66" s="141"/>
      <c r="U66" s="141"/>
      <c r="V66" s="141"/>
      <c r="W66" s="141"/>
      <c r="X66" s="141"/>
      <c r="Y66" s="141"/>
    </row>
    <row r="67" ht="15.0" customHeight="1">
      <c r="A67" s="105"/>
      <c r="B67" s="350" t="str">
        <f>B17</f>
        <v>Board Wallet (USDT)</v>
      </c>
      <c r="C67" s="323" t="s">
        <v>2064</v>
      </c>
      <c r="D67" s="323" t="s">
        <v>1110</v>
      </c>
      <c r="E67" s="337">
        <v>29799.86144</v>
      </c>
      <c r="F67" s="325"/>
      <c r="G67" s="327" t="s">
        <v>2065</v>
      </c>
      <c r="H67" s="328" t="s">
        <v>556</v>
      </c>
      <c r="I67" s="107"/>
      <c r="J67" s="141"/>
      <c r="K67" s="141"/>
      <c r="L67" s="83"/>
      <c r="M67" s="84"/>
      <c r="N67" s="141"/>
      <c r="O67" s="141"/>
      <c r="P67" s="141"/>
      <c r="Q67" s="141"/>
      <c r="R67" s="141"/>
      <c r="S67" s="141"/>
      <c r="T67" s="141"/>
      <c r="U67" s="141"/>
      <c r="V67" s="141"/>
      <c r="W67" s="141"/>
      <c r="X67" s="141"/>
      <c r="Y67" s="141"/>
    </row>
    <row r="68" ht="15.0" customHeight="1">
      <c r="A68" s="105"/>
      <c r="B68" s="350" t="str">
        <f>B17</f>
        <v>Board Wallet (USDT)</v>
      </c>
      <c r="C68" s="323" t="s">
        <v>2061</v>
      </c>
      <c r="D68" s="323" t="s">
        <v>1110</v>
      </c>
      <c r="E68" s="337">
        <v>12.0</v>
      </c>
      <c r="F68" s="325"/>
      <c r="G68" s="327" t="s">
        <v>2066</v>
      </c>
      <c r="H68" s="328" t="s">
        <v>556</v>
      </c>
      <c r="I68" s="107"/>
      <c r="J68" s="141"/>
      <c r="K68" s="141"/>
      <c r="L68" s="83"/>
      <c r="M68" s="84"/>
      <c r="N68" s="141"/>
      <c r="O68" s="141"/>
      <c r="P68" s="141"/>
      <c r="Q68" s="141"/>
      <c r="R68" s="141"/>
      <c r="S68" s="141"/>
      <c r="T68" s="141"/>
      <c r="U68" s="141"/>
      <c r="V68" s="141"/>
      <c r="W68" s="141"/>
      <c r="X68" s="141"/>
      <c r="Y68" s="141"/>
    </row>
    <row r="69" ht="15.0" customHeight="1">
      <c r="A69" s="105"/>
      <c r="B69" s="350" t="str">
        <f>B17</f>
        <v>Board Wallet (USDT)</v>
      </c>
      <c r="C69" s="323" t="s">
        <v>2061</v>
      </c>
      <c r="D69" s="323" t="s">
        <v>1110</v>
      </c>
      <c r="E69" s="337"/>
      <c r="F69" s="325">
        <v>96000.0</v>
      </c>
      <c r="G69" s="327" t="s">
        <v>2067</v>
      </c>
      <c r="H69" s="328" t="s">
        <v>556</v>
      </c>
      <c r="I69" s="107"/>
      <c r="J69" s="141"/>
      <c r="K69" s="141"/>
      <c r="L69" s="83"/>
      <c r="M69" s="84"/>
      <c r="N69" s="141"/>
      <c r="O69" s="141"/>
      <c r="P69" s="141"/>
      <c r="Q69" s="141"/>
      <c r="R69" s="141"/>
      <c r="S69" s="141"/>
      <c r="T69" s="141"/>
      <c r="U69" s="141"/>
      <c r="V69" s="141"/>
      <c r="W69" s="141"/>
      <c r="X69" s="141"/>
      <c r="Y69" s="141"/>
    </row>
    <row r="70" ht="15.0" customHeight="1">
      <c r="A70" s="105"/>
      <c r="B70" s="350" t="str">
        <f>B13</f>
        <v>WISE SGD</v>
      </c>
      <c r="C70" s="323" t="s">
        <v>2061</v>
      </c>
      <c r="D70" s="323" t="s">
        <v>2068</v>
      </c>
      <c r="E70" s="371">
        <v>0.12</v>
      </c>
      <c r="F70" s="326"/>
      <c r="G70" s="327" t="s">
        <v>2069</v>
      </c>
      <c r="H70" s="328" t="s">
        <v>1555</v>
      </c>
      <c r="I70" s="107"/>
      <c r="J70" s="141"/>
      <c r="K70" s="141"/>
      <c r="L70" s="83"/>
      <c r="M70" s="84"/>
      <c r="N70" s="141"/>
      <c r="O70" s="141"/>
      <c r="P70" s="141"/>
      <c r="Q70" s="141"/>
      <c r="R70" s="141"/>
      <c r="S70" s="141"/>
      <c r="T70" s="141"/>
      <c r="U70" s="141"/>
      <c r="V70" s="141"/>
      <c r="W70" s="141"/>
      <c r="X70" s="141"/>
      <c r="Y70" s="141"/>
    </row>
    <row r="71" ht="15.0" customHeight="1">
      <c r="A71" s="105"/>
      <c r="B71" s="350" t="str">
        <f>B13</f>
        <v>WISE SGD</v>
      </c>
      <c r="C71" s="323" t="s">
        <v>2070</v>
      </c>
      <c r="D71" s="323" t="s">
        <v>2071</v>
      </c>
      <c r="E71" s="371"/>
      <c r="F71" s="371">
        <v>0.12</v>
      </c>
      <c r="G71" s="327" t="s">
        <v>1719</v>
      </c>
      <c r="H71" s="328" t="s">
        <v>33</v>
      </c>
      <c r="I71" s="107"/>
      <c r="J71" s="141"/>
      <c r="K71" s="141"/>
      <c r="L71" s="83"/>
      <c r="M71" s="84"/>
      <c r="N71" s="141"/>
      <c r="O71" s="141"/>
      <c r="P71" s="141"/>
      <c r="Q71" s="141"/>
      <c r="R71" s="141"/>
      <c r="S71" s="141"/>
      <c r="T71" s="141"/>
      <c r="U71" s="141"/>
      <c r="V71" s="141"/>
      <c r="W71" s="141"/>
      <c r="X71" s="141"/>
      <c r="Y71" s="141"/>
    </row>
    <row r="72" ht="15.0" customHeight="1">
      <c r="A72" s="105"/>
      <c r="B72" s="350" t="str">
        <f>B12</f>
        <v>WISE USD</v>
      </c>
      <c r="C72" s="323" t="s">
        <v>2070</v>
      </c>
      <c r="D72" s="323" t="s">
        <v>2071</v>
      </c>
      <c r="E72" s="371"/>
      <c r="F72" s="371">
        <v>61.14</v>
      </c>
      <c r="G72" s="327" t="s">
        <v>1719</v>
      </c>
      <c r="H72" s="328" t="s">
        <v>33</v>
      </c>
      <c r="I72" s="107"/>
      <c r="J72" s="141"/>
      <c r="K72" s="141"/>
      <c r="L72" s="83"/>
      <c r="M72" s="84"/>
      <c r="N72" s="141"/>
      <c r="O72" s="141"/>
      <c r="P72" s="141"/>
      <c r="Q72" s="141"/>
      <c r="R72" s="141"/>
      <c r="S72" s="141"/>
      <c r="T72" s="141"/>
      <c r="U72" s="141"/>
      <c r="V72" s="141"/>
      <c r="W72" s="141"/>
      <c r="X72" s="141"/>
      <c r="Y72" s="141"/>
    </row>
    <row r="73" ht="15.0" customHeight="1">
      <c r="A73" s="105"/>
      <c r="B73" s="350" t="s">
        <v>746</v>
      </c>
      <c r="C73" s="323" t="s">
        <v>2072</v>
      </c>
      <c r="D73" s="323" t="s">
        <v>1110</v>
      </c>
      <c r="E73" s="371">
        <v>95682.8</v>
      </c>
      <c r="F73" s="326"/>
      <c r="G73" s="327" t="s">
        <v>2067</v>
      </c>
      <c r="H73" s="328" t="s">
        <v>556</v>
      </c>
      <c r="I73" s="107"/>
      <c r="J73" s="141"/>
      <c r="K73" s="141"/>
      <c r="L73" s="83"/>
      <c r="M73" s="84"/>
      <c r="N73" s="141"/>
      <c r="O73" s="141"/>
      <c r="P73" s="141"/>
      <c r="Q73" s="141"/>
      <c r="R73" s="141"/>
      <c r="S73" s="141"/>
      <c r="T73" s="141"/>
      <c r="U73" s="141"/>
      <c r="V73" s="141"/>
      <c r="W73" s="141"/>
      <c r="X73" s="141"/>
      <c r="Y73" s="141"/>
    </row>
    <row r="74" ht="15.0" customHeight="1">
      <c r="A74" s="105"/>
      <c r="B74" s="350" t="s">
        <v>746</v>
      </c>
      <c r="C74" s="323" t="s">
        <v>2072</v>
      </c>
      <c r="D74" s="323" t="s">
        <v>828</v>
      </c>
      <c r="E74" s="326"/>
      <c r="F74" s="337">
        <v>7.58</v>
      </c>
      <c r="G74" s="313" t="s">
        <v>1079</v>
      </c>
      <c r="H74" s="328" t="s">
        <v>33</v>
      </c>
      <c r="I74" s="107"/>
      <c r="J74" s="141"/>
      <c r="K74" s="141"/>
      <c r="L74" s="83"/>
      <c r="M74" s="84"/>
      <c r="N74" s="141"/>
      <c r="O74" s="141"/>
      <c r="P74" s="141"/>
      <c r="Q74" s="141"/>
      <c r="R74" s="141"/>
      <c r="S74" s="141"/>
      <c r="T74" s="141"/>
      <c r="U74" s="141"/>
      <c r="V74" s="141"/>
      <c r="W74" s="141"/>
      <c r="X74" s="141"/>
      <c r="Y74" s="141"/>
    </row>
    <row r="75" ht="15.0" customHeight="1">
      <c r="A75" s="105"/>
      <c r="B75" s="281" t="str">
        <f>B15</f>
        <v>OCBC USD</v>
      </c>
      <c r="C75" s="323" t="s">
        <v>2073</v>
      </c>
      <c r="D75" s="323" t="s">
        <v>1110</v>
      </c>
      <c r="E75" s="325"/>
      <c r="F75" s="337">
        <v>70000.0</v>
      </c>
      <c r="G75" s="327" t="s">
        <v>1035</v>
      </c>
      <c r="H75" s="328" t="s">
        <v>556</v>
      </c>
      <c r="I75" s="107"/>
      <c r="J75" s="141"/>
      <c r="K75" s="141"/>
      <c r="L75" s="83"/>
      <c r="M75" s="84"/>
      <c r="N75" s="141"/>
      <c r="O75" s="141"/>
      <c r="P75" s="141"/>
      <c r="Q75" s="141"/>
      <c r="R75" s="141"/>
      <c r="S75" s="141"/>
      <c r="T75" s="141"/>
      <c r="U75" s="141"/>
      <c r="V75" s="141"/>
      <c r="W75" s="141"/>
      <c r="X75" s="141"/>
      <c r="Y75" s="141"/>
    </row>
    <row r="76" ht="15.0" customHeight="1">
      <c r="A76" s="105"/>
      <c r="B76" s="350" t="str">
        <f t="shared" ref="B76:B77" si="8">B8</f>
        <v>하나 #138</v>
      </c>
      <c r="C76" s="323" t="s">
        <v>2073</v>
      </c>
      <c r="D76" s="323" t="s">
        <v>1110</v>
      </c>
      <c r="E76" s="337">
        <v>69987.7</v>
      </c>
      <c r="F76" s="325"/>
      <c r="G76" s="327" t="s">
        <v>1035</v>
      </c>
      <c r="H76" s="328" t="s">
        <v>556</v>
      </c>
      <c r="I76" s="107"/>
      <c r="J76" s="141"/>
      <c r="K76" s="141"/>
      <c r="L76" s="83"/>
      <c r="M76" s="84"/>
      <c r="N76" s="141"/>
      <c r="O76" s="141"/>
      <c r="P76" s="141"/>
      <c r="Q76" s="141"/>
      <c r="R76" s="141"/>
      <c r="S76" s="141"/>
      <c r="T76" s="141"/>
      <c r="U76" s="141"/>
      <c r="V76" s="141"/>
      <c r="W76" s="141"/>
      <c r="X76" s="141"/>
      <c r="Y76" s="141"/>
    </row>
    <row r="77" ht="15.0" customHeight="1">
      <c r="A77" s="105"/>
      <c r="B77" s="281" t="str">
        <f t="shared" si="8"/>
        <v>기업 #019</v>
      </c>
      <c r="C77" s="323" t="s">
        <v>2074</v>
      </c>
      <c r="D77" s="374" t="s">
        <v>84</v>
      </c>
      <c r="E77" s="325"/>
      <c r="F77" s="325">
        <v>943934.0</v>
      </c>
      <c r="G77" s="327" t="s">
        <v>1660</v>
      </c>
      <c r="H77" s="286" t="s">
        <v>1642</v>
      </c>
      <c r="I77" s="107"/>
      <c r="J77" s="141"/>
      <c r="K77" s="141"/>
      <c r="L77" s="83"/>
      <c r="M77" s="84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</row>
    <row r="78" ht="15.0" customHeight="1">
      <c r="A78" s="105"/>
      <c r="B78" s="281" t="str">
        <f>B9</f>
        <v>기업 #019</v>
      </c>
      <c r="C78" s="323" t="s">
        <v>2073</v>
      </c>
      <c r="D78" s="374" t="s">
        <v>1619</v>
      </c>
      <c r="E78" s="325">
        <v>3119.0</v>
      </c>
      <c r="F78" s="325"/>
      <c r="G78" s="327" t="s">
        <v>906</v>
      </c>
      <c r="H78" s="286" t="s">
        <v>75</v>
      </c>
      <c r="I78" s="107"/>
      <c r="J78" s="141"/>
      <c r="K78" s="141"/>
      <c r="L78" s="83"/>
      <c r="M78" s="84"/>
      <c r="N78" s="141"/>
      <c r="O78" s="141"/>
      <c r="P78" s="141"/>
      <c r="Q78" s="141"/>
      <c r="R78" s="141"/>
      <c r="S78" s="141"/>
      <c r="T78" s="141"/>
      <c r="U78" s="141"/>
      <c r="V78" s="141"/>
      <c r="W78" s="141"/>
      <c r="X78" s="141"/>
      <c r="Y78" s="141"/>
    </row>
    <row r="79" ht="15.0" customHeight="1">
      <c r="A79" s="105"/>
      <c r="B79" s="281" t="str">
        <f>B5</f>
        <v>신한 #672</v>
      </c>
      <c r="C79" s="323" t="s">
        <v>2073</v>
      </c>
      <c r="D79" s="323" t="s">
        <v>1202</v>
      </c>
      <c r="E79" s="326"/>
      <c r="F79" s="326">
        <v>110000.0</v>
      </c>
      <c r="G79" s="327" t="s">
        <v>1202</v>
      </c>
      <c r="H79" s="286" t="s">
        <v>33</v>
      </c>
      <c r="I79" s="107"/>
      <c r="J79" s="141"/>
      <c r="K79" s="141"/>
      <c r="L79" s="83"/>
      <c r="M79" s="84"/>
      <c r="N79" s="141"/>
      <c r="O79" s="141"/>
      <c r="P79" s="141"/>
      <c r="Q79" s="141"/>
      <c r="R79" s="141"/>
      <c r="S79" s="141"/>
      <c r="T79" s="141"/>
      <c r="U79" s="141"/>
      <c r="V79" s="141"/>
      <c r="W79" s="141"/>
      <c r="X79" s="141"/>
      <c r="Y79" s="141"/>
    </row>
    <row r="80" ht="15.0" customHeight="1">
      <c r="A80" s="105"/>
      <c r="B80" s="281" t="str">
        <f>B13</f>
        <v>WISE SGD</v>
      </c>
      <c r="C80" s="323" t="s">
        <v>2075</v>
      </c>
      <c r="D80" s="323" t="s">
        <v>2068</v>
      </c>
      <c r="E80" s="337">
        <v>537.31</v>
      </c>
      <c r="F80" s="325"/>
      <c r="G80" s="327" t="s">
        <v>2076</v>
      </c>
      <c r="H80" s="328" t="s">
        <v>2035</v>
      </c>
      <c r="I80" s="107"/>
      <c r="J80" s="141"/>
      <c r="K80" s="141"/>
      <c r="L80" s="83"/>
      <c r="M80" s="84"/>
      <c r="N80" s="141"/>
      <c r="O80" s="141"/>
      <c r="P80" s="141"/>
      <c r="Q80" s="141"/>
      <c r="R80" s="141"/>
      <c r="S80" s="141"/>
      <c r="T80" s="141"/>
      <c r="U80" s="141"/>
      <c r="V80" s="141"/>
      <c r="W80" s="141"/>
      <c r="X80" s="141"/>
      <c r="Y80" s="141"/>
    </row>
    <row r="81" ht="15.0" customHeight="1">
      <c r="A81" s="105"/>
      <c r="B81" s="281" t="str">
        <f>B9</f>
        <v>기업 #019</v>
      </c>
      <c r="C81" s="323" t="s">
        <v>2077</v>
      </c>
      <c r="D81" s="374" t="s">
        <v>1858</v>
      </c>
      <c r="E81" s="325"/>
      <c r="F81" s="325">
        <v>21300.0</v>
      </c>
      <c r="G81" s="327" t="s">
        <v>1859</v>
      </c>
      <c r="H81" s="286" t="s">
        <v>4</v>
      </c>
      <c r="I81" s="107"/>
      <c r="J81" s="141"/>
      <c r="K81" s="141"/>
      <c r="L81" s="83"/>
      <c r="M81" s="84"/>
      <c r="N81" s="141"/>
      <c r="O81" s="141"/>
      <c r="P81" s="141"/>
      <c r="Q81" s="141"/>
      <c r="R81" s="141"/>
      <c r="S81" s="141"/>
      <c r="T81" s="141"/>
      <c r="U81" s="141"/>
      <c r="V81" s="141"/>
      <c r="W81" s="141"/>
      <c r="X81" s="141"/>
      <c r="Y81" s="141"/>
    </row>
    <row r="82" ht="15.0" customHeight="1">
      <c r="A82" s="105"/>
      <c r="B82" s="281" t="str">
        <f>B9</f>
        <v>기업 #019</v>
      </c>
      <c r="C82" s="323" t="s">
        <v>2077</v>
      </c>
      <c r="D82" s="374" t="s">
        <v>2002</v>
      </c>
      <c r="E82" s="325"/>
      <c r="F82" s="325">
        <v>76000.0</v>
      </c>
      <c r="G82" s="327" t="s">
        <v>1667</v>
      </c>
      <c r="H82" s="286" t="s">
        <v>4</v>
      </c>
      <c r="I82" s="107"/>
      <c r="J82" s="141"/>
      <c r="K82" s="141"/>
      <c r="L82" s="83"/>
      <c r="M82" s="84"/>
      <c r="N82" s="141"/>
      <c r="O82" s="141"/>
      <c r="P82" s="141"/>
      <c r="Q82" s="141"/>
      <c r="R82" s="141"/>
      <c r="S82" s="141"/>
      <c r="T82" s="141"/>
      <c r="U82" s="141"/>
      <c r="V82" s="141"/>
      <c r="W82" s="141"/>
      <c r="X82" s="141"/>
      <c r="Y82" s="141"/>
    </row>
    <row r="83" ht="15.0" customHeight="1">
      <c r="A83" s="105"/>
      <c r="B83" s="281" t="str">
        <f>B9</f>
        <v>기업 #019</v>
      </c>
      <c r="C83" s="323" t="s">
        <v>2077</v>
      </c>
      <c r="D83" s="374" t="s">
        <v>990</v>
      </c>
      <c r="E83" s="325"/>
      <c r="F83" s="325">
        <v>193810.0</v>
      </c>
      <c r="G83" s="327" t="s">
        <v>1667</v>
      </c>
      <c r="H83" s="286" t="s">
        <v>4</v>
      </c>
      <c r="I83" s="107"/>
      <c r="J83" s="141"/>
      <c r="K83" s="141"/>
      <c r="L83" s="83"/>
      <c r="M83" s="84"/>
      <c r="N83" s="141"/>
      <c r="O83" s="141"/>
      <c r="P83" s="141"/>
      <c r="Q83" s="141"/>
      <c r="R83" s="141"/>
      <c r="S83" s="141"/>
      <c r="T83" s="141"/>
      <c r="U83" s="141"/>
      <c r="V83" s="141"/>
      <c r="W83" s="141"/>
      <c r="X83" s="141"/>
      <c r="Y83" s="141"/>
    </row>
    <row r="84" ht="15.0" customHeight="1">
      <c r="A84" s="105"/>
      <c r="B84" s="281" t="str">
        <f>B9</f>
        <v>기업 #019</v>
      </c>
      <c r="C84" s="323" t="s">
        <v>2077</v>
      </c>
      <c r="D84" s="374" t="s">
        <v>2078</v>
      </c>
      <c r="E84" s="325"/>
      <c r="F84" s="325">
        <v>133900.0</v>
      </c>
      <c r="G84" s="327" t="s">
        <v>1667</v>
      </c>
      <c r="H84" s="286" t="s">
        <v>4</v>
      </c>
      <c r="I84" s="107"/>
      <c r="J84" s="141"/>
      <c r="K84" s="141"/>
      <c r="L84" s="83"/>
      <c r="M84" s="84"/>
      <c r="N84" s="141"/>
      <c r="O84" s="141"/>
      <c r="P84" s="141"/>
      <c r="Q84" s="141"/>
      <c r="R84" s="141"/>
      <c r="S84" s="141"/>
      <c r="T84" s="141"/>
      <c r="U84" s="141"/>
      <c r="V84" s="141"/>
      <c r="W84" s="141"/>
      <c r="X84" s="141"/>
      <c r="Y84" s="141"/>
    </row>
    <row r="85" ht="15.0" customHeight="1">
      <c r="A85" s="105"/>
      <c r="B85" s="281" t="str">
        <f>B9</f>
        <v>기업 #019</v>
      </c>
      <c r="C85" s="323" t="s">
        <v>2077</v>
      </c>
      <c r="D85" s="374" t="s">
        <v>1214</v>
      </c>
      <c r="E85" s="325"/>
      <c r="F85" s="325">
        <v>68100.0</v>
      </c>
      <c r="G85" s="327" t="s">
        <v>1667</v>
      </c>
      <c r="H85" s="286" t="s">
        <v>4</v>
      </c>
      <c r="I85" s="107"/>
      <c r="J85" s="141"/>
      <c r="K85" s="141"/>
      <c r="L85" s="83"/>
      <c r="M85" s="84"/>
      <c r="N85" s="141"/>
      <c r="O85" s="141"/>
      <c r="P85" s="141"/>
      <c r="Q85" s="141"/>
      <c r="R85" s="141"/>
      <c r="S85" s="141"/>
      <c r="T85" s="141"/>
      <c r="U85" s="141"/>
      <c r="V85" s="141"/>
      <c r="W85" s="141"/>
      <c r="X85" s="141"/>
      <c r="Y85" s="141"/>
    </row>
    <row r="86" ht="15.0" customHeight="1">
      <c r="A86" s="105"/>
      <c r="B86" s="281" t="str">
        <f>B9</f>
        <v>기업 #019</v>
      </c>
      <c r="C86" s="323" t="s">
        <v>2077</v>
      </c>
      <c r="D86" s="374" t="s">
        <v>993</v>
      </c>
      <c r="E86" s="325"/>
      <c r="F86" s="325">
        <v>42500.0</v>
      </c>
      <c r="G86" s="327" t="s">
        <v>1667</v>
      </c>
      <c r="H86" s="286" t="s">
        <v>4</v>
      </c>
      <c r="I86" s="107"/>
      <c r="J86" s="141"/>
      <c r="K86" s="141"/>
      <c r="L86" s="83"/>
      <c r="M86" s="84"/>
      <c r="N86" s="141"/>
      <c r="O86" s="141"/>
      <c r="P86" s="141"/>
      <c r="Q86" s="141"/>
      <c r="R86" s="141"/>
      <c r="S86" s="141"/>
      <c r="T86" s="141"/>
      <c r="U86" s="141"/>
      <c r="V86" s="141"/>
      <c r="W86" s="141"/>
      <c r="X86" s="141"/>
      <c r="Y86" s="141"/>
    </row>
    <row r="87" ht="15.0" customHeight="1">
      <c r="A87" s="105"/>
      <c r="B87" s="281" t="str">
        <f>B9</f>
        <v>기업 #019</v>
      </c>
      <c r="C87" s="323" t="s">
        <v>2077</v>
      </c>
      <c r="D87" s="374" t="s">
        <v>119</v>
      </c>
      <c r="E87" s="325"/>
      <c r="F87" s="325">
        <v>47718.0</v>
      </c>
      <c r="G87" s="327" t="s">
        <v>2079</v>
      </c>
      <c r="H87" s="286" t="s">
        <v>4</v>
      </c>
      <c r="I87" s="107"/>
      <c r="J87" s="141"/>
      <c r="K87" s="141"/>
      <c r="L87" s="83"/>
      <c r="M87" s="84"/>
      <c r="N87" s="141"/>
      <c r="O87" s="141"/>
      <c r="P87" s="141"/>
      <c r="Q87" s="141"/>
      <c r="R87" s="141"/>
      <c r="S87" s="141"/>
      <c r="T87" s="141"/>
      <c r="U87" s="141"/>
      <c r="V87" s="141"/>
      <c r="W87" s="141"/>
      <c r="X87" s="141"/>
      <c r="Y87" s="141"/>
    </row>
    <row r="88" ht="15.0" customHeight="1">
      <c r="A88" s="105"/>
      <c r="B88" s="281" t="str">
        <f>B9</f>
        <v>기업 #019</v>
      </c>
      <c r="C88" s="323" t="s">
        <v>2077</v>
      </c>
      <c r="D88" s="374" t="s">
        <v>1214</v>
      </c>
      <c r="E88" s="325"/>
      <c r="F88" s="325">
        <v>104500.0</v>
      </c>
      <c r="G88" s="327" t="s">
        <v>1667</v>
      </c>
      <c r="H88" s="286" t="s">
        <v>4</v>
      </c>
      <c r="I88" s="107"/>
      <c r="J88" s="141"/>
      <c r="K88" s="141"/>
      <c r="L88" s="83"/>
      <c r="M88" s="84"/>
      <c r="N88" s="141"/>
      <c r="O88" s="141"/>
      <c r="P88" s="141"/>
      <c r="Q88" s="141"/>
      <c r="R88" s="141"/>
      <c r="S88" s="141"/>
      <c r="T88" s="141"/>
      <c r="U88" s="141"/>
      <c r="V88" s="141"/>
      <c r="W88" s="141"/>
      <c r="X88" s="141"/>
      <c r="Y88" s="141"/>
    </row>
    <row r="89" ht="15.0" customHeight="1">
      <c r="A89" s="105"/>
      <c r="B89" s="281" t="str">
        <f>B9</f>
        <v>기업 #019</v>
      </c>
      <c r="C89" s="323" t="s">
        <v>2077</v>
      </c>
      <c r="D89" s="374" t="s">
        <v>122</v>
      </c>
      <c r="E89" s="325"/>
      <c r="F89" s="325">
        <v>500000.0</v>
      </c>
      <c r="G89" s="327" t="s">
        <v>1656</v>
      </c>
      <c r="H89" s="328" t="s">
        <v>1327</v>
      </c>
      <c r="I89" s="107"/>
      <c r="J89" s="141"/>
      <c r="K89" s="141"/>
      <c r="L89" s="83"/>
      <c r="M89" s="84"/>
      <c r="N89" s="141"/>
      <c r="O89" s="141"/>
      <c r="P89" s="141"/>
      <c r="Q89" s="141"/>
      <c r="R89" s="141"/>
      <c r="S89" s="141"/>
      <c r="T89" s="141"/>
      <c r="U89" s="141"/>
      <c r="V89" s="141"/>
      <c r="W89" s="141"/>
      <c r="X89" s="141"/>
      <c r="Y89" s="141"/>
    </row>
    <row r="90" ht="15.0" customHeight="1">
      <c r="A90" s="105"/>
      <c r="B90" s="281" t="str">
        <f>B8</f>
        <v>하나 #138</v>
      </c>
      <c r="C90" s="323" t="s">
        <v>2080</v>
      </c>
      <c r="D90" s="374" t="s">
        <v>1981</v>
      </c>
      <c r="E90" s="325"/>
      <c r="F90" s="337">
        <v>69987.7</v>
      </c>
      <c r="G90" s="327" t="s">
        <v>679</v>
      </c>
      <c r="H90" s="328" t="s">
        <v>556</v>
      </c>
      <c r="I90" s="107"/>
      <c r="J90" s="141"/>
      <c r="K90" s="141"/>
      <c r="L90" s="83"/>
      <c r="M90" s="84"/>
      <c r="N90" s="141"/>
      <c r="O90" s="141"/>
      <c r="P90" s="141"/>
      <c r="Q90" s="141"/>
      <c r="R90" s="141"/>
      <c r="S90" s="141"/>
      <c r="T90" s="141"/>
      <c r="U90" s="141"/>
      <c r="V90" s="141"/>
      <c r="W90" s="141"/>
      <c r="X90" s="141"/>
      <c r="Y90" s="141"/>
    </row>
    <row r="91" ht="15.0" customHeight="1">
      <c r="A91" s="105"/>
      <c r="B91" s="281" t="str">
        <f>B7</f>
        <v>하나 #304</v>
      </c>
      <c r="C91" s="323" t="s">
        <v>2080</v>
      </c>
      <c r="D91" s="374" t="s">
        <v>1981</v>
      </c>
      <c r="E91" s="325">
        <v>9.570468E7</v>
      </c>
      <c r="F91" s="325"/>
      <c r="G91" s="327" t="s">
        <v>679</v>
      </c>
      <c r="H91" s="328" t="s">
        <v>556</v>
      </c>
      <c r="I91" s="107"/>
      <c r="J91" s="141"/>
      <c r="K91" s="141"/>
      <c r="L91" s="83"/>
      <c r="M91" s="84"/>
      <c r="N91" s="141"/>
      <c r="O91" s="141"/>
      <c r="P91" s="141"/>
      <c r="Q91" s="141"/>
      <c r="R91" s="141"/>
      <c r="S91" s="141"/>
      <c r="T91" s="141"/>
      <c r="U91" s="141"/>
      <c r="V91" s="141"/>
      <c r="W91" s="141"/>
      <c r="X91" s="141"/>
      <c r="Y91" s="141"/>
    </row>
    <row r="92" ht="15.0" customHeight="1">
      <c r="A92" s="105"/>
      <c r="B92" s="281" t="str">
        <f>B7</f>
        <v>하나 #304</v>
      </c>
      <c r="C92" s="323" t="s">
        <v>2080</v>
      </c>
      <c r="D92" s="374" t="s">
        <v>1981</v>
      </c>
      <c r="E92" s="325"/>
      <c r="F92" s="325">
        <v>9.3E7</v>
      </c>
      <c r="G92" s="327" t="s">
        <v>1035</v>
      </c>
      <c r="H92" s="328" t="s">
        <v>556</v>
      </c>
      <c r="I92" s="107"/>
      <c r="J92" s="141"/>
      <c r="K92" s="141"/>
      <c r="L92" s="83"/>
      <c r="M92" s="84"/>
      <c r="N92" s="141"/>
      <c r="O92" s="141"/>
      <c r="P92" s="141"/>
      <c r="Q92" s="141"/>
      <c r="R92" s="141"/>
      <c r="S92" s="141"/>
      <c r="T92" s="141"/>
      <c r="U92" s="141"/>
      <c r="V92" s="141"/>
      <c r="W92" s="141"/>
      <c r="X92" s="141"/>
      <c r="Y92" s="141"/>
    </row>
    <row r="93" ht="15.0" customHeight="1">
      <c r="A93" s="105"/>
      <c r="B93" s="281" t="str">
        <f>B7</f>
        <v>하나 #304</v>
      </c>
      <c r="C93" s="323" t="s">
        <v>2080</v>
      </c>
      <c r="D93" s="374" t="s">
        <v>1115</v>
      </c>
      <c r="E93" s="325"/>
      <c r="F93" s="325">
        <v>500.0</v>
      </c>
      <c r="G93" s="327" t="s">
        <v>1565</v>
      </c>
      <c r="H93" s="328" t="s">
        <v>33</v>
      </c>
      <c r="I93" s="107"/>
      <c r="J93" s="141"/>
      <c r="K93" s="141"/>
      <c r="L93" s="83"/>
      <c r="M93" s="84"/>
      <c r="N93" s="141"/>
      <c r="O93" s="141"/>
      <c r="P93" s="141"/>
      <c r="Q93" s="141"/>
      <c r="R93" s="141"/>
      <c r="S93" s="141"/>
      <c r="T93" s="141"/>
      <c r="U93" s="141"/>
      <c r="V93" s="141"/>
      <c r="W93" s="141"/>
      <c r="X93" s="141"/>
      <c r="Y93" s="141"/>
    </row>
    <row r="94" ht="15.0" customHeight="1">
      <c r="A94" s="105"/>
      <c r="B94" s="281" t="str">
        <f>B9</f>
        <v>기업 #019</v>
      </c>
      <c r="C94" s="323" t="s">
        <v>2080</v>
      </c>
      <c r="D94" s="374" t="s">
        <v>1981</v>
      </c>
      <c r="E94" s="325">
        <v>9.3E7</v>
      </c>
      <c r="F94" s="325"/>
      <c r="G94" s="327" t="s">
        <v>1035</v>
      </c>
      <c r="H94" s="328" t="s">
        <v>556</v>
      </c>
      <c r="I94" s="107"/>
      <c r="J94" s="141"/>
      <c r="K94" s="141"/>
      <c r="L94" s="83"/>
      <c r="M94" s="84"/>
      <c r="N94" s="141"/>
      <c r="O94" s="141"/>
      <c r="P94" s="141"/>
      <c r="Q94" s="141"/>
      <c r="R94" s="141"/>
      <c r="S94" s="141"/>
      <c r="T94" s="141"/>
      <c r="U94" s="141"/>
      <c r="V94" s="141"/>
      <c r="W94" s="141"/>
      <c r="X94" s="141"/>
      <c r="Y94" s="141"/>
    </row>
    <row r="95" ht="15.0" customHeight="1">
      <c r="A95" s="105"/>
      <c r="B95" s="281" t="str">
        <f>B7</f>
        <v>하나 #304</v>
      </c>
      <c r="C95" s="323" t="s">
        <v>2080</v>
      </c>
      <c r="D95" s="374" t="s">
        <v>1981</v>
      </c>
      <c r="E95" s="325"/>
      <c r="F95" s="325">
        <v>200000.0</v>
      </c>
      <c r="G95" s="327" t="s">
        <v>1035</v>
      </c>
      <c r="H95" s="328" t="s">
        <v>556</v>
      </c>
      <c r="I95" s="107"/>
      <c r="J95" s="141"/>
      <c r="K95" s="141"/>
      <c r="L95" s="83"/>
      <c r="M95" s="84"/>
      <c r="N95" s="141"/>
      <c r="O95" s="141"/>
      <c r="P95" s="141"/>
      <c r="Q95" s="141"/>
      <c r="R95" s="141"/>
      <c r="S95" s="141"/>
      <c r="T95" s="141"/>
      <c r="U95" s="141"/>
      <c r="V95" s="141"/>
      <c r="W95" s="141"/>
      <c r="X95" s="141"/>
      <c r="Y95" s="141"/>
    </row>
    <row r="96" ht="15.0" customHeight="1">
      <c r="A96" s="105"/>
      <c r="B96" s="281" t="str">
        <f>B7</f>
        <v>하나 #304</v>
      </c>
      <c r="C96" s="323" t="s">
        <v>2080</v>
      </c>
      <c r="D96" s="374" t="s">
        <v>1115</v>
      </c>
      <c r="E96" s="325"/>
      <c r="F96" s="325">
        <v>500.0</v>
      </c>
      <c r="G96" s="327" t="s">
        <v>1565</v>
      </c>
      <c r="H96" s="328" t="s">
        <v>33</v>
      </c>
      <c r="I96" s="107"/>
      <c r="J96" s="141"/>
      <c r="K96" s="141"/>
      <c r="L96" s="83"/>
      <c r="M96" s="84"/>
      <c r="N96" s="141"/>
      <c r="O96" s="141"/>
      <c r="P96" s="141"/>
      <c r="Q96" s="141"/>
      <c r="R96" s="141"/>
      <c r="S96" s="141"/>
      <c r="T96" s="141"/>
      <c r="U96" s="141"/>
      <c r="V96" s="141"/>
      <c r="W96" s="141"/>
      <c r="X96" s="141"/>
      <c r="Y96" s="141"/>
    </row>
    <row r="97" ht="15.0" customHeight="1">
      <c r="A97" s="105"/>
      <c r="B97" s="281" t="str">
        <f t="shared" ref="B97:B98" si="9">B9</f>
        <v>기업 #019</v>
      </c>
      <c r="C97" s="323" t="s">
        <v>2080</v>
      </c>
      <c r="D97" s="374" t="s">
        <v>1981</v>
      </c>
      <c r="E97" s="325">
        <v>200000.0</v>
      </c>
      <c r="F97" s="325"/>
      <c r="G97" s="327" t="s">
        <v>1035</v>
      </c>
      <c r="H97" s="328" t="s">
        <v>556</v>
      </c>
      <c r="I97" s="107"/>
      <c r="J97" s="141"/>
      <c r="K97" s="141"/>
      <c r="L97" s="83"/>
      <c r="M97" s="84"/>
      <c r="N97" s="141"/>
      <c r="O97" s="141"/>
      <c r="P97" s="141"/>
      <c r="Q97" s="141"/>
      <c r="R97" s="141"/>
      <c r="S97" s="141"/>
      <c r="T97" s="141"/>
      <c r="U97" s="141"/>
      <c r="V97" s="141"/>
      <c r="W97" s="141"/>
      <c r="X97" s="141"/>
      <c r="Y97" s="141"/>
    </row>
    <row r="98" ht="15.0" customHeight="1">
      <c r="A98" s="105"/>
      <c r="B98" s="281" t="str">
        <f t="shared" si="9"/>
        <v>기업 #020</v>
      </c>
      <c r="C98" s="323" t="s">
        <v>2080</v>
      </c>
      <c r="D98" s="374" t="s">
        <v>1981</v>
      </c>
      <c r="E98" s="325"/>
      <c r="F98" s="325">
        <v>15435.0</v>
      </c>
      <c r="G98" s="327" t="s">
        <v>1035</v>
      </c>
      <c r="H98" s="328" t="s">
        <v>556</v>
      </c>
      <c r="I98" s="107"/>
      <c r="J98" s="141"/>
      <c r="K98" s="141"/>
      <c r="L98" s="83"/>
      <c r="M98" s="84"/>
      <c r="N98" s="141"/>
      <c r="O98" s="141"/>
      <c r="P98" s="141"/>
      <c r="Q98" s="141"/>
      <c r="R98" s="141"/>
      <c r="S98" s="141"/>
      <c r="T98" s="141"/>
      <c r="U98" s="141"/>
      <c r="V98" s="141"/>
      <c r="W98" s="141"/>
      <c r="X98" s="141"/>
      <c r="Y98" s="141"/>
    </row>
    <row r="99" ht="15.0" customHeight="1">
      <c r="A99" s="105"/>
      <c r="B99" s="281" t="str">
        <f>B9</f>
        <v>기업 #019</v>
      </c>
      <c r="C99" s="323" t="s">
        <v>2080</v>
      </c>
      <c r="D99" s="374" t="s">
        <v>1981</v>
      </c>
      <c r="E99" s="325">
        <v>15435.0</v>
      </c>
      <c r="F99" s="325"/>
      <c r="G99" s="327" t="s">
        <v>1035</v>
      </c>
      <c r="H99" s="328" t="s">
        <v>556</v>
      </c>
      <c r="I99" s="107"/>
      <c r="J99" s="141"/>
      <c r="K99" s="141"/>
      <c r="L99" s="83"/>
      <c r="M99" s="84"/>
      <c r="N99" s="141"/>
      <c r="O99" s="141"/>
      <c r="P99" s="141"/>
      <c r="Q99" s="141"/>
      <c r="R99" s="141"/>
      <c r="S99" s="141"/>
      <c r="T99" s="141"/>
      <c r="U99" s="141"/>
      <c r="V99" s="141"/>
      <c r="W99" s="141"/>
      <c r="X99" s="141"/>
      <c r="Y99" s="141"/>
    </row>
    <row r="100" ht="15.0" customHeight="1">
      <c r="A100" s="105"/>
      <c r="B100" s="281" t="str">
        <f>B7</f>
        <v>하나 #304</v>
      </c>
      <c r="C100" s="323" t="s">
        <v>2081</v>
      </c>
      <c r="D100" s="374" t="s">
        <v>721</v>
      </c>
      <c r="E100" s="325"/>
      <c r="F100" s="325">
        <v>1.4617951E7</v>
      </c>
      <c r="G100" s="327" t="s">
        <v>1634</v>
      </c>
      <c r="H100" s="328" t="s">
        <v>33</v>
      </c>
      <c r="I100" s="107"/>
      <c r="J100" s="141"/>
      <c r="K100" s="141"/>
      <c r="L100" s="83"/>
      <c r="M100" s="84"/>
      <c r="N100" s="141"/>
      <c r="O100" s="141"/>
      <c r="P100" s="141"/>
      <c r="Q100" s="141"/>
      <c r="R100" s="141"/>
      <c r="S100" s="141"/>
      <c r="T100" s="141"/>
      <c r="U100" s="141"/>
      <c r="V100" s="141"/>
      <c r="W100" s="141"/>
      <c r="X100" s="141"/>
      <c r="Y100" s="141"/>
    </row>
    <row r="101" ht="15.0" customHeight="1">
      <c r="A101" s="105"/>
      <c r="B101" s="281" t="str">
        <f>B9</f>
        <v>기업 #019</v>
      </c>
      <c r="C101" s="323" t="s">
        <v>2081</v>
      </c>
      <c r="D101" s="374" t="s">
        <v>1669</v>
      </c>
      <c r="E101" s="325"/>
      <c r="F101" s="325">
        <v>7156884.0</v>
      </c>
      <c r="G101" s="327" t="s">
        <v>1634</v>
      </c>
      <c r="H101" s="328" t="s">
        <v>33</v>
      </c>
      <c r="I101" s="107"/>
      <c r="J101" s="141"/>
      <c r="K101" s="141"/>
      <c r="L101" s="83"/>
      <c r="M101" s="84"/>
      <c r="N101" s="141"/>
      <c r="O101" s="141"/>
      <c r="P101" s="141"/>
      <c r="Q101" s="141"/>
      <c r="R101" s="141"/>
      <c r="S101" s="141"/>
      <c r="T101" s="141"/>
      <c r="U101" s="141"/>
      <c r="V101" s="141"/>
      <c r="W101" s="141"/>
      <c r="X101" s="141"/>
      <c r="Y101" s="141"/>
    </row>
    <row r="102" ht="15.0" customHeight="1">
      <c r="A102" s="105"/>
      <c r="B102" s="281" t="str">
        <f>B5</f>
        <v>신한 #672</v>
      </c>
      <c r="C102" s="323" t="s">
        <v>2081</v>
      </c>
      <c r="D102" s="374" t="s">
        <v>1950</v>
      </c>
      <c r="E102" s="325"/>
      <c r="F102" s="325">
        <v>56550.0</v>
      </c>
      <c r="G102" s="327" t="s">
        <v>1951</v>
      </c>
      <c r="H102" s="328" t="s">
        <v>27</v>
      </c>
      <c r="I102" s="107"/>
      <c r="J102" s="141"/>
      <c r="K102" s="141"/>
      <c r="L102" s="83"/>
      <c r="M102" s="84"/>
      <c r="N102" s="141"/>
      <c r="O102" s="141"/>
      <c r="P102" s="141"/>
      <c r="Q102" s="141"/>
      <c r="R102" s="141"/>
      <c r="S102" s="141"/>
      <c r="T102" s="141"/>
      <c r="U102" s="141"/>
      <c r="V102" s="141"/>
      <c r="W102" s="141"/>
      <c r="X102" s="141"/>
      <c r="Y102" s="141"/>
    </row>
    <row r="103" ht="15.0" customHeight="1">
      <c r="A103" s="105"/>
      <c r="B103" s="281" t="str">
        <f>B5</f>
        <v>신한 #672</v>
      </c>
      <c r="C103" s="323" t="s">
        <v>2081</v>
      </c>
      <c r="D103" s="374" t="s">
        <v>497</v>
      </c>
      <c r="E103" s="325"/>
      <c r="F103" s="325">
        <v>330000.0</v>
      </c>
      <c r="G103" s="327" t="s">
        <v>1952</v>
      </c>
      <c r="H103" s="328" t="s">
        <v>33</v>
      </c>
      <c r="I103" s="107"/>
      <c r="J103" s="141"/>
      <c r="K103" s="141"/>
      <c r="L103" s="83"/>
      <c r="M103" s="84"/>
      <c r="N103" s="141"/>
      <c r="O103" s="141"/>
      <c r="P103" s="141"/>
      <c r="Q103" s="141"/>
      <c r="R103" s="141"/>
      <c r="S103" s="141"/>
      <c r="T103" s="141"/>
      <c r="U103" s="141"/>
      <c r="V103" s="141"/>
      <c r="W103" s="141"/>
      <c r="X103" s="141"/>
      <c r="Y103" s="141"/>
    </row>
    <row r="104" ht="15.0" customHeight="1">
      <c r="A104" s="105"/>
      <c r="B104" s="281" t="str">
        <f>B5</f>
        <v>신한 #672</v>
      </c>
      <c r="C104" s="323" t="s">
        <v>2081</v>
      </c>
      <c r="D104" s="374" t="s">
        <v>1953</v>
      </c>
      <c r="E104" s="325"/>
      <c r="F104" s="325">
        <v>37430.0</v>
      </c>
      <c r="G104" s="327" t="s">
        <v>1038</v>
      </c>
      <c r="H104" s="328" t="s">
        <v>4</v>
      </c>
      <c r="I104" s="107"/>
      <c r="J104" s="141"/>
      <c r="K104" s="141"/>
      <c r="L104" s="83"/>
      <c r="M104" s="84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</row>
    <row r="105" ht="15.0" customHeight="1">
      <c r="A105" s="105"/>
      <c r="B105" s="281" t="str">
        <f>B5</f>
        <v>신한 #672</v>
      </c>
      <c r="C105" s="323" t="s">
        <v>2081</v>
      </c>
      <c r="D105" s="374" t="s">
        <v>1953</v>
      </c>
      <c r="E105" s="325"/>
      <c r="F105" s="325">
        <v>37430.0</v>
      </c>
      <c r="G105" s="327" t="s">
        <v>1038</v>
      </c>
      <c r="H105" s="328" t="s">
        <v>4</v>
      </c>
      <c r="I105" s="107"/>
      <c r="J105" s="141"/>
      <c r="K105" s="141"/>
      <c r="L105" s="83"/>
      <c r="M105" s="84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</row>
    <row r="106" ht="15.0" customHeight="1">
      <c r="A106" s="105"/>
      <c r="B106" s="281" t="str">
        <f>B5</f>
        <v>신한 #672</v>
      </c>
      <c r="C106" s="323" t="s">
        <v>2081</v>
      </c>
      <c r="D106" s="374" t="s">
        <v>1953</v>
      </c>
      <c r="E106" s="325"/>
      <c r="F106" s="325">
        <v>50250.0</v>
      </c>
      <c r="G106" s="327" t="s">
        <v>1040</v>
      </c>
      <c r="H106" s="328" t="s">
        <v>4</v>
      </c>
      <c r="I106" s="107"/>
      <c r="J106" s="141"/>
      <c r="K106" s="141"/>
      <c r="L106" s="83"/>
      <c r="M106" s="84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</row>
    <row r="107" ht="15.0" customHeight="1">
      <c r="A107" s="105"/>
      <c r="B107" s="281" t="str">
        <f>B5</f>
        <v>신한 #672</v>
      </c>
      <c r="C107" s="323" t="s">
        <v>2081</v>
      </c>
      <c r="D107" s="374" t="s">
        <v>1953</v>
      </c>
      <c r="E107" s="325"/>
      <c r="F107" s="325">
        <v>20660.0</v>
      </c>
      <c r="G107" s="327" t="s">
        <v>1039</v>
      </c>
      <c r="H107" s="328" t="s">
        <v>4</v>
      </c>
      <c r="I107" s="107"/>
      <c r="J107" s="141"/>
      <c r="K107" s="141"/>
      <c r="L107" s="83"/>
      <c r="M107" s="84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</row>
    <row r="108" ht="15.0" customHeight="1">
      <c r="A108" s="105"/>
      <c r="B108" s="281" t="str">
        <f>B5</f>
        <v>신한 #672</v>
      </c>
      <c r="C108" s="323" t="s">
        <v>2081</v>
      </c>
      <c r="D108" s="374" t="s">
        <v>1953</v>
      </c>
      <c r="E108" s="325"/>
      <c r="F108" s="325">
        <v>20660.0</v>
      </c>
      <c r="G108" s="327" t="s">
        <v>1039</v>
      </c>
      <c r="H108" s="328" t="s">
        <v>4</v>
      </c>
      <c r="I108" s="107"/>
      <c r="J108" s="141"/>
      <c r="K108" s="141"/>
      <c r="L108" s="83"/>
      <c r="M108" s="84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</row>
    <row r="109" ht="15.0" customHeight="1">
      <c r="A109" s="105"/>
      <c r="B109" s="281" t="str">
        <f>B5</f>
        <v>신한 #672</v>
      </c>
      <c r="C109" s="323" t="s">
        <v>2081</v>
      </c>
      <c r="D109" s="374" t="s">
        <v>1954</v>
      </c>
      <c r="E109" s="325"/>
      <c r="F109" s="325">
        <v>98000.0</v>
      </c>
      <c r="G109" s="327" t="s">
        <v>1047</v>
      </c>
      <c r="H109" s="328" t="s">
        <v>4</v>
      </c>
      <c r="I109" s="107"/>
      <c r="J109" s="141"/>
      <c r="K109" s="141"/>
      <c r="L109" s="83"/>
      <c r="M109" s="84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</row>
    <row r="110" ht="15.0" customHeight="1">
      <c r="A110" s="105"/>
      <c r="B110" s="281" t="str">
        <f>B9</f>
        <v>기업 #019</v>
      </c>
      <c r="C110" s="323" t="s">
        <v>2081</v>
      </c>
      <c r="D110" s="374" t="s">
        <v>41</v>
      </c>
      <c r="E110" s="325"/>
      <c r="F110" s="325">
        <v>9.4258044E7</v>
      </c>
      <c r="G110" s="327" t="s">
        <v>1489</v>
      </c>
      <c r="H110" s="328" t="s">
        <v>41</v>
      </c>
      <c r="I110" s="107"/>
      <c r="J110" s="141"/>
      <c r="K110" s="141"/>
      <c r="L110" s="83"/>
      <c r="M110" s="84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</row>
    <row r="111" ht="15.0" customHeight="1">
      <c r="A111" s="105"/>
      <c r="B111" s="281" t="str">
        <f>B9</f>
        <v>기업 #019</v>
      </c>
      <c r="C111" s="323" t="s">
        <v>2081</v>
      </c>
      <c r="D111" s="374" t="s">
        <v>1623</v>
      </c>
      <c r="E111" s="325"/>
      <c r="F111" s="325">
        <v>1697506.0</v>
      </c>
      <c r="G111" s="327" t="s">
        <v>2022</v>
      </c>
      <c r="H111" s="328" t="s">
        <v>39</v>
      </c>
      <c r="I111" s="107"/>
      <c r="J111" s="141"/>
      <c r="K111" s="141"/>
      <c r="L111" s="83"/>
      <c r="M111" s="84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</row>
    <row r="112" ht="15.0" customHeight="1">
      <c r="A112" s="105"/>
      <c r="B112" s="350" t="s">
        <v>746</v>
      </c>
      <c r="C112" s="323" t="s">
        <v>2073</v>
      </c>
      <c r="D112" s="323" t="s">
        <v>828</v>
      </c>
      <c r="E112" s="326"/>
      <c r="F112" s="337">
        <v>23.07</v>
      </c>
      <c r="G112" s="313" t="s">
        <v>1079</v>
      </c>
      <c r="H112" s="328" t="s">
        <v>33</v>
      </c>
      <c r="I112" s="107"/>
      <c r="J112" s="141"/>
      <c r="K112" s="141"/>
      <c r="L112" s="83"/>
      <c r="M112" s="84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</row>
    <row r="113" ht="15.0" customHeight="1">
      <c r="A113" s="105"/>
      <c r="B113" s="350" t="s">
        <v>746</v>
      </c>
      <c r="C113" s="323" t="s">
        <v>2073</v>
      </c>
      <c r="D113" s="323" t="s">
        <v>828</v>
      </c>
      <c r="E113" s="326"/>
      <c r="F113" s="337">
        <v>15.0</v>
      </c>
      <c r="G113" s="313" t="s">
        <v>1079</v>
      </c>
      <c r="H113" s="328" t="s">
        <v>33</v>
      </c>
      <c r="I113" s="107"/>
      <c r="J113" s="141"/>
      <c r="K113" s="141"/>
      <c r="L113" s="83"/>
      <c r="M113" s="84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</row>
    <row r="114" ht="15.0" customHeight="1">
      <c r="A114" s="105"/>
      <c r="B114" s="350" t="s">
        <v>746</v>
      </c>
      <c r="C114" s="323" t="s">
        <v>2081</v>
      </c>
      <c r="D114" s="323" t="s">
        <v>1110</v>
      </c>
      <c r="E114" s="371">
        <v>99630.0</v>
      </c>
      <c r="F114" s="326"/>
      <c r="G114" s="327" t="s">
        <v>2067</v>
      </c>
      <c r="H114" s="328" t="s">
        <v>556</v>
      </c>
      <c r="I114" s="107"/>
      <c r="J114" s="141"/>
      <c r="K114" s="141"/>
      <c r="L114" s="83"/>
      <c r="M114" s="84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</row>
    <row r="115" ht="15.0" customHeight="1">
      <c r="A115" s="105"/>
      <c r="B115" s="350" t="s">
        <v>746</v>
      </c>
      <c r="C115" s="323" t="s">
        <v>2081</v>
      </c>
      <c r="D115" s="323" t="s">
        <v>828</v>
      </c>
      <c r="E115" s="326"/>
      <c r="F115" s="337">
        <v>7.53</v>
      </c>
      <c r="G115" s="313" t="s">
        <v>1079</v>
      </c>
      <c r="H115" s="328" t="s">
        <v>33</v>
      </c>
      <c r="I115" s="107"/>
      <c r="J115" s="141"/>
      <c r="K115" s="141"/>
      <c r="L115" s="83"/>
      <c r="M115" s="84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</row>
    <row r="116" ht="15.0" customHeight="1">
      <c r="A116" s="105"/>
      <c r="B116" s="350" t="str">
        <f>B17</f>
        <v>Board Wallet (USDT)</v>
      </c>
      <c r="C116" s="323" t="s">
        <v>2073</v>
      </c>
      <c r="D116" s="323" t="s">
        <v>1110</v>
      </c>
      <c r="E116" s="337">
        <v>95.0</v>
      </c>
      <c r="F116" s="325"/>
      <c r="G116" s="327" t="s">
        <v>2082</v>
      </c>
      <c r="H116" s="328" t="s">
        <v>556</v>
      </c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350" t="str">
        <f>B17</f>
        <v>Board Wallet (USDT)</v>
      </c>
      <c r="C117" s="323" t="s">
        <v>2073</v>
      </c>
      <c r="D117" s="323" t="s">
        <v>1110</v>
      </c>
      <c r="E117" s="337">
        <v>102420.0</v>
      </c>
      <c r="F117" s="325"/>
      <c r="G117" s="327" t="s">
        <v>2082</v>
      </c>
      <c r="H117" s="328" t="s">
        <v>556</v>
      </c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350" t="str">
        <f>B17</f>
        <v>Board Wallet (USDT)</v>
      </c>
      <c r="C118" s="323" t="s">
        <v>2077</v>
      </c>
      <c r="D118" s="323" t="s">
        <v>1110</v>
      </c>
      <c r="E118" s="337"/>
      <c r="F118" s="325">
        <v>100000.0</v>
      </c>
      <c r="G118" s="327" t="s">
        <v>2067</v>
      </c>
      <c r="H118" s="328" t="s">
        <v>556</v>
      </c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 t="str">
        <f>B9</f>
        <v>기업 #019</v>
      </c>
      <c r="C119" s="323" t="s">
        <v>2083</v>
      </c>
      <c r="D119" s="323" t="s">
        <v>1981</v>
      </c>
      <c r="E119" s="337"/>
      <c r="F119" s="325">
        <v>20000.0</v>
      </c>
      <c r="G119" s="327" t="s">
        <v>1035</v>
      </c>
      <c r="H119" s="328" t="s">
        <v>556</v>
      </c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 t="str">
        <f>B5</f>
        <v>신한 #672</v>
      </c>
      <c r="C120" s="323" t="s">
        <v>2083</v>
      </c>
      <c r="D120" s="323" t="s">
        <v>1981</v>
      </c>
      <c r="E120" s="325">
        <v>20000.0</v>
      </c>
      <c r="F120" s="325"/>
      <c r="G120" s="327" t="s">
        <v>1035</v>
      </c>
      <c r="H120" s="328" t="s">
        <v>556</v>
      </c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 t="str">
        <f>B5</f>
        <v>신한 #672</v>
      </c>
      <c r="C121" s="323" t="s">
        <v>2084</v>
      </c>
      <c r="D121" s="282" t="s">
        <v>920</v>
      </c>
      <c r="E121" s="291"/>
      <c r="F121" s="326">
        <v>77550.0</v>
      </c>
      <c r="G121" s="327" t="s">
        <v>1006</v>
      </c>
      <c r="H121" s="328" t="s">
        <v>33</v>
      </c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398" t="s">
        <v>746</v>
      </c>
      <c r="C122" s="399" t="s">
        <v>2084</v>
      </c>
      <c r="D122" s="399" t="s">
        <v>2085</v>
      </c>
      <c r="E122" s="400">
        <v>98.37</v>
      </c>
      <c r="F122" s="401"/>
      <c r="G122" s="402" t="s">
        <v>2086</v>
      </c>
      <c r="H122" s="398" t="s">
        <v>2035</v>
      </c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350" t="s">
        <v>746</v>
      </c>
      <c r="C123" s="323" t="s">
        <v>2084</v>
      </c>
      <c r="D123" s="323" t="s">
        <v>2087</v>
      </c>
      <c r="E123" s="325"/>
      <c r="F123" s="337">
        <v>104156.77</v>
      </c>
      <c r="G123" s="327" t="s">
        <v>2088</v>
      </c>
      <c r="H123" s="328" t="s">
        <v>33</v>
      </c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350" t="s">
        <v>746</v>
      </c>
      <c r="C124" s="323" t="s">
        <v>2084</v>
      </c>
      <c r="D124" s="323" t="s">
        <v>1433</v>
      </c>
      <c r="E124" s="326"/>
      <c r="F124" s="403">
        <v>22.91</v>
      </c>
      <c r="G124" s="327" t="s">
        <v>1565</v>
      </c>
      <c r="H124" s="328" t="s">
        <v>33</v>
      </c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350" t="s">
        <v>746</v>
      </c>
      <c r="C125" s="323" t="s">
        <v>2084</v>
      </c>
      <c r="D125" s="323" t="s">
        <v>1433</v>
      </c>
      <c r="E125" s="326"/>
      <c r="F125" s="403">
        <v>15.0</v>
      </c>
      <c r="G125" s="327" t="s">
        <v>1565</v>
      </c>
      <c r="H125" s="328" t="s">
        <v>33</v>
      </c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350" t="s">
        <v>746</v>
      </c>
      <c r="C126" s="323" t="s">
        <v>2084</v>
      </c>
      <c r="D126" s="323" t="s">
        <v>2089</v>
      </c>
      <c r="E126" s="325"/>
      <c r="F126" s="404">
        <v>120.84</v>
      </c>
      <c r="G126" s="327" t="s">
        <v>2090</v>
      </c>
      <c r="H126" s="328" t="s">
        <v>930</v>
      </c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350" t="s">
        <v>746</v>
      </c>
      <c r="C127" s="323" t="s">
        <v>2084</v>
      </c>
      <c r="D127" s="323" t="s">
        <v>1433</v>
      </c>
      <c r="E127" s="325"/>
      <c r="F127" s="404">
        <v>22.91</v>
      </c>
      <c r="G127" s="327" t="s">
        <v>1565</v>
      </c>
      <c r="H127" s="328" t="s">
        <v>33</v>
      </c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350" t="s">
        <v>746</v>
      </c>
      <c r="C128" s="323" t="s">
        <v>2084</v>
      </c>
      <c r="D128" s="323" t="s">
        <v>1433</v>
      </c>
      <c r="E128" s="325"/>
      <c r="F128" s="404">
        <v>15.0</v>
      </c>
      <c r="G128" s="327" t="s">
        <v>1565</v>
      </c>
      <c r="H128" s="328" t="s">
        <v>33</v>
      </c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 t="str">
        <f>B13</f>
        <v>WISE SGD</v>
      </c>
      <c r="C129" s="323" t="s">
        <v>2080</v>
      </c>
      <c r="D129" s="323" t="s">
        <v>1607</v>
      </c>
      <c r="E129" s="326"/>
      <c r="F129" s="403">
        <v>130.8</v>
      </c>
      <c r="G129" s="327" t="s">
        <v>2091</v>
      </c>
      <c r="H129" s="328" t="s">
        <v>33</v>
      </c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 t="str">
        <f>B12</f>
        <v>WISE USD</v>
      </c>
      <c r="C130" s="323" t="s">
        <v>2092</v>
      </c>
      <c r="D130" s="323" t="s">
        <v>1816</v>
      </c>
      <c r="E130" s="325"/>
      <c r="F130" s="404">
        <v>220.0</v>
      </c>
      <c r="G130" s="327" t="s">
        <v>1068</v>
      </c>
      <c r="H130" s="328" t="s">
        <v>33</v>
      </c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350" t="s">
        <v>747</v>
      </c>
      <c r="C131" s="323" t="s">
        <v>2084</v>
      </c>
      <c r="D131" s="323" t="s">
        <v>1433</v>
      </c>
      <c r="E131" s="325"/>
      <c r="F131" s="404">
        <v>15.0</v>
      </c>
      <c r="G131" s="327" t="s">
        <v>1565</v>
      </c>
      <c r="H131" s="328" t="s">
        <v>33</v>
      </c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350" t="s">
        <v>1962</v>
      </c>
      <c r="C132" s="323" t="s">
        <v>2084</v>
      </c>
      <c r="D132" s="323" t="s">
        <v>1110</v>
      </c>
      <c r="E132" s="337">
        <v>95.0</v>
      </c>
      <c r="F132" s="325"/>
      <c r="G132" s="327" t="s">
        <v>2082</v>
      </c>
      <c r="H132" s="328" t="s">
        <v>556</v>
      </c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350" t="s">
        <v>1962</v>
      </c>
      <c r="C133" s="323" t="s">
        <v>2084</v>
      </c>
      <c r="D133" s="323" t="s">
        <v>1110</v>
      </c>
      <c r="E133" s="337">
        <v>17667.173569</v>
      </c>
      <c r="F133" s="325"/>
      <c r="G133" s="327" t="s">
        <v>2082</v>
      </c>
      <c r="H133" s="328" t="s">
        <v>556</v>
      </c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B139" s="281"/>
      <c r="C139" s="282"/>
      <c r="D139" s="282"/>
      <c r="E139" s="291"/>
      <c r="F139" s="292"/>
      <c r="G139" s="313"/>
      <c r="H139" s="286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B140" s="281"/>
      <c r="C140" s="282"/>
      <c r="D140" s="282"/>
      <c r="E140" s="291"/>
      <c r="F140" s="292"/>
      <c r="G140" s="313"/>
      <c r="H140" s="286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B141" s="281"/>
      <c r="C141" s="282"/>
      <c r="D141" s="282"/>
      <c r="E141" s="291"/>
      <c r="F141" s="292"/>
      <c r="G141" s="313"/>
      <c r="H141" s="286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</sheetData>
  <autoFilter ref="$B$24:$H$141">
    <sortState ref="B24:H141">
      <sortCondition ref="B24:B141"/>
    </sortState>
  </autoFilter>
  <customSheetViews>
    <customSheetView guid="{CD2BF927-9D79-47FC-BBA8-927062D6B3F5}" filter="1" showAutoFilter="1">
      <autoFilter ref="$B$24:$H$141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41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hidden="1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hidden="1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hidden="1" customHeight="1" outlineLevel="1">
      <c r="A3" s="101"/>
      <c r="B3" s="136" t="s">
        <v>3</v>
      </c>
      <c r="C3" s="136"/>
      <c r="D3" s="104"/>
      <c r="E3" s="104"/>
      <c r="F3" s="104"/>
      <c r="G3" s="218" t="s">
        <v>2093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hidden="1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51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hidden="1" customHeight="1" outlineLevel="1">
      <c r="A5" s="105"/>
      <c r="B5" s="224" t="s">
        <v>14</v>
      </c>
      <c r="C5" s="225" t="s">
        <v>15</v>
      </c>
      <c r="D5" s="226">
        <f>'24.10월'!G5</f>
        <v>12864</v>
      </c>
      <c r="E5" s="355">
        <f t="shared" ref="E5:E17" si="1">sumif($B$25:$B$175,B5,$E$25:$E$175)</f>
        <v>27373270</v>
      </c>
      <c r="F5" s="356">
        <f t="shared" ref="F5:F17" si="2">sumif($B$25:$B$175,B5,$F$25:$F$175)</f>
        <v>26826679</v>
      </c>
      <c r="G5" s="229">
        <f t="shared" ref="G5:G17" si="3">D5+E5-F5</f>
        <v>559455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hidden="1" customHeight="1" outlineLevel="1">
      <c r="A6" s="105"/>
      <c r="B6" s="230" t="s">
        <v>551</v>
      </c>
      <c r="C6" s="231" t="s">
        <v>19</v>
      </c>
      <c r="D6" s="232">
        <f>'24.10월'!G6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hidden="1" customHeight="1" outlineLevel="1">
      <c r="A7" s="105"/>
      <c r="B7" s="230" t="s">
        <v>552</v>
      </c>
      <c r="C7" s="380" t="s">
        <v>15</v>
      </c>
      <c r="D7" s="381">
        <f>'24.10월'!G7</f>
        <v>37156</v>
      </c>
      <c r="E7" s="359">
        <f t="shared" si="1"/>
        <v>165388715</v>
      </c>
      <c r="F7" s="360">
        <f t="shared" si="2"/>
        <v>164942563</v>
      </c>
      <c r="G7" s="239">
        <f t="shared" si="3"/>
        <v>483308</v>
      </c>
      <c r="H7" s="125"/>
      <c r="I7" s="105"/>
      <c r="J7" s="105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hidden="1" customHeight="1" outlineLevel="1">
      <c r="A8" s="105"/>
      <c r="B8" s="230" t="s">
        <v>553</v>
      </c>
      <c r="C8" s="231" t="s">
        <v>19</v>
      </c>
      <c r="D8" s="232">
        <f>'24.10월'!G8</f>
        <v>0</v>
      </c>
      <c r="E8" s="361">
        <f t="shared" si="1"/>
        <v>119982.85</v>
      </c>
      <c r="F8" s="358">
        <f t="shared" si="2"/>
        <v>119982.85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hidden="1" customHeight="1" outlineLevel="1">
      <c r="A9" s="105"/>
      <c r="B9" s="230" t="s">
        <v>1582</v>
      </c>
      <c r="C9" s="231" t="s">
        <v>15</v>
      </c>
      <c r="D9" s="381">
        <f>'24.10월'!G9</f>
        <v>19614</v>
      </c>
      <c r="E9" s="359">
        <f t="shared" si="1"/>
        <v>157105704</v>
      </c>
      <c r="F9" s="360">
        <f t="shared" si="2"/>
        <v>146627590</v>
      </c>
      <c r="G9" s="239">
        <f t="shared" si="3"/>
        <v>10497728</v>
      </c>
      <c r="H9" s="405">
        <f>(G5+G7+G9)/J3</f>
        <v>7836.147957</v>
      </c>
      <c r="I9" s="373"/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hidden="1" customHeight="1" outlineLevel="1">
      <c r="A10" s="105"/>
      <c r="B10" s="230" t="s">
        <v>1584</v>
      </c>
      <c r="C10" s="231" t="s">
        <v>15</v>
      </c>
      <c r="D10" s="381">
        <f>'24.10월'!G10</f>
        <v>0</v>
      </c>
      <c r="E10" s="359">
        <f t="shared" si="1"/>
        <v>0</v>
      </c>
      <c r="F10" s="360">
        <f t="shared" si="2"/>
        <v>0</v>
      </c>
      <c r="G10" s="239">
        <f t="shared" si="3"/>
        <v>0</v>
      </c>
      <c r="H10" s="351"/>
      <c r="I10" s="373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hidden="1" customHeight="1" outlineLevel="1">
      <c r="A11" s="105"/>
      <c r="B11" s="230" t="s">
        <v>1586</v>
      </c>
      <c r="C11" s="231" t="s">
        <v>19</v>
      </c>
      <c r="D11" s="232">
        <f>'24.10월'!G11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125"/>
      <c r="I11" s="373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hidden="1" customHeight="1" outlineLevel="1">
      <c r="A12" s="105"/>
      <c r="B12" s="230" t="s">
        <v>18</v>
      </c>
      <c r="C12" s="231" t="s">
        <v>19</v>
      </c>
      <c r="D12" s="232">
        <f>'24.10월'!G12</f>
        <v>2964.14</v>
      </c>
      <c r="E12" s="361">
        <f t="shared" si="1"/>
        <v>0</v>
      </c>
      <c r="F12" s="362">
        <f t="shared" si="2"/>
        <v>2754.64</v>
      </c>
      <c r="G12" s="329">
        <f t="shared" si="3"/>
        <v>209.5</v>
      </c>
      <c r="H12" s="351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hidden="1" customHeight="1" outlineLevel="1">
      <c r="A13" s="105"/>
      <c r="B13" s="230" t="s">
        <v>22</v>
      </c>
      <c r="C13" s="231" t="s">
        <v>23</v>
      </c>
      <c r="D13" s="232">
        <f>'24.10월'!G13</f>
        <v>406.51</v>
      </c>
      <c r="E13" s="363">
        <f t="shared" si="1"/>
        <v>15695.09</v>
      </c>
      <c r="F13" s="364">
        <f t="shared" si="2"/>
        <v>88</v>
      </c>
      <c r="G13" s="320">
        <f t="shared" si="3"/>
        <v>16013.6</v>
      </c>
      <c r="H13" s="351"/>
      <c r="I13" s="373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hidden="1" customHeight="1" outlineLevel="1">
      <c r="A14" s="105"/>
      <c r="B14" s="230" t="s">
        <v>26</v>
      </c>
      <c r="C14" s="231" t="s">
        <v>15</v>
      </c>
      <c r="D14" s="381">
        <f>'24.10월'!G14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hidden="1" customHeight="1" outlineLevel="1">
      <c r="A15" s="105"/>
      <c r="B15" s="230" t="s">
        <v>746</v>
      </c>
      <c r="C15" s="231" t="s">
        <v>19</v>
      </c>
      <c r="D15" s="232">
        <f>'24.10월'!G15</f>
        <v>106708.33</v>
      </c>
      <c r="E15" s="361">
        <f t="shared" si="1"/>
        <v>69815</v>
      </c>
      <c r="F15" s="358">
        <f t="shared" si="2"/>
        <v>168450.24</v>
      </c>
      <c r="G15" s="235">
        <f t="shared" si="3"/>
        <v>8073.09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hidden="1" customHeight="1" outlineLevel="1">
      <c r="A16" s="105"/>
      <c r="B16" s="305" t="s">
        <v>747</v>
      </c>
      <c r="C16" s="306" t="s">
        <v>23</v>
      </c>
      <c r="D16" s="366">
        <f>'24.10월'!G16</f>
        <v>275.01</v>
      </c>
      <c r="E16" s="366">
        <f t="shared" si="1"/>
        <v>12786.33</v>
      </c>
      <c r="F16" s="367">
        <f t="shared" si="2"/>
        <v>7230.15</v>
      </c>
      <c r="G16" s="310">
        <f t="shared" si="3"/>
        <v>5831.19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hidden="1" customHeight="1" outlineLevel="1">
      <c r="A17" s="105"/>
      <c r="B17" s="406" t="s">
        <v>1962</v>
      </c>
      <c r="C17" s="407" t="s">
        <v>19</v>
      </c>
      <c r="D17" s="408">
        <f>'24.10월'!G17</f>
        <v>20716.50501</v>
      </c>
      <c r="E17" s="409">
        <f t="shared" si="1"/>
        <v>83395.54029</v>
      </c>
      <c r="F17" s="410">
        <f t="shared" si="2"/>
        <v>72800</v>
      </c>
      <c r="G17" s="411">
        <f t="shared" si="3"/>
        <v>31312.0453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hidden="1" outlineLevel="1">
      <c r="A18" s="109"/>
      <c r="B18" s="259" t="s">
        <v>35</v>
      </c>
      <c r="C18" s="260"/>
      <c r="D18" s="261">
        <f t="shared" ref="D18:G18" si="4">D5+D7+D14+D9+D10</f>
        <v>69634</v>
      </c>
      <c r="E18" s="262">
        <f t="shared" si="4"/>
        <v>349867689</v>
      </c>
      <c r="F18" s="263">
        <f t="shared" si="4"/>
        <v>338396832</v>
      </c>
      <c r="G18" s="345">
        <f t="shared" si="4"/>
        <v>11540491</v>
      </c>
      <c r="H18" s="353">
        <f>G18</f>
        <v>11540491</v>
      </c>
      <c r="I18" s="353">
        <f>D18</f>
        <v>69634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idden="1" outlineLevel="1">
      <c r="A19" s="109"/>
      <c r="B19" s="266" t="s">
        <v>38</v>
      </c>
      <c r="C19" s="267"/>
      <c r="D19" s="268">
        <f t="shared" ref="D19:G19" si="5">D6+D8+D12+D15+D11+D17</f>
        <v>130391.285</v>
      </c>
      <c r="E19" s="269">
        <f t="shared" si="5"/>
        <v>273193.3903</v>
      </c>
      <c r="F19" s="270">
        <f t="shared" si="5"/>
        <v>363987.73</v>
      </c>
      <c r="G19" s="346">
        <f t="shared" si="5"/>
        <v>39596.9453</v>
      </c>
      <c r="H19" s="265">
        <f>rounddown(G19*$J$3,0)</f>
        <v>58315411</v>
      </c>
      <c r="I19" s="265">
        <f>rounddown(D19*$J$3,0)</f>
        <v>192030505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hidden="1" outlineLevel="1">
      <c r="A20" s="109"/>
      <c r="B20" s="272" t="s">
        <v>677</v>
      </c>
      <c r="C20" s="273"/>
      <c r="D20" s="274">
        <f t="shared" ref="D20:G20" si="6">D13+D16</f>
        <v>681.52</v>
      </c>
      <c r="E20" s="274">
        <f t="shared" si="6"/>
        <v>28481.42</v>
      </c>
      <c r="F20" s="275">
        <f t="shared" si="6"/>
        <v>7318.15</v>
      </c>
      <c r="G20" s="347">
        <f t="shared" si="6"/>
        <v>21844.79</v>
      </c>
      <c r="H20" s="277">
        <f>rounddown(G20*$J$4,0)</f>
        <v>24987927</v>
      </c>
      <c r="I20" s="277">
        <f>rounddown(D20*$J$4,0)</f>
        <v>779580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hidden="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94843829</v>
      </c>
      <c r="I21" s="279">
        <f t="shared" si="7"/>
        <v>192879719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 collapsed="1">
      <c r="A22" s="115"/>
      <c r="B22" s="280"/>
      <c r="C22" s="280"/>
      <c r="D22" s="280"/>
      <c r="E22" s="311"/>
      <c r="F22" s="311"/>
      <c r="G22" s="280"/>
      <c r="H22" s="336">
        <f>H21-I21</f>
        <v>-98035890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-66567.68236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">
        <v>746</v>
      </c>
      <c r="C25" s="323" t="s">
        <v>2094</v>
      </c>
      <c r="D25" s="323" t="s">
        <v>740</v>
      </c>
      <c r="E25" s="337"/>
      <c r="F25" s="337">
        <v>9386.43</v>
      </c>
      <c r="G25" s="327" t="s">
        <v>2095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">
        <v>746</v>
      </c>
      <c r="C26" s="323" t="s">
        <v>2094</v>
      </c>
      <c r="D26" s="323" t="s">
        <v>1433</v>
      </c>
      <c r="E26" s="325"/>
      <c r="F26" s="337">
        <v>22.88</v>
      </c>
      <c r="G26" s="327" t="s">
        <v>1565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">
        <v>746</v>
      </c>
      <c r="C27" s="323" t="s">
        <v>2094</v>
      </c>
      <c r="D27" s="323" t="s">
        <v>1433</v>
      </c>
      <c r="E27" s="325"/>
      <c r="F27" s="337">
        <v>15.0</v>
      </c>
      <c r="G27" s="327" t="s">
        <v>1565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>B8</f>
        <v>하나 #138</v>
      </c>
      <c r="C28" s="323" t="s">
        <v>2096</v>
      </c>
      <c r="D28" s="323" t="s">
        <v>1110</v>
      </c>
      <c r="E28" s="337">
        <v>49995.0</v>
      </c>
      <c r="F28" s="325"/>
      <c r="G28" s="327" t="s">
        <v>1035</v>
      </c>
      <c r="H28" s="328" t="s">
        <v>556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B12</f>
        <v>WISE USD</v>
      </c>
      <c r="C29" s="323" t="s">
        <v>2094</v>
      </c>
      <c r="D29" s="323" t="s">
        <v>1803</v>
      </c>
      <c r="E29" s="325"/>
      <c r="F29" s="337">
        <v>20.28</v>
      </c>
      <c r="G29" s="327" t="s">
        <v>1719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tr">
        <f>B12</f>
        <v>WISE USD</v>
      </c>
      <c r="C30" s="323" t="s">
        <v>2096</v>
      </c>
      <c r="D30" s="323" t="s">
        <v>2048</v>
      </c>
      <c r="E30" s="325"/>
      <c r="F30" s="337">
        <v>2499.75</v>
      </c>
      <c r="G30" s="327" t="s">
        <v>2049</v>
      </c>
      <c r="H30" s="328" t="s">
        <v>41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B12</f>
        <v>WISE USD</v>
      </c>
      <c r="C31" s="323" t="s">
        <v>2096</v>
      </c>
      <c r="D31" s="323" t="s">
        <v>1072</v>
      </c>
      <c r="E31" s="325"/>
      <c r="F31" s="337">
        <v>14.61</v>
      </c>
      <c r="G31" s="327" t="s">
        <v>1565</v>
      </c>
      <c r="H31" s="328" t="s">
        <v>33</v>
      </c>
      <c r="I31" s="107"/>
      <c r="J31" s="141"/>
      <c r="K31" s="138"/>
      <c r="L31" s="83"/>
      <c r="M31" s="84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">
        <v>1962</v>
      </c>
      <c r="C32" s="323" t="s">
        <v>2096</v>
      </c>
      <c r="D32" s="323" t="s">
        <v>2097</v>
      </c>
      <c r="E32" s="325"/>
      <c r="F32" s="337">
        <v>2800.0</v>
      </c>
      <c r="G32" s="313" t="s">
        <v>2098</v>
      </c>
      <c r="H32" s="328" t="s">
        <v>33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tr">
        <f>B8</f>
        <v>하나 #138</v>
      </c>
      <c r="C33" s="323" t="s">
        <v>2099</v>
      </c>
      <c r="D33" s="323" t="s">
        <v>1981</v>
      </c>
      <c r="E33" s="325"/>
      <c r="F33" s="337">
        <v>49995.0</v>
      </c>
      <c r="G33" s="313" t="s">
        <v>679</v>
      </c>
      <c r="H33" s="328" t="s">
        <v>556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tr">
        <f>B7</f>
        <v>하나 #304</v>
      </c>
      <c r="C34" s="323" t="s">
        <v>2099</v>
      </c>
      <c r="D34" s="323" t="s">
        <v>1981</v>
      </c>
      <c r="E34" s="325">
        <v>6.8310668E7</v>
      </c>
      <c r="F34" s="325"/>
      <c r="G34" s="313" t="s">
        <v>679</v>
      </c>
      <c r="H34" s="328" t="s">
        <v>556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B7</f>
        <v>하나 #304</v>
      </c>
      <c r="C35" s="323" t="s">
        <v>2099</v>
      </c>
      <c r="D35" s="323" t="s">
        <v>1981</v>
      </c>
      <c r="E35" s="325"/>
      <c r="F35" s="325">
        <v>6.8E7</v>
      </c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B7</f>
        <v>하나 #304</v>
      </c>
      <c r="C36" s="323" t="s">
        <v>2099</v>
      </c>
      <c r="D36" s="323" t="s">
        <v>1115</v>
      </c>
      <c r="E36" s="325"/>
      <c r="F36" s="325">
        <v>500.0</v>
      </c>
      <c r="G36" s="327" t="s">
        <v>1565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tr">
        <f>B9</f>
        <v>기업 #019</v>
      </c>
      <c r="C37" s="323" t="s">
        <v>2099</v>
      </c>
      <c r="D37" s="323" t="s">
        <v>1981</v>
      </c>
      <c r="E37" s="325">
        <v>6.8E7</v>
      </c>
      <c r="F37" s="325"/>
      <c r="G37" s="327" t="s">
        <v>1035</v>
      </c>
      <c r="H37" s="328" t="s">
        <v>556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B9</f>
        <v>기업 #019</v>
      </c>
      <c r="C38" s="323" t="s">
        <v>2099</v>
      </c>
      <c r="D38" s="323" t="s">
        <v>1991</v>
      </c>
      <c r="E38" s="325"/>
      <c r="F38" s="325">
        <v>1.1118584E7</v>
      </c>
      <c r="G38" s="313" t="s">
        <v>2100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B9</f>
        <v>기업 #019</v>
      </c>
      <c r="C39" s="323" t="s">
        <v>2099</v>
      </c>
      <c r="D39" s="323" t="s">
        <v>1991</v>
      </c>
      <c r="E39" s="325"/>
      <c r="F39" s="325">
        <v>28397.0</v>
      </c>
      <c r="G39" s="313" t="s">
        <v>2040</v>
      </c>
      <c r="H39" s="328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B9</f>
        <v>기업 #019</v>
      </c>
      <c r="C40" s="323" t="s">
        <v>2099</v>
      </c>
      <c r="D40" s="323" t="s">
        <v>789</v>
      </c>
      <c r="E40" s="325"/>
      <c r="F40" s="325">
        <v>6225340.0</v>
      </c>
      <c r="G40" s="313" t="s">
        <v>1510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B9</f>
        <v>기업 #019</v>
      </c>
      <c r="C41" s="323" t="s">
        <v>2099</v>
      </c>
      <c r="D41" s="323" t="s">
        <v>1829</v>
      </c>
      <c r="E41" s="325"/>
      <c r="F41" s="325">
        <v>825000.0</v>
      </c>
      <c r="G41" s="313" t="s">
        <v>2101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기업 #019</v>
      </c>
      <c r="C42" s="323" t="s">
        <v>2099</v>
      </c>
      <c r="D42" s="323" t="s">
        <v>1552</v>
      </c>
      <c r="E42" s="326"/>
      <c r="F42" s="326">
        <v>265320.0</v>
      </c>
      <c r="G42" s="313" t="s">
        <v>2102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기업 #019</v>
      </c>
      <c r="C43" s="323" t="s">
        <v>2099</v>
      </c>
      <c r="D43" s="323" t="s">
        <v>1981</v>
      </c>
      <c r="E43" s="325"/>
      <c r="F43" s="325">
        <v>2.0E7</v>
      </c>
      <c r="G43" s="327" t="s">
        <v>1035</v>
      </c>
      <c r="H43" s="328" t="s">
        <v>556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B5</f>
        <v>신한 #672</v>
      </c>
      <c r="C44" s="323" t="s">
        <v>2099</v>
      </c>
      <c r="D44" s="323" t="s">
        <v>1981</v>
      </c>
      <c r="E44" s="325">
        <v>2.0E7</v>
      </c>
      <c r="F44" s="325"/>
      <c r="G44" s="327" t="s">
        <v>1035</v>
      </c>
      <c r="H44" s="328" t="s">
        <v>556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기업 #019</v>
      </c>
      <c r="C45" s="323" t="s">
        <v>2103</v>
      </c>
      <c r="D45" s="323" t="s">
        <v>1297</v>
      </c>
      <c r="E45" s="325"/>
      <c r="F45" s="325">
        <v>6092800.0</v>
      </c>
      <c r="G45" s="313" t="s">
        <v>1521</v>
      </c>
      <c r="H45" s="328" t="s">
        <v>31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기업 #019</v>
      </c>
      <c r="C46" s="323" t="s">
        <v>2103</v>
      </c>
      <c r="D46" s="323" t="s">
        <v>1297</v>
      </c>
      <c r="E46" s="325"/>
      <c r="F46" s="325">
        <v>148900.0</v>
      </c>
      <c r="G46" s="313" t="s">
        <v>1522</v>
      </c>
      <c r="H46" s="328" t="s">
        <v>31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기업 #019</v>
      </c>
      <c r="C47" s="323" t="s">
        <v>2103</v>
      </c>
      <c r="D47" s="323" t="s">
        <v>1299</v>
      </c>
      <c r="E47" s="325"/>
      <c r="F47" s="325">
        <v>624080.0</v>
      </c>
      <c r="G47" s="313" t="s">
        <v>1523</v>
      </c>
      <c r="H47" s="328" t="s">
        <v>31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B9</f>
        <v>기업 #019</v>
      </c>
      <c r="C48" s="323" t="s">
        <v>2103</v>
      </c>
      <c r="D48" s="323" t="s">
        <v>2104</v>
      </c>
      <c r="E48" s="325"/>
      <c r="F48" s="325">
        <v>319110.0</v>
      </c>
      <c r="G48" s="313" t="s">
        <v>2105</v>
      </c>
      <c r="H48" s="328" t="s">
        <v>39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B9</f>
        <v>기업 #019</v>
      </c>
      <c r="C49" s="323" t="s">
        <v>2103</v>
      </c>
      <c r="D49" s="323" t="s">
        <v>119</v>
      </c>
      <c r="E49" s="325"/>
      <c r="F49" s="325">
        <v>24900.0</v>
      </c>
      <c r="G49" s="313" t="s">
        <v>2079</v>
      </c>
      <c r="H49" s="328" t="s">
        <v>4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B9</f>
        <v>기업 #019</v>
      </c>
      <c r="C50" s="323" t="s">
        <v>2103</v>
      </c>
      <c r="D50" s="323" t="s">
        <v>990</v>
      </c>
      <c r="E50" s="326"/>
      <c r="F50" s="326">
        <v>33600.0</v>
      </c>
      <c r="G50" s="313" t="s">
        <v>1667</v>
      </c>
      <c r="H50" s="328" t="s">
        <v>4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B9</f>
        <v>기업 #019</v>
      </c>
      <c r="C51" s="323" t="s">
        <v>2103</v>
      </c>
      <c r="D51" s="323" t="s">
        <v>1858</v>
      </c>
      <c r="E51" s="325"/>
      <c r="F51" s="325">
        <v>21581.0</v>
      </c>
      <c r="G51" s="313" t="s">
        <v>1859</v>
      </c>
      <c r="H51" s="328" t="s">
        <v>4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tr">
        <f>B9</f>
        <v>기업 #019</v>
      </c>
      <c r="C52" s="323" t="s">
        <v>2103</v>
      </c>
      <c r="D52" s="323" t="s">
        <v>115</v>
      </c>
      <c r="E52" s="325"/>
      <c r="F52" s="325">
        <v>22666.0</v>
      </c>
      <c r="G52" s="313" t="s">
        <v>1859</v>
      </c>
      <c r="H52" s="328" t="s">
        <v>4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tr">
        <f>B5</f>
        <v>신한 #672</v>
      </c>
      <c r="C53" s="323" t="s">
        <v>2099</v>
      </c>
      <c r="D53" s="323" t="s">
        <v>2106</v>
      </c>
      <c r="E53" s="325"/>
      <c r="F53" s="325">
        <v>300000.0</v>
      </c>
      <c r="G53" s="327" t="s">
        <v>2107</v>
      </c>
      <c r="H53" s="328" t="s">
        <v>1640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tr">
        <f>B5</f>
        <v>신한 #672</v>
      </c>
      <c r="C54" s="323" t="s">
        <v>2108</v>
      </c>
      <c r="D54" s="323" t="s">
        <v>1008</v>
      </c>
      <c r="E54" s="325">
        <v>6373270.0</v>
      </c>
      <c r="F54" s="325"/>
      <c r="G54" s="327" t="s">
        <v>1415</v>
      </c>
      <c r="H54" s="328" t="s">
        <v>36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">
        <v>746</v>
      </c>
      <c r="C55" s="323" t="s">
        <v>2096</v>
      </c>
      <c r="D55" s="323" t="s">
        <v>1981</v>
      </c>
      <c r="E55" s="337"/>
      <c r="F55" s="325">
        <v>50000.0</v>
      </c>
      <c r="G55" s="327" t="s">
        <v>1035</v>
      </c>
      <c r="H55" s="328" t="s">
        <v>556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">
        <v>746</v>
      </c>
      <c r="C56" s="323" t="s">
        <v>2096</v>
      </c>
      <c r="D56" s="323" t="s">
        <v>1433</v>
      </c>
      <c r="E56" s="325"/>
      <c r="F56" s="337">
        <v>22.9</v>
      </c>
      <c r="G56" s="327" t="s">
        <v>1565</v>
      </c>
      <c r="H56" s="328" t="s">
        <v>33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50" t="s">
        <v>746</v>
      </c>
      <c r="C57" s="323" t="s">
        <v>2096</v>
      </c>
      <c r="D57" s="323" t="s">
        <v>1433</v>
      </c>
      <c r="E57" s="325"/>
      <c r="F57" s="337">
        <v>15.0</v>
      </c>
      <c r="G57" s="327" t="s">
        <v>1565</v>
      </c>
      <c r="H57" s="328" t="s">
        <v>33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412" t="s">
        <v>746</v>
      </c>
      <c r="C58" s="413" t="s">
        <v>2096</v>
      </c>
      <c r="D58" s="413" t="s">
        <v>2109</v>
      </c>
      <c r="E58" s="414"/>
      <c r="F58" s="404">
        <v>9938.84</v>
      </c>
      <c r="G58" s="415" t="s">
        <v>2110</v>
      </c>
      <c r="H58" s="412" t="s">
        <v>31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50" t="str">
        <f>B5</f>
        <v>신한 #672</v>
      </c>
      <c r="C59" s="323" t="s">
        <v>2111</v>
      </c>
      <c r="D59" s="323" t="s">
        <v>2112</v>
      </c>
      <c r="E59" s="337"/>
      <c r="F59" s="325">
        <v>630420.0</v>
      </c>
      <c r="G59" s="327" t="s">
        <v>2053</v>
      </c>
      <c r="H59" s="328" t="s">
        <v>31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50" t="str">
        <f>B5</f>
        <v>신한 #672</v>
      </c>
      <c r="C60" s="323" t="s">
        <v>2111</v>
      </c>
      <c r="D60" s="323" t="s">
        <v>2113</v>
      </c>
      <c r="E60" s="337"/>
      <c r="F60" s="325">
        <v>8194980.0</v>
      </c>
      <c r="G60" s="313" t="s">
        <v>2054</v>
      </c>
      <c r="H60" s="328" t="s">
        <v>31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 t="str">
        <f>B5</f>
        <v>신한 #672</v>
      </c>
      <c r="C61" s="323" t="s">
        <v>2111</v>
      </c>
      <c r="D61" s="323" t="s">
        <v>2114</v>
      </c>
      <c r="E61" s="337"/>
      <c r="F61" s="325">
        <v>1756660.0</v>
      </c>
      <c r="G61" s="313" t="s">
        <v>2055</v>
      </c>
      <c r="H61" s="328" t="s">
        <v>31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tr">
        <f>B5</f>
        <v>신한 #672</v>
      </c>
      <c r="C62" s="323" t="s">
        <v>2111</v>
      </c>
      <c r="D62" s="323" t="s">
        <v>2115</v>
      </c>
      <c r="E62" s="337"/>
      <c r="F62" s="325">
        <v>8907620.0</v>
      </c>
      <c r="G62" s="327" t="s">
        <v>2056</v>
      </c>
      <c r="H62" s="328" t="s">
        <v>31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416" t="s">
        <v>1962</v>
      </c>
      <c r="C63" s="417" t="s">
        <v>2111</v>
      </c>
      <c r="D63" s="418" t="s">
        <v>2116</v>
      </c>
      <c r="E63" s="375">
        <v>10.67</v>
      </c>
      <c r="F63" s="375"/>
      <c r="G63" s="419" t="s">
        <v>2117</v>
      </c>
      <c r="H63" s="328" t="s">
        <v>556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416" t="s">
        <v>1962</v>
      </c>
      <c r="C64" s="417" t="s">
        <v>2111</v>
      </c>
      <c r="D64" s="418" t="s">
        <v>2118</v>
      </c>
      <c r="E64" s="375">
        <v>11479.030618</v>
      </c>
      <c r="F64" s="375"/>
      <c r="G64" s="419" t="s">
        <v>2117</v>
      </c>
      <c r="H64" s="328" t="s">
        <v>556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412" t="s">
        <v>747</v>
      </c>
      <c r="C65" s="323" t="s">
        <v>2096</v>
      </c>
      <c r="D65" s="323" t="s">
        <v>1433</v>
      </c>
      <c r="E65" s="325"/>
      <c r="F65" s="337">
        <v>10.0</v>
      </c>
      <c r="G65" s="327" t="s">
        <v>1506</v>
      </c>
      <c r="H65" s="328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412" t="s">
        <v>747</v>
      </c>
      <c r="C66" s="323" t="s">
        <v>2111</v>
      </c>
      <c r="D66" s="413" t="s">
        <v>2109</v>
      </c>
      <c r="E66" s="337">
        <v>12786.33</v>
      </c>
      <c r="F66" s="337"/>
      <c r="G66" s="327" t="s">
        <v>2119</v>
      </c>
      <c r="H66" s="412" t="s">
        <v>31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412" t="s">
        <v>747</v>
      </c>
      <c r="C67" s="323" t="s">
        <v>2120</v>
      </c>
      <c r="D67" s="413" t="s">
        <v>2109</v>
      </c>
      <c r="E67" s="325"/>
      <c r="F67" s="337">
        <v>7020.15</v>
      </c>
      <c r="G67" s="327" t="s">
        <v>2121</v>
      </c>
      <c r="H67" s="412" t="s">
        <v>31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412" t="s">
        <v>747</v>
      </c>
      <c r="C68" s="323" t="s">
        <v>2122</v>
      </c>
      <c r="D68" s="413" t="s">
        <v>2109</v>
      </c>
      <c r="E68" s="325"/>
      <c r="F68" s="337">
        <v>200.0</v>
      </c>
      <c r="G68" s="327" t="s">
        <v>2123</v>
      </c>
      <c r="H68" s="412" t="s">
        <v>31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 t="str">
        <f>B9</f>
        <v>기업 #019</v>
      </c>
      <c r="C69" s="323" t="s">
        <v>2124</v>
      </c>
      <c r="D69" s="374" t="s">
        <v>84</v>
      </c>
      <c r="E69" s="325"/>
      <c r="F69" s="325">
        <v>961846.0</v>
      </c>
      <c r="G69" s="327" t="s">
        <v>1660</v>
      </c>
      <c r="H69" s="286" t="s">
        <v>1642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tr">
        <f>B9</f>
        <v>기업 #019</v>
      </c>
      <c r="C70" s="323" t="s">
        <v>2124</v>
      </c>
      <c r="D70" s="374" t="s">
        <v>1619</v>
      </c>
      <c r="E70" s="325">
        <v>1204.0</v>
      </c>
      <c r="F70" s="325"/>
      <c r="G70" s="327" t="s">
        <v>906</v>
      </c>
      <c r="H70" s="286" t="s">
        <v>75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350" t="str">
        <f>B9</f>
        <v>기업 #019</v>
      </c>
      <c r="C71" s="323" t="s">
        <v>2124</v>
      </c>
      <c r="D71" s="323" t="s">
        <v>2104</v>
      </c>
      <c r="E71" s="325"/>
      <c r="F71" s="325">
        <v>116040.0</v>
      </c>
      <c r="G71" s="327" t="s">
        <v>2105</v>
      </c>
      <c r="H71" s="328" t="s">
        <v>39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350" t="str">
        <f>B9</f>
        <v>기업 #019</v>
      </c>
      <c r="C72" s="323" t="s">
        <v>2124</v>
      </c>
      <c r="D72" s="323" t="s">
        <v>112</v>
      </c>
      <c r="E72" s="325"/>
      <c r="F72" s="325">
        <v>200000.0</v>
      </c>
      <c r="G72" s="327" t="s">
        <v>2125</v>
      </c>
      <c r="H72" s="328" t="s">
        <v>1327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350" t="str">
        <f>B9</f>
        <v>기업 #019</v>
      </c>
      <c r="C73" s="323" t="s">
        <v>2124</v>
      </c>
      <c r="D73" s="323" t="s">
        <v>113</v>
      </c>
      <c r="E73" s="325"/>
      <c r="F73" s="325">
        <v>200000.0</v>
      </c>
      <c r="G73" s="327" t="s">
        <v>2125</v>
      </c>
      <c r="H73" s="328" t="s">
        <v>1327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B9</f>
        <v>기업 #019</v>
      </c>
      <c r="C74" s="323" t="s">
        <v>2126</v>
      </c>
      <c r="D74" s="374" t="s">
        <v>1214</v>
      </c>
      <c r="E74" s="325">
        <v>104500.0</v>
      </c>
      <c r="F74" s="325"/>
      <c r="G74" s="327" t="s">
        <v>2127</v>
      </c>
      <c r="H74" s="286" t="s">
        <v>4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B9</f>
        <v>기업 #019</v>
      </c>
      <c r="C75" s="323" t="s">
        <v>2126</v>
      </c>
      <c r="D75" s="374" t="s">
        <v>113</v>
      </c>
      <c r="E75" s="325"/>
      <c r="F75" s="325">
        <v>104500.0</v>
      </c>
      <c r="G75" s="327" t="s">
        <v>1667</v>
      </c>
      <c r="H75" s="286" t="s">
        <v>4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350" t="str">
        <f>B13</f>
        <v>WISE SGD</v>
      </c>
      <c r="C76" s="323" t="s">
        <v>2128</v>
      </c>
      <c r="D76" s="323" t="s">
        <v>2068</v>
      </c>
      <c r="E76" s="337">
        <v>15695.09</v>
      </c>
      <c r="F76" s="325"/>
      <c r="G76" s="327" t="s">
        <v>2129</v>
      </c>
      <c r="H76" s="328" t="s">
        <v>2035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350" t="str">
        <f>B13</f>
        <v>WISE SGD</v>
      </c>
      <c r="C77" s="323" t="s">
        <v>2126</v>
      </c>
      <c r="D77" s="323" t="s">
        <v>2071</v>
      </c>
      <c r="E77" s="371"/>
      <c r="F77" s="371">
        <v>88.0</v>
      </c>
      <c r="G77" s="327" t="s">
        <v>1719</v>
      </c>
      <c r="H77" s="328" t="s">
        <v>33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350" t="s">
        <v>1962</v>
      </c>
      <c r="C78" s="323" t="s">
        <v>2130</v>
      </c>
      <c r="D78" s="323" t="s">
        <v>1110</v>
      </c>
      <c r="E78" s="337">
        <v>71811.83967</v>
      </c>
      <c r="F78" s="337"/>
      <c r="G78" s="327" t="s">
        <v>2082</v>
      </c>
      <c r="H78" s="328" t="s">
        <v>556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350" t="s">
        <v>1962</v>
      </c>
      <c r="C79" s="323" t="s">
        <v>2130</v>
      </c>
      <c r="D79" s="323" t="s">
        <v>1110</v>
      </c>
      <c r="E79" s="337">
        <v>94.0</v>
      </c>
      <c r="F79" s="337"/>
      <c r="G79" s="327" t="s">
        <v>2082</v>
      </c>
      <c r="H79" s="328" t="s">
        <v>556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350" t="s">
        <v>1962</v>
      </c>
      <c r="C80" s="323" t="s">
        <v>2130</v>
      </c>
      <c r="D80" s="323" t="s">
        <v>1110</v>
      </c>
      <c r="E80" s="337"/>
      <c r="F80" s="337">
        <v>70000.0</v>
      </c>
      <c r="G80" s="327" t="s">
        <v>2131</v>
      </c>
      <c r="H80" s="328" t="s">
        <v>556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350" t="str">
        <f>B15</f>
        <v>OCBC USD</v>
      </c>
      <c r="C81" s="323" t="s">
        <v>2130</v>
      </c>
      <c r="D81" s="323" t="s">
        <v>1110</v>
      </c>
      <c r="E81" s="337">
        <v>69815.0</v>
      </c>
      <c r="F81" s="337"/>
      <c r="G81" s="327" t="s">
        <v>2067</v>
      </c>
      <c r="H81" s="328" t="s">
        <v>556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350" t="str">
        <f>B15</f>
        <v>OCBC USD</v>
      </c>
      <c r="C82" s="323" t="s">
        <v>2130</v>
      </c>
      <c r="D82" s="323" t="s">
        <v>828</v>
      </c>
      <c r="E82" s="325"/>
      <c r="F82" s="337">
        <v>7.39</v>
      </c>
      <c r="G82" s="327" t="s">
        <v>1565</v>
      </c>
      <c r="H82" s="328" t="s">
        <v>33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350" t="str">
        <f>B15</f>
        <v>OCBC USD</v>
      </c>
      <c r="C83" s="323" t="s">
        <v>2130</v>
      </c>
      <c r="D83" s="323" t="s">
        <v>1981</v>
      </c>
      <c r="E83" s="325"/>
      <c r="F83" s="337">
        <v>70000.0</v>
      </c>
      <c r="G83" s="327" t="s">
        <v>1035</v>
      </c>
      <c r="H83" s="328" t="s">
        <v>556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350" t="str">
        <f>B15</f>
        <v>OCBC USD</v>
      </c>
      <c r="C84" s="323" t="s">
        <v>2130</v>
      </c>
      <c r="D84" s="323" t="s">
        <v>828</v>
      </c>
      <c r="E84" s="337"/>
      <c r="F84" s="337">
        <v>22.52</v>
      </c>
      <c r="G84" s="327" t="s">
        <v>1565</v>
      </c>
      <c r="H84" s="328" t="s">
        <v>33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350" t="str">
        <f>B15</f>
        <v>OCBC USD</v>
      </c>
      <c r="C85" s="323" t="s">
        <v>2130</v>
      </c>
      <c r="D85" s="323" t="s">
        <v>828</v>
      </c>
      <c r="E85" s="337"/>
      <c r="F85" s="337">
        <v>15.0</v>
      </c>
      <c r="G85" s="327" t="s">
        <v>1565</v>
      </c>
      <c r="H85" s="328" t="s">
        <v>33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350" t="str">
        <f>B8</f>
        <v>하나 #138</v>
      </c>
      <c r="C86" s="323" t="s">
        <v>2130</v>
      </c>
      <c r="D86" s="323" t="s">
        <v>1110</v>
      </c>
      <c r="E86" s="337">
        <v>69987.85</v>
      </c>
      <c r="F86" s="325"/>
      <c r="G86" s="327" t="s">
        <v>1035</v>
      </c>
      <c r="H86" s="328" t="s">
        <v>556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 t="str">
        <f>B5</f>
        <v>신한 #672</v>
      </c>
      <c r="C87" s="323" t="s">
        <v>2130</v>
      </c>
      <c r="D87" s="323" t="s">
        <v>1202</v>
      </c>
      <c r="E87" s="326"/>
      <c r="F87" s="326">
        <v>110000.0</v>
      </c>
      <c r="G87" s="327" t="s">
        <v>1202</v>
      </c>
      <c r="H87" s="286" t="s">
        <v>33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350" t="str">
        <f>B8</f>
        <v>하나 #138</v>
      </c>
      <c r="C88" s="323" t="s">
        <v>2132</v>
      </c>
      <c r="D88" s="374" t="s">
        <v>1981</v>
      </c>
      <c r="E88" s="325"/>
      <c r="F88" s="337">
        <v>69987.85</v>
      </c>
      <c r="G88" s="327" t="s">
        <v>679</v>
      </c>
      <c r="H88" s="328" t="s">
        <v>556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350" t="str">
        <f>B7</f>
        <v>하나 #304</v>
      </c>
      <c r="C89" s="323" t="s">
        <v>2132</v>
      </c>
      <c r="D89" s="374" t="s">
        <v>1981</v>
      </c>
      <c r="E89" s="325">
        <v>9.7078047E7</v>
      </c>
      <c r="F89" s="325"/>
      <c r="G89" s="327" t="s">
        <v>679</v>
      </c>
      <c r="H89" s="328" t="s">
        <v>556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350" t="str">
        <f>B7</f>
        <v>하나 #304</v>
      </c>
      <c r="C90" s="323" t="s">
        <v>2132</v>
      </c>
      <c r="D90" s="374" t="s">
        <v>1981</v>
      </c>
      <c r="E90" s="325"/>
      <c r="F90" s="325">
        <v>8.9E7</v>
      </c>
      <c r="G90" s="327" t="s">
        <v>1035</v>
      </c>
      <c r="H90" s="328" t="s">
        <v>556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 t="str">
        <f>B7</f>
        <v>하나 #304</v>
      </c>
      <c r="C91" s="323" t="s">
        <v>2132</v>
      </c>
      <c r="D91" s="374" t="s">
        <v>1115</v>
      </c>
      <c r="E91" s="325"/>
      <c r="F91" s="325">
        <v>500.0</v>
      </c>
      <c r="G91" s="327" t="s">
        <v>1565</v>
      </c>
      <c r="H91" s="328" t="s">
        <v>33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350" t="str">
        <f>B9</f>
        <v>기업 #019</v>
      </c>
      <c r="C92" s="323" t="s">
        <v>2132</v>
      </c>
      <c r="D92" s="374" t="s">
        <v>1981</v>
      </c>
      <c r="E92" s="325">
        <v>8.9E7</v>
      </c>
      <c r="F92" s="325"/>
      <c r="G92" s="327" t="s">
        <v>1035</v>
      </c>
      <c r="H92" s="328" t="s">
        <v>556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350" t="str">
        <f>B9</f>
        <v>기업 #019</v>
      </c>
      <c r="C93" s="323" t="s">
        <v>2132</v>
      </c>
      <c r="D93" s="374" t="s">
        <v>1981</v>
      </c>
      <c r="E93" s="325"/>
      <c r="F93" s="325">
        <v>1000000.0</v>
      </c>
      <c r="G93" s="327" t="s">
        <v>1035</v>
      </c>
      <c r="H93" s="328" t="s">
        <v>556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350" t="str">
        <f>B5</f>
        <v>신한 #672</v>
      </c>
      <c r="C94" s="323" t="s">
        <v>2132</v>
      </c>
      <c r="D94" s="374" t="s">
        <v>1981</v>
      </c>
      <c r="E94" s="325">
        <v>1000000.0</v>
      </c>
      <c r="F94" s="325"/>
      <c r="G94" s="327" t="s">
        <v>1035</v>
      </c>
      <c r="H94" s="328" t="s">
        <v>556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350" t="str">
        <f>B5</f>
        <v>신한 #672</v>
      </c>
      <c r="C95" s="323" t="s">
        <v>2133</v>
      </c>
      <c r="D95" s="323" t="s">
        <v>1633</v>
      </c>
      <c r="E95" s="325"/>
      <c r="F95" s="325">
        <v>6199639.0</v>
      </c>
      <c r="G95" s="327" t="s">
        <v>1634</v>
      </c>
      <c r="H95" s="328" t="s">
        <v>33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350" t="str">
        <f>B7</f>
        <v>하나 #304</v>
      </c>
      <c r="C96" s="323" t="s">
        <v>2133</v>
      </c>
      <c r="D96" s="323" t="s">
        <v>721</v>
      </c>
      <c r="E96" s="325"/>
      <c r="F96" s="325">
        <v>7941563.0</v>
      </c>
      <c r="G96" s="327" t="s">
        <v>1634</v>
      </c>
      <c r="H96" s="328" t="s">
        <v>33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350" t="str">
        <f>B9</f>
        <v>기업 #019</v>
      </c>
      <c r="C97" s="323" t="s">
        <v>2133</v>
      </c>
      <c r="D97" s="323" t="s">
        <v>1669</v>
      </c>
      <c r="E97" s="325"/>
      <c r="F97" s="325">
        <v>3529307.0</v>
      </c>
      <c r="G97" s="327" t="s">
        <v>1634</v>
      </c>
      <c r="H97" s="328" t="s">
        <v>33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350" t="str">
        <f>B5</f>
        <v>신한 #672</v>
      </c>
      <c r="C98" s="323" t="s">
        <v>2133</v>
      </c>
      <c r="D98" s="323" t="s">
        <v>1950</v>
      </c>
      <c r="E98" s="337"/>
      <c r="F98" s="325">
        <v>55930.0</v>
      </c>
      <c r="G98" s="327" t="s">
        <v>1951</v>
      </c>
      <c r="H98" s="328" t="s">
        <v>27</v>
      </c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350" t="str">
        <f>B5</f>
        <v>신한 #672</v>
      </c>
      <c r="C99" s="323" t="s">
        <v>2133</v>
      </c>
      <c r="D99" s="323" t="s">
        <v>497</v>
      </c>
      <c r="E99" s="337"/>
      <c r="F99" s="325">
        <v>330000.0</v>
      </c>
      <c r="G99" s="327" t="s">
        <v>1952</v>
      </c>
      <c r="H99" s="328" t="s">
        <v>33</v>
      </c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 t="str">
        <f>B5</f>
        <v>신한 #672</v>
      </c>
      <c r="C100" s="323" t="s">
        <v>2133</v>
      </c>
      <c r="D100" s="323" t="s">
        <v>1953</v>
      </c>
      <c r="E100" s="337"/>
      <c r="F100" s="325">
        <v>37430.0</v>
      </c>
      <c r="G100" s="327" t="s">
        <v>1038</v>
      </c>
      <c r="H100" s="328" t="s">
        <v>4</v>
      </c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B5</f>
        <v>신한 #672</v>
      </c>
      <c r="C101" s="323" t="s">
        <v>2133</v>
      </c>
      <c r="D101" s="323" t="s">
        <v>1953</v>
      </c>
      <c r="E101" s="337"/>
      <c r="F101" s="325">
        <v>37430.0</v>
      </c>
      <c r="G101" s="327" t="s">
        <v>1038</v>
      </c>
      <c r="H101" s="328" t="s">
        <v>4</v>
      </c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B5</f>
        <v>신한 #672</v>
      </c>
      <c r="C102" s="323" t="s">
        <v>2133</v>
      </c>
      <c r="D102" s="323" t="s">
        <v>1953</v>
      </c>
      <c r="E102" s="337"/>
      <c r="F102" s="325">
        <v>50250.0</v>
      </c>
      <c r="G102" s="327" t="s">
        <v>1040</v>
      </c>
      <c r="H102" s="328" t="s">
        <v>4</v>
      </c>
      <c r="I102" s="141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B5</f>
        <v>신한 #672</v>
      </c>
      <c r="C103" s="323" t="s">
        <v>2133</v>
      </c>
      <c r="D103" s="323" t="s">
        <v>1953</v>
      </c>
      <c r="E103" s="337"/>
      <c r="F103" s="325">
        <v>20660.0</v>
      </c>
      <c r="G103" s="327" t="s">
        <v>1039</v>
      </c>
      <c r="H103" s="328" t="s">
        <v>4</v>
      </c>
      <c r="I103" s="141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B5</f>
        <v>신한 #672</v>
      </c>
      <c r="C104" s="323" t="s">
        <v>2133</v>
      </c>
      <c r="D104" s="323" t="s">
        <v>1953</v>
      </c>
      <c r="E104" s="337"/>
      <c r="F104" s="325">
        <v>20660.0</v>
      </c>
      <c r="G104" s="327" t="s">
        <v>1039</v>
      </c>
      <c r="H104" s="328" t="s">
        <v>4</v>
      </c>
      <c r="I104" s="141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B5</f>
        <v>신한 #672</v>
      </c>
      <c r="C105" s="323" t="s">
        <v>2133</v>
      </c>
      <c r="D105" s="323" t="s">
        <v>1954</v>
      </c>
      <c r="E105" s="337"/>
      <c r="F105" s="325">
        <v>98000.0</v>
      </c>
      <c r="G105" s="327" t="s">
        <v>1047</v>
      </c>
      <c r="H105" s="328" t="s">
        <v>4</v>
      </c>
      <c r="I105" s="141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>B9</f>
        <v>기업 #019</v>
      </c>
      <c r="C106" s="323" t="s">
        <v>2133</v>
      </c>
      <c r="D106" s="323" t="s">
        <v>41</v>
      </c>
      <c r="E106" s="337"/>
      <c r="F106" s="325">
        <v>9.4765619E7</v>
      </c>
      <c r="G106" s="327" t="s">
        <v>1531</v>
      </c>
      <c r="H106" s="328" t="s">
        <v>41</v>
      </c>
      <c r="I106" s="141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 t="shared" ref="B107:B112" si="8">$B$15</f>
        <v>OCBC USD</v>
      </c>
      <c r="C107" s="323" t="s">
        <v>2134</v>
      </c>
      <c r="D107" s="323" t="s">
        <v>2135</v>
      </c>
      <c r="E107" s="337"/>
      <c r="F107" s="337">
        <v>21481.89</v>
      </c>
      <c r="G107" s="327" t="s">
        <v>2136</v>
      </c>
      <c r="H107" s="328" t="s">
        <v>33</v>
      </c>
      <c r="I107" s="141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 t="shared" si="8"/>
        <v>OCBC USD</v>
      </c>
      <c r="C108" s="323" t="s">
        <v>2134</v>
      </c>
      <c r="D108" s="323" t="s">
        <v>828</v>
      </c>
      <c r="E108" s="337"/>
      <c r="F108" s="337">
        <v>15.0</v>
      </c>
      <c r="G108" s="327" t="s">
        <v>1565</v>
      </c>
      <c r="H108" s="328" t="s">
        <v>33</v>
      </c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 t="str">
        <f t="shared" si="8"/>
        <v>OCBC USD</v>
      </c>
      <c r="C109" s="323" t="s">
        <v>2134</v>
      </c>
      <c r="D109" s="323" t="s">
        <v>828</v>
      </c>
      <c r="E109" s="337"/>
      <c r="F109" s="337">
        <v>22.53</v>
      </c>
      <c r="G109" s="327" t="s">
        <v>1565</v>
      </c>
      <c r="H109" s="328" t="s">
        <v>33</v>
      </c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 t="str">
        <f t="shared" si="8"/>
        <v>OCBC USD</v>
      </c>
      <c r="C110" s="323" t="s">
        <v>2134</v>
      </c>
      <c r="D110" s="323" t="s">
        <v>2137</v>
      </c>
      <c r="E110" s="337"/>
      <c r="F110" s="337">
        <v>7447.33</v>
      </c>
      <c r="G110" s="327" t="s">
        <v>2138</v>
      </c>
      <c r="H110" s="328" t="s">
        <v>33</v>
      </c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 t="str">
        <f t="shared" si="8"/>
        <v>OCBC USD</v>
      </c>
      <c r="C111" s="323" t="s">
        <v>2134</v>
      </c>
      <c r="D111" s="323" t="s">
        <v>828</v>
      </c>
      <c r="E111" s="337"/>
      <c r="F111" s="337">
        <v>15.0</v>
      </c>
      <c r="G111" s="327" t="s">
        <v>1565</v>
      </c>
      <c r="H111" s="328" t="s">
        <v>33</v>
      </c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 t="str">
        <f t="shared" si="8"/>
        <v>OCBC USD</v>
      </c>
      <c r="C112" s="323" t="s">
        <v>2134</v>
      </c>
      <c r="D112" s="323" t="s">
        <v>828</v>
      </c>
      <c r="E112" s="337"/>
      <c r="F112" s="337">
        <v>22.53</v>
      </c>
      <c r="G112" s="327" t="s">
        <v>1565</v>
      </c>
      <c r="H112" s="328" t="s">
        <v>33</v>
      </c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 t="str">
        <f>B5</f>
        <v>신한 #672</v>
      </c>
      <c r="C113" s="323" t="s">
        <v>2134</v>
      </c>
      <c r="D113" s="282" t="s">
        <v>920</v>
      </c>
      <c r="E113" s="291"/>
      <c r="F113" s="326">
        <v>77000.0</v>
      </c>
      <c r="G113" s="327" t="s">
        <v>1006</v>
      </c>
      <c r="H113" s="328" t="s">
        <v>33</v>
      </c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350" t="str">
        <f>B12</f>
        <v>WISE USD</v>
      </c>
      <c r="C114" s="323" t="s">
        <v>2139</v>
      </c>
      <c r="D114" s="323" t="s">
        <v>1816</v>
      </c>
      <c r="E114" s="325"/>
      <c r="F114" s="404">
        <v>220.0</v>
      </c>
      <c r="G114" s="327" t="s">
        <v>1068</v>
      </c>
      <c r="H114" s="328" t="s">
        <v>33</v>
      </c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350"/>
      <c r="C115" s="323"/>
      <c r="D115" s="323"/>
      <c r="E115" s="337"/>
      <c r="F115" s="337"/>
      <c r="G115" s="327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350"/>
      <c r="C116" s="323"/>
      <c r="D116" s="323"/>
      <c r="E116" s="326"/>
      <c r="F116" s="403"/>
      <c r="G116" s="327"/>
      <c r="H116" s="328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292"/>
      <c r="G117" s="313"/>
      <c r="H117" s="286"/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84"/>
      <c r="G123" s="313"/>
      <c r="H123" s="286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84"/>
      <c r="G124" s="313"/>
      <c r="H124" s="286"/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92"/>
      <c r="G129" s="313"/>
      <c r="H129" s="286"/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92"/>
      <c r="G130" s="313"/>
      <c r="H130" s="286"/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83"/>
      <c r="M131" s="8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83"/>
      <c r="M132" s="8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I133" s="107"/>
      <c r="J133" s="141"/>
      <c r="K133" s="138"/>
      <c r="L133" s="83"/>
      <c r="M133" s="8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I134" s="107"/>
      <c r="J134" s="141"/>
      <c r="K134" s="138"/>
      <c r="L134" s="83"/>
      <c r="M134" s="84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I135" s="107"/>
      <c r="J135" s="141"/>
      <c r="K135" s="138"/>
      <c r="L135" s="83"/>
      <c r="M135" s="8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I136" s="107"/>
      <c r="J136" s="141"/>
      <c r="K136" s="138"/>
      <c r="L136" s="83"/>
      <c r="M136" s="84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D137" s="420"/>
      <c r="I137" s="107"/>
      <c r="J137" s="141"/>
      <c r="K137" s="141"/>
      <c r="L137" s="83"/>
      <c r="M137" s="84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</row>
    <row r="138" ht="15.0" customHeight="1">
      <c r="A138" s="105"/>
      <c r="I138" s="107"/>
      <c r="J138" s="141"/>
      <c r="K138" s="141"/>
      <c r="L138" s="83"/>
      <c r="M138" s="84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</row>
    <row r="139" ht="15.0" customHeight="1">
      <c r="A139" s="105"/>
      <c r="I139" s="107"/>
      <c r="J139" s="141"/>
      <c r="K139" s="141"/>
      <c r="L139" s="83"/>
      <c r="M139" s="84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</row>
    <row r="140" ht="15.0" customHeight="1">
      <c r="A140" s="105"/>
      <c r="I140" s="107"/>
      <c r="J140" s="141"/>
      <c r="K140" s="141"/>
      <c r="L140" s="83"/>
      <c r="M140" s="84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</row>
    <row r="141" ht="15.0" customHeight="1">
      <c r="A141" s="105"/>
      <c r="I141" s="107"/>
      <c r="J141" s="141"/>
      <c r="K141" s="141"/>
      <c r="L141" s="83"/>
      <c r="M141" s="84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</row>
    <row r="142" ht="15.0" customHeight="1">
      <c r="A142" s="105"/>
      <c r="I142" s="107"/>
      <c r="J142" s="141"/>
      <c r="K142" s="141"/>
      <c r="L142" s="83"/>
      <c r="M142" s="84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</row>
    <row r="143" ht="15.0" customHeight="1">
      <c r="A143" s="105"/>
      <c r="I143" s="107"/>
      <c r="J143" s="141"/>
      <c r="K143" s="141"/>
      <c r="L143" s="83"/>
      <c r="M143" s="84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</row>
    <row r="144" ht="15.0" customHeight="1">
      <c r="A144" s="105"/>
      <c r="I144" s="107"/>
      <c r="J144" s="141"/>
      <c r="K144" s="141"/>
      <c r="L144" s="83"/>
      <c r="M144" s="84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</row>
    <row r="145" ht="15.0" customHeight="1">
      <c r="A145" s="105"/>
      <c r="I145" s="107"/>
      <c r="J145" s="141"/>
      <c r="K145" s="141"/>
      <c r="L145" s="83"/>
      <c r="M145" s="84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</row>
    <row r="146" ht="15.0" customHeight="1">
      <c r="A146" s="105"/>
      <c r="I146" s="107"/>
      <c r="J146" s="141"/>
      <c r="K146" s="141"/>
      <c r="L146" s="83"/>
      <c r="M146" s="84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</row>
    <row r="147" ht="15.0" customHeight="1">
      <c r="A147" s="105"/>
      <c r="I147" s="107"/>
      <c r="J147" s="141"/>
      <c r="K147" s="141"/>
      <c r="L147" s="83"/>
      <c r="M147" s="84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</row>
    <row r="149" ht="15.0" customHeight="1">
      <c r="A149" s="105"/>
      <c r="I149" s="107"/>
      <c r="J149" s="141"/>
      <c r="K149" s="141"/>
      <c r="L149" s="83"/>
      <c r="M149" s="84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</row>
    <row r="150" ht="15.0" customHeight="1">
      <c r="A150" s="105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341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</sheetData>
  <autoFilter ref="$B$24:$H$132">
    <sortState ref="B24:H132">
      <sortCondition ref="B24:B132"/>
    </sortState>
  </autoFilter>
  <customSheetViews>
    <customSheetView guid="{CD2BF927-9D79-47FC-BBA8-927062D6B3F5}" filter="1" showAutoFilter="1">
      <autoFilter ref="$B$24:$H$132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32">
      <formula1>$L:$L</formula1>
    </dataValidation>
  </dataValidations>
  <hyperlinks>
    <hyperlink r:id="rId2" ref="I3"/>
    <hyperlink r:id="rId3" ref="I4"/>
    <hyperlink r:id="rId4" ref="D63"/>
    <hyperlink r:id="rId5" ref="D64"/>
  </hyperlinks>
  <printOptions/>
  <pageMargins bottom="0.75" footer="0.0" header="0.0" left="0.25" right="0.25" top="0.75"/>
  <pageSetup fitToHeight="0" paperSize="9" orientation="portrait"/>
  <drawing r:id="rId6"/>
  <legacyDrawing r:id="rId7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2140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51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'24.11월'!G5</f>
        <v>559455</v>
      </c>
      <c r="E5" s="355">
        <f t="shared" ref="E5:E17" si="1">sumif($B$25:$B$181,B5,$E$25:$E$181)</f>
        <v>24001205</v>
      </c>
      <c r="F5" s="356">
        <f t="shared" ref="F5:F17" si="2">sumif($B$25:$B$181,B5,$F$25:$F$181)</f>
        <v>24319464</v>
      </c>
      <c r="G5" s="229">
        <f t="shared" ref="G5:G17" si="3">D5+E5-F5</f>
        <v>241196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'24.11월'!G6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'24.11월'!G7</f>
        <v>483308</v>
      </c>
      <c r="E7" s="359">
        <f t="shared" si="1"/>
        <v>171594071</v>
      </c>
      <c r="F7" s="360">
        <f t="shared" si="2"/>
        <v>171763468</v>
      </c>
      <c r="G7" s="239">
        <f t="shared" si="3"/>
        <v>313911</v>
      </c>
      <c r="H7" s="125"/>
      <c r="I7" s="105"/>
      <c r="J7" s="421" t="s">
        <v>2141</v>
      </c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'24.11월'!G8</f>
        <v>0</v>
      </c>
      <c r="E8" s="361">
        <f t="shared" si="1"/>
        <v>119883.34</v>
      </c>
      <c r="F8" s="358">
        <f t="shared" si="2"/>
        <v>119883.34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'24.11월'!G9</f>
        <v>10497728</v>
      </c>
      <c r="E9" s="359">
        <f t="shared" si="1"/>
        <v>158001928</v>
      </c>
      <c r="F9" s="360">
        <f t="shared" si="2"/>
        <v>161668125</v>
      </c>
      <c r="G9" s="239">
        <f t="shared" si="3"/>
        <v>6831531</v>
      </c>
      <c r="H9" s="422">
        <f>G5+G7+G9</f>
        <v>7386638</v>
      </c>
      <c r="I9" s="405">
        <f>(G5+G7+G9)/J3</f>
        <v>5015.626135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'24.11월'!G10</f>
        <v>0</v>
      </c>
      <c r="E10" s="359">
        <f t="shared" si="1"/>
        <v>5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'24.11월'!G11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'24.11월'!G12</f>
        <v>209.5</v>
      </c>
      <c r="E12" s="361">
        <f t="shared" si="1"/>
        <v>2500</v>
      </c>
      <c r="F12" s="362">
        <f t="shared" si="2"/>
        <v>2709.5</v>
      </c>
      <c r="G12" s="329">
        <f t="shared" si="3"/>
        <v>-0.0000000001427906682</v>
      </c>
      <c r="H12" s="422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'24.11월'!G13</f>
        <v>16013.6</v>
      </c>
      <c r="E13" s="363">
        <f t="shared" si="1"/>
        <v>6192.54</v>
      </c>
      <c r="F13" s="364">
        <f t="shared" si="2"/>
        <v>3526.27</v>
      </c>
      <c r="G13" s="320">
        <f t="shared" si="3"/>
        <v>18679.87</v>
      </c>
      <c r="H13" s="423">
        <f t="shared" ref="H13:I13" si="4">H11-H9</f>
        <v>-7386638</v>
      </c>
      <c r="I13" s="421">
        <f t="shared" si="4"/>
        <v>-5015.626135</v>
      </c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'24.11월'!G14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'24.11월'!G15</f>
        <v>8073.09</v>
      </c>
      <c r="E15" s="361">
        <f t="shared" si="1"/>
        <v>290167.79</v>
      </c>
      <c r="F15" s="358">
        <f t="shared" si="2"/>
        <v>203131.86</v>
      </c>
      <c r="G15" s="235">
        <f t="shared" si="3"/>
        <v>95109.02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'24.11월'!G16</f>
        <v>5831.19</v>
      </c>
      <c r="E16" s="366">
        <f t="shared" si="1"/>
        <v>1047.85</v>
      </c>
      <c r="F16" s="367">
        <f t="shared" si="2"/>
        <v>1508.4</v>
      </c>
      <c r="G16" s="310">
        <f t="shared" si="3"/>
        <v>5370.64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'24.11월'!G17</f>
        <v>31312.0453</v>
      </c>
      <c r="E17" s="409">
        <f t="shared" si="1"/>
        <v>280344.9117</v>
      </c>
      <c r="F17" s="410">
        <f t="shared" si="2"/>
        <v>292702</v>
      </c>
      <c r="G17" s="411">
        <f t="shared" si="3"/>
        <v>18954.95696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5">D5+D7+D14+D9+D10</f>
        <v>11540491</v>
      </c>
      <c r="E18" s="262">
        <f t="shared" si="5"/>
        <v>353597209</v>
      </c>
      <c r="F18" s="263">
        <f t="shared" si="5"/>
        <v>357751057</v>
      </c>
      <c r="G18" s="345">
        <f t="shared" si="5"/>
        <v>7386643</v>
      </c>
      <c r="H18" s="353">
        <f>G18</f>
        <v>7386643</v>
      </c>
      <c r="I18" s="353">
        <f>D18</f>
        <v>11540491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6">D6+D8+D12+D15+D11+D17</f>
        <v>39596.9453</v>
      </c>
      <c r="E19" s="269">
        <f t="shared" si="6"/>
        <v>692896.0417</v>
      </c>
      <c r="F19" s="270">
        <f t="shared" si="6"/>
        <v>618426.7</v>
      </c>
      <c r="G19" s="346">
        <f t="shared" si="6"/>
        <v>114066.287</v>
      </c>
      <c r="H19" s="265">
        <f>rounddown(G19*$J$3,0)</f>
        <v>167988272</v>
      </c>
      <c r="I19" s="265">
        <f>rounddown(D19*$J$3,0)</f>
        <v>58315411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7">D13+D16</f>
        <v>21844.79</v>
      </c>
      <c r="E20" s="274">
        <f t="shared" si="7"/>
        <v>7240.39</v>
      </c>
      <c r="F20" s="275">
        <f t="shared" si="7"/>
        <v>5034.67</v>
      </c>
      <c r="G20" s="347">
        <f t="shared" si="7"/>
        <v>24050.51</v>
      </c>
      <c r="H20" s="277">
        <f>rounddown(G20*$J$4,0)</f>
        <v>27511017</v>
      </c>
      <c r="I20" s="277">
        <f>rounddown(D20*$J$4,0)</f>
        <v>24987927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8">SUM(H18:H20)</f>
        <v>202885932</v>
      </c>
      <c r="I21" s="279">
        <f t="shared" si="8"/>
        <v>94843829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108042103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73362.035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281" t="str">
        <f t="shared" ref="B25:B28" si="9">$B$17</f>
        <v>Board Wallet (USDT)</v>
      </c>
      <c r="C25" s="323" t="s">
        <v>2142</v>
      </c>
      <c r="D25" s="323" t="s">
        <v>1110</v>
      </c>
      <c r="E25" s="337">
        <v>120069.471662</v>
      </c>
      <c r="F25" s="337"/>
      <c r="G25" s="327" t="s">
        <v>2082</v>
      </c>
      <c r="H25" s="328" t="s">
        <v>556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281" t="str">
        <f t="shared" si="9"/>
        <v>Board Wallet (USDT)</v>
      </c>
      <c r="C26" s="323" t="s">
        <v>2142</v>
      </c>
      <c r="D26" s="323" t="s">
        <v>1110</v>
      </c>
      <c r="E26" s="337">
        <v>93.0</v>
      </c>
      <c r="F26" s="337"/>
      <c r="G26" s="327" t="s">
        <v>2082</v>
      </c>
      <c r="H26" s="328" t="s">
        <v>556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tr">
        <f t="shared" si="9"/>
        <v>Board Wallet (USDT)</v>
      </c>
      <c r="C27" s="323" t="s">
        <v>2142</v>
      </c>
      <c r="D27" s="323" t="s">
        <v>1110</v>
      </c>
      <c r="E27" s="325"/>
      <c r="F27" s="337">
        <v>100.0</v>
      </c>
      <c r="G27" s="327" t="s">
        <v>2131</v>
      </c>
      <c r="H27" s="328" t="s">
        <v>556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tr">
        <f t="shared" si="9"/>
        <v>Board Wallet (USDT)</v>
      </c>
      <c r="C28" s="323" t="s">
        <v>2142</v>
      </c>
      <c r="D28" s="323" t="s">
        <v>1110</v>
      </c>
      <c r="E28" s="325"/>
      <c r="F28" s="337">
        <v>119900.0</v>
      </c>
      <c r="G28" s="327" t="s">
        <v>2131</v>
      </c>
      <c r="H28" s="328" t="s">
        <v>556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tr">
        <f>$B$12</f>
        <v>WISE USD</v>
      </c>
      <c r="C29" s="323" t="s">
        <v>2143</v>
      </c>
      <c r="D29" s="323" t="s">
        <v>1803</v>
      </c>
      <c r="E29" s="325"/>
      <c r="F29" s="337">
        <v>20.28</v>
      </c>
      <c r="G29" s="327" t="s">
        <v>1719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 t="shared" ref="B30:B37" si="10">$B$15</f>
        <v>OCBC USD</v>
      </c>
      <c r="C30" s="323" t="s">
        <v>2144</v>
      </c>
      <c r="D30" s="323" t="s">
        <v>1110</v>
      </c>
      <c r="E30" s="337">
        <v>119690.0</v>
      </c>
      <c r="F30" s="404"/>
      <c r="G30" s="327" t="s">
        <v>2067</v>
      </c>
      <c r="H30" s="328" t="s">
        <v>556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 t="shared" si="10"/>
        <v>OCBC USD</v>
      </c>
      <c r="C31" s="323" t="s">
        <v>2144</v>
      </c>
      <c r="D31" s="323" t="s">
        <v>828</v>
      </c>
      <c r="E31" s="325"/>
      <c r="F31" s="404">
        <v>7.38</v>
      </c>
      <c r="G31" s="327" t="s">
        <v>1565</v>
      </c>
      <c r="H31" s="328" t="s">
        <v>33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 t="shared" si="10"/>
        <v>OCBC USD</v>
      </c>
      <c r="C32" s="323" t="s">
        <v>2144</v>
      </c>
      <c r="D32" s="323" t="s">
        <v>740</v>
      </c>
      <c r="E32" s="337"/>
      <c r="F32" s="404">
        <v>9386.43</v>
      </c>
      <c r="G32" s="327" t="s">
        <v>2145</v>
      </c>
      <c r="H32" s="328" t="s">
        <v>41</v>
      </c>
      <c r="I32" s="107"/>
      <c r="J32" s="141"/>
      <c r="K32" s="138"/>
      <c r="L32" s="83"/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 t="shared" si="10"/>
        <v>OCBC USD</v>
      </c>
      <c r="C33" s="323" t="s">
        <v>2144</v>
      </c>
      <c r="D33" s="323" t="s">
        <v>828</v>
      </c>
      <c r="E33" s="325"/>
      <c r="F33" s="404">
        <v>22.43</v>
      </c>
      <c r="G33" s="327" t="s">
        <v>1565</v>
      </c>
      <c r="H33" s="328" t="s">
        <v>33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 t="shared" si="10"/>
        <v>OCBC USD</v>
      </c>
      <c r="C34" s="323" t="s">
        <v>2144</v>
      </c>
      <c r="D34" s="323" t="s">
        <v>828</v>
      </c>
      <c r="E34" s="325"/>
      <c r="F34" s="404">
        <v>15.0</v>
      </c>
      <c r="G34" s="327" t="s">
        <v>1565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 t="shared" si="10"/>
        <v>OCBC USD</v>
      </c>
      <c r="C35" s="323" t="s">
        <v>2144</v>
      </c>
      <c r="D35" s="323" t="s">
        <v>1981</v>
      </c>
      <c r="E35" s="337"/>
      <c r="F35" s="404">
        <v>50000.0</v>
      </c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 t="shared" si="10"/>
        <v>OCBC USD</v>
      </c>
      <c r="C36" s="323" t="s">
        <v>2144</v>
      </c>
      <c r="D36" s="323" t="s">
        <v>828</v>
      </c>
      <c r="E36" s="325"/>
      <c r="F36" s="404">
        <v>22.43</v>
      </c>
      <c r="G36" s="327" t="s">
        <v>1565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 t="shared" si="10"/>
        <v>OCBC USD</v>
      </c>
      <c r="C37" s="323" t="s">
        <v>2144</v>
      </c>
      <c r="D37" s="323" t="s">
        <v>828</v>
      </c>
      <c r="E37" s="325"/>
      <c r="F37" s="404">
        <v>15.0</v>
      </c>
      <c r="G37" s="327" t="s">
        <v>1565</v>
      </c>
      <c r="H37" s="328" t="s">
        <v>33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412" t="s">
        <v>747</v>
      </c>
      <c r="C38" s="323" t="s">
        <v>2144</v>
      </c>
      <c r="D38" s="323" t="s">
        <v>828</v>
      </c>
      <c r="E38" s="325"/>
      <c r="F38" s="337">
        <v>10.0</v>
      </c>
      <c r="G38" s="327" t="s">
        <v>1506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B13</f>
        <v>WISE SGD</v>
      </c>
      <c r="C39" s="323" t="s">
        <v>2144</v>
      </c>
      <c r="D39" s="323" t="s">
        <v>1110</v>
      </c>
      <c r="E39" s="325"/>
      <c r="F39" s="404">
        <v>3376.79</v>
      </c>
      <c r="G39" s="327" t="s">
        <v>679</v>
      </c>
      <c r="H39" s="328" t="s">
        <v>556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B12</f>
        <v>WISE USD</v>
      </c>
      <c r="C40" s="323" t="s">
        <v>2144</v>
      </c>
      <c r="D40" s="323" t="s">
        <v>1110</v>
      </c>
      <c r="E40" s="325">
        <v>2500.0</v>
      </c>
      <c r="F40" s="404"/>
      <c r="G40" s="327" t="s">
        <v>679</v>
      </c>
      <c r="H40" s="328" t="s">
        <v>556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$B$12</f>
        <v>WISE USD</v>
      </c>
      <c r="C41" s="323" t="s">
        <v>2144</v>
      </c>
      <c r="D41" s="323" t="s">
        <v>2048</v>
      </c>
      <c r="E41" s="325"/>
      <c r="F41" s="404">
        <v>2500.0</v>
      </c>
      <c r="G41" s="327" t="s">
        <v>2146</v>
      </c>
      <c r="H41" s="328" t="s">
        <v>41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412" t="str">
        <f>B12</f>
        <v>WISE USD</v>
      </c>
      <c r="C42" s="323" t="s">
        <v>2144</v>
      </c>
      <c r="D42" s="323" t="s">
        <v>1072</v>
      </c>
      <c r="E42" s="325"/>
      <c r="F42" s="337">
        <v>14.35</v>
      </c>
      <c r="G42" s="327" t="s">
        <v>1073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412" t="s">
        <v>747</v>
      </c>
      <c r="C43" s="323" t="s">
        <v>2147</v>
      </c>
      <c r="D43" s="323" t="s">
        <v>1712</v>
      </c>
      <c r="E43" s="337">
        <v>1047.85</v>
      </c>
      <c r="F43" s="337"/>
      <c r="G43" s="327" t="s">
        <v>2148</v>
      </c>
      <c r="H43" s="328" t="s">
        <v>31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B9</f>
        <v>기업 #019</v>
      </c>
      <c r="C44" s="323" t="s">
        <v>2147</v>
      </c>
      <c r="D44" s="323" t="s">
        <v>2149</v>
      </c>
      <c r="E44" s="337"/>
      <c r="F44" s="404">
        <v>100000.0</v>
      </c>
      <c r="G44" s="327" t="s">
        <v>2150</v>
      </c>
      <c r="H44" s="328" t="s">
        <v>4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기업 #019</v>
      </c>
      <c r="C45" s="323" t="s">
        <v>2151</v>
      </c>
      <c r="D45" s="323" t="s">
        <v>1991</v>
      </c>
      <c r="E45" s="325"/>
      <c r="F45" s="414">
        <v>5119.0</v>
      </c>
      <c r="G45" s="313" t="s">
        <v>2040</v>
      </c>
      <c r="H45" s="328" t="s">
        <v>33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기업 #019</v>
      </c>
      <c r="C46" s="323" t="s">
        <v>2151</v>
      </c>
      <c r="D46" s="323" t="s">
        <v>789</v>
      </c>
      <c r="E46" s="325"/>
      <c r="F46" s="414">
        <v>6116990.0</v>
      </c>
      <c r="G46" s="313" t="s">
        <v>1551</v>
      </c>
      <c r="H46" s="328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기업 #019</v>
      </c>
      <c r="C47" s="323" t="s">
        <v>2151</v>
      </c>
      <c r="D47" s="323" t="s">
        <v>1829</v>
      </c>
      <c r="E47" s="325"/>
      <c r="F47" s="414">
        <v>825000.0</v>
      </c>
      <c r="G47" s="313" t="s">
        <v>872</v>
      </c>
      <c r="H47" s="328" t="s">
        <v>33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B9</f>
        <v>기업 #019</v>
      </c>
      <c r="C48" s="323" t="s">
        <v>2151</v>
      </c>
      <c r="D48" s="323" t="s">
        <v>1552</v>
      </c>
      <c r="E48" s="326"/>
      <c r="F48" s="424">
        <v>275880.0</v>
      </c>
      <c r="G48" s="313" t="s">
        <v>1553</v>
      </c>
      <c r="H48" s="328" t="s">
        <v>33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B9</f>
        <v>기업 #019</v>
      </c>
      <c r="C49" s="323" t="s">
        <v>2151</v>
      </c>
      <c r="D49" s="323" t="s">
        <v>2042</v>
      </c>
      <c r="E49" s="325"/>
      <c r="F49" s="414">
        <v>2970000.0</v>
      </c>
      <c r="G49" s="313" t="s">
        <v>2152</v>
      </c>
      <c r="H49" s="328" t="s">
        <v>33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$B$15</f>
        <v>OCBC USD</v>
      </c>
      <c r="C50" s="323" t="s">
        <v>2151</v>
      </c>
      <c r="D50" s="413" t="s">
        <v>2085</v>
      </c>
      <c r="E50" s="403">
        <v>10887.79</v>
      </c>
      <c r="F50" s="424"/>
      <c r="G50" s="415" t="s">
        <v>2153</v>
      </c>
      <c r="H50" s="412" t="s">
        <v>2035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B5</f>
        <v>신한 #672</v>
      </c>
      <c r="C51" s="323" t="s">
        <v>2151</v>
      </c>
      <c r="D51" s="323" t="s">
        <v>2106</v>
      </c>
      <c r="E51" s="325"/>
      <c r="F51" s="325">
        <v>300000.0</v>
      </c>
      <c r="G51" s="327" t="s">
        <v>2106</v>
      </c>
      <c r="H51" s="328" t="s">
        <v>1640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B8</f>
        <v>하나 #138</v>
      </c>
      <c r="C52" s="323" t="s">
        <v>2144</v>
      </c>
      <c r="D52" s="323" t="s">
        <v>1110</v>
      </c>
      <c r="E52" s="337">
        <v>49995.0</v>
      </c>
      <c r="F52" s="404"/>
      <c r="G52" s="327" t="s">
        <v>1035</v>
      </c>
      <c r="H52" s="328" t="s">
        <v>556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B8</f>
        <v>하나 #138</v>
      </c>
      <c r="C53" s="323" t="s">
        <v>2154</v>
      </c>
      <c r="D53" s="323" t="s">
        <v>1981</v>
      </c>
      <c r="E53" s="325"/>
      <c r="F53" s="337">
        <v>49995.0</v>
      </c>
      <c r="G53" s="313" t="s">
        <v>679</v>
      </c>
      <c r="H53" s="328" t="s">
        <v>556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B7</f>
        <v>하나 #304</v>
      </c>
      <c r="C54" s="323" t="s">
        <v>2154</v>
      </c>
      <c r="D54" s="323" t="s">
        <v>1981</v>
      </c>
      <c r="E54" s="325">
        <v>7.1102889E7</v>
      </c>
      <c r="F54" s="325"/>
      <c r="G54" s="313" t="s">
        <v>679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2154</v>
      </c>
      <c r="D55" s="323" t="s">
        <v>1981</v>
      </c>
      <c r="E55" s="326"/>
      <c r="F55" s="326">
        <v>7.1E7</v>
      </c>
      <c r="G55" s="327" t="s">
        <v>1035</v>
      </c>
      <c r="H55" s="328" t="s">
        <v>556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B7</f>
        <v>하나 #304</v>
      </c>
      <c r="C56" s="323" t="s">
        <v>2154</v>
      </c>
      <c r="D56" s="323" t="s">
        <v>1981</v>
      </c>
      <c r="E56" s="325"/>
      <c r="F56" s="325">
        <v>500.0</v>
      </c>
      <c r="G56" s="313" t="s">
        <v>1073</v>
      </c>
      <c r="H56" s="328" t="s">
        <v>33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50" t="str">
        <f>B9</f>
        <v>기업 #019</v>
      </c>
      <c r="C57" s="323" t="s">
        <v>2154</v>
      </c>
      <c r="D57" s="323" t="s">
        <v>1981</v>
      </c>
      <c r="E57" s="325">
        <v>7.1E7</v>
      </c>
      <c r="F57" s="325"/>
      <c r="G57" s="327" t="s">
        <v>1035</v>
      </c>
      <c r="H57" s="328" t="s">
        <v>556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B9</f>
        <v>기업 #019</v>
      </c>
      <c r="C58" s="323" t="s">
        <v>2154</v>
      </c>
      <c r="D58" s="323" t="s">
        <v>1981</v>
      </c>
      <c r="E58" s="325"/>
      <c r="F58" s="325">
        <v>2.0E7</v>
      </c>
      <c r="G58" s="327" t="s">
        <v>1035</v>
      </c>
      <c r="H58" s="328" t="s">
        <v>556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323" t="s">
        <v>2154</v>
      </c>
      <c r="D59" s="323" t="s">
        <v>1981</v>
      </c>
      <c r="E59" s="325">
        <v>2.0E7</v>
      </c>
      <c r="F59" s="325"/>
      <c r="G59" s="327" t="s">
        <v>1035</v>
      </c>
      <c r="H59" s="328" t="s">
        <v>556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323" t="s">
        <v>2155</v>
      </c>
      <c r="D60" s="323" t="s">
        <v>2156</v>
      </c>
      <c r="E60" s="337"/>
      <c r="F60" s="325">
        <v>640870.0</v>
      </c>
      <c r="G60" s="327" t="s">
        <v>2156</v>
      </c>
      <c r="H60" s="328" t="s">
        <v>31</v>
      </c>
      <c r="I60" s="141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B5</f>
        <v>신한 #672</v>
      </c>
      <c r="C61" s="323" t="s">
        <v>2155</v>
      </c>
      <c r="D61" s="323" t="s">
        <v>2157</v>
      </c>
      <c r="E61" s="337"/>
      <c r="F61" s="325">
        <v>8576840.0</v>
      </c>
      <c r="G61" s="313" t="s">
        <v>2157</v>
      </c>
      <c r="H61" s="328" t="s">
        <v>31</v>
      </c>
      <c r="I61" s="141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323" t="s">
        <v>2155</v>
      </c>
      <c r="D62" s="323" t="s">
        <v>2158</v>
      </c>
      <c r="E62" s="337"/>
      <c r="F62" s="325">
        <v>1825130.0</v>
      </c>
      <c r="G62" s="313" t="s">
        <v>2158</v>
      </c>
      <c r="H62" s="328" t="s">
        <v>31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B5</f>
        <v>신한 #672</v>
      </c>
      <c r="C63" s="323" t="s">
        <v>2155</v>
      </c>
      <c r="D63" s="323" t="s">
        <v>2159</v>
      </c>
      <c r="E63" s="337"/>
      <c r="F63" s="325">
        <v>9115900.0</v>
      </c>
      <c r="G63" s="327" t="s">
        <v>2159</v>
      </c>
      <c r="H63" s="328" t="s">
        <v>31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 t="shared" ref="B64:B66" si="11">$B$17</f>
        <v>Board Wallet (USDT)</v>
      </c>
      <c r="C64" s="323" t="s">
        <v>2155</v>
      </c>
      <c r="D64" s="323" t="s">
        <v>1110</v>
      </c>
      <c r="E64" s="337">
        <v>9900.0</v>
      </c>
      <c r="F64" s="337"/>
      <c r="G64" s="327" t="s">
        <v>2160</v>
      </c>
      <c r="H64" s="328" t="s">
        <v>556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 t="shared" si="11"/>
        <v>Board Wallet (USDT)</v>
      </c>
      <c r="C65" s="323" t="s">
        <v>2155</v>
      </c>
      <c r="D65" s="323" t="s">
        <v>1110</v>
      </c>
      <c r="E65" s="337">
        <v>100.0</v>
      </c>
      <c r="F65" s="337"/>
      <c r="G65" s="327" t="s">
        <v>2160</v>
      </c>
      <c r="H65" s="328" t="s">
        <v>556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 t="shared" si="11"/>
        <v>Board Wallet (USDT)</v>
      </c>
      <c r="C66" s="323" t="s">
        <v>2155</v>
      </c>
      <c r="D66" s="323" t="s">
        <v>1110</v>
      </c>
      <c r="E66" s="337"/>
      <c r="F66" s="337">
        <v>5332.0</v>
      </c>
      <c r="G66" s="327" t="s">
        <v>2161</v>
      </c>
      <c r="H66" s="328" t="s">
        <v>33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B9</f>
        <v>기업 #019</v>
      </c>
      <c r="C67" s="323" t="s">
        <v>2155</v>
      </c>
      <c r="D67" s="323" t="s">
        <v>1297</v>
      </c>
      <c r="E67" s="325"/>
      <c r="F67" s="325">
        <v>6086170.0</v>
      </c>
      <c r="G67" s="313" t="s">
        <v>1560</v>
      </c>
      <c r="H67" s="328" t="s">
        <v>31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350" t="str">
        <f>B9</f>
        <v>기업 #019</v>
      </c>
      <c r="C68" s="323" t="s">
        <v>2155</v>
      </c>
      <c r="D68" s="323" t="s">
        <v>1297</v>
      </c>
      <c r="E68" s="325"/>
      <c r="F68" s="325">
        <v>13500.0</v>
      </c>
      <c r="G68" s="313" t="s">
        <v>2162</v>
      </c>
      <c r="H68" s="328" t="s">
        <v>31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B9</f>
        <v>기업 #019</v>
      </c>
      <c r="C69" s="323" t="s">
        <v>2155</v>
      </c>
      <c r="D69" s="323" t="s">
        <v>1299</v>
      </c>
      <c r="E69" s="325"/>
      <c r="F69" s="325">
        <v>609870.0</v>
      </c>
      <c r="G69" s="313" t="s">
        <v>1562</v>
      </c>
      <c r="H69" s="328" t="s">
        <v>31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tr">
        <f>B9</f>
        <v>기업 #019</v>
      </c>
      <c r="C70" s="323" t="s">
        <v>2155</v>
      </c>
      <c r="D70" s="379" t="s">
        <v>1991</v>
      </c>
      <c r="E70" s="325"/>
      <c r="F70" s="425">
        <v>2.1599999E7</v>
      </c>
      <c r="G70" s="354" t="s">
        <v>2163</v>
      </c>
      <c r="H70" s="328" t="s">
        <v>33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350" t="str">
        <f>B9</f>
        <v>기업 #019</v>
      </c>
      <c r="C71" s="323" t="s">
        <v>2155</v>
      </c>
      <c r="D71" s="323" t="s">
        <v>119</v>
      </c>
      <c r="E71" s="337"/>
      <c r="F71" s="325">
        <v>14167.0</v>
      </c>
      <c r="G71" s="426" t="s">
        <v>1859</v>
      </c>
      <c r="H71" s="328" t="s">
        <v>4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350" t="str">
        <f t="shared" ref="B72:B73" si="12">B9</f>
        <v>기업 #019</v>
      </c>
      <c r="C72" s="323" t="s">
        <v>2164</v>
      </c>
      <c r="D72" s="323" t="s">
        <v>2165</v>
      </c>
      <c r="E72" s="325">
        <v>1928.0</v>
      </c>
      <c r="F72" s="325"/>
      <c r="G72" s="327" t="s">
        <v>2165</v>
      </c>
      <c r="H72" s="328" t="s">
        <v>75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350" t="str">
        <f t="shared" si="12"/>
        <v>기업 #020</v>
      </c>
      <c r="C73" s="323" t="s">
        <v>2164</v>
      </c>
      <c r="D73" s="323" t="s">
        <v>2165</v>
      </c>
      <c r="E73" s="325">
        <v>5.0</v>
      </c>
      <c r="F73" s="325"/>
      <c r="G73" s="327" t="s">
        <v>2165</v>
      </c>
      <c r="H73" s="328" t="s">
        <v>75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350" t="str">
        <f>B13</f>
        <v>WISE SGD</v>
      </c>
      <c r="C74" s="323" t="s">
        <v>2166</v>
      </c>
      <c r="D74" s="323" t="s">
        <v>2068</v>
      </c>
      <c r="E74" s="337">
        <v>6192.54</v>
      </c>
      <c r="F74" s="325"/>
      <c r="G74" s="327" t="s">
        <v>2167</v>
      </c>
      <c r="H74" s="328" t="s">
        <v>2035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 t="shared" ref="B75:B76" si="13">$B$17</f>
        <v>Board Wallet (USDT)</v>
      </c>
      <c r="C75" s="323" t="s">
        <v>2168</v>
      </c>
      <c r="D75" s="323" t="s">
        <v>2169</v>
      </c>
      <c r="E75" s="337"/>
      <c r="F75" s="337">
        <v>1000.0</v>
      </c>
      <c r="G75" s="327" t="s">
        <v>2170</v>
      </c>
      <c r="H75" s="328" t="s">
        <v>33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 t="shared" si="13"/>
        <v>Board Wallet (USDT)</v>
      </c>
      <c r="C76" s="323" t="s">
        <v>2171</v>
      </c>
      <c r="D76" s="323" t="s">
        <v>2172</v>
      </c>
      <c r="E76" s="337"/>
      <c r="F76" s="337">
        <v>4870.0</v>
      </c>
      <c r="G76" s="327" t="s">
        <v>2173</v>
      </c>
      <c r="H76" s="328" t="s">
        <v>930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350" t="str">
        <f>B9</f>
        <v>기업 #019</v>
      </c>
      <c r="C77" s="323" t="s">
        <v>2168</v>
      </c>
      <c r="D77" s="374" t="s">
        <v>84</v>
      </c>
      <c r="E77" s="325"/>
      <c r="F77" s="325">
        <v>930819.0</v>
      </c>
      <c r="G77" s="327" t="s">
        <v>1660</v>
      </c>
      <c r="H77" s="286" t="s">
        <v>1642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412" t="str">
        <f>B5</f>
        <v>신한 #672</v>
      </c>
      <c r="C78" s="323" t="s">
        <v>2174</v>
      </c>
      <c r="D78" s="323" t="s">
        <v>2165</v>
      </c>
      <c r="E78" s="325">
        <v>1205.0</v>
      </c>
      <c r="F78" s="325"/>
      <c r="G78" s="327" t="s">
        <v>2165</v>
      </c>
      <c r="H78" s="328" t="s">
        <v>75</v>
      </c>
      <c r="I78" s="141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412" t="str">
        <f>B5</f>
        <v>신한 #672</v>
      </c>
      <c r="C79" s="323" t="s">
        <v>2175</v>
      </c>
      <c r="D79" s="323" t="s">
        <v>1202</v>
      </c>
      <c r="E79" s="326"/>
      <c r="F79" s="326">
        <v>110000.0</v>
      </c>
      <c r="G79" s="327" t="s">
        <v>1202</v>
      </c>
      <c r="H79" s="286" t="s">
        <v>33</v>
      </c>
      <c r="I79" s="141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350" t="str">
        <f t="shared" ref="B80:B82" si="14">$B$15</f>
        <v>OCBC USD</v>
      </c>
      <c r="C80" s="323" t="s">
        <v>2171</v>
      </c>
      <c r="D80" s="323" t="s">
        <v>1981</v>
      </c>
      <c r="E80" s="337"/>
      <c r="F80" s="404">
        <v>70000.0</v>
      </c>
      <c r="G80" s="327" t="s">
        <v>1035</v>
      </c>
      <c r="H80" s="328" t="s">
        <v>556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350" t="str">
        <f t="shared" si="14"/>
        <v>OCBC USD</v>
      </c>
      <c r="C81" s="323" t="s">
        <v>2171</v>
      </c>
      <c r="D81" s="323" t="s">
        <v>828</v>
      </c>
      <c r="E81" s="325"/>
      <c r="F81" s="404">
        <v>15.0</v>
      </c>
      <c r="G81" s="327" t="s">
        <v>1565</v>
      </c>
      <c r="H81" s="328" t="s">
        <v>33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350" t="str">
        <f t="shared" si="14"/>
        <v>OCBC USD</v>
      </c>
      <c r="C82" s="323" t="s">
        <v>2171</v>
      </c>
      <c r="D82" s="323" t="s">
        <v>828</v>
      </c>
      <c r="E82" s="325"/>
      <c r="F82" s="404">
        <v>22.19</v>
      </c>
      <c r="G82" s="327" t="s">
        <v>1565</v>
      </c>
      <c r="H82" s="328" t="s">
        <v>33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350" t="str">
        <f>$B$16</f>
        <v>OCBC SGD</v>
      </c>
      <c r="C83" s="323" t="s">
        <v>2171</v>
      </c>
      <c r="D83" s="374" t="s">
        <v>2176</v>
      </c>
      <c r="E83" s="337"/>
      <c r="F83" s="337">
        <v>1498.4</v>
      </c>
      <c r="G83" s="327" t="s">
        <v>2177</v>
      </c>
      <c r="H83" s="427" t="s">
        <v>31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350" t="str">
        <f>B8</f>
        <v>하나 #138</v>
      </c>
      <c r="C84" s="323" t="s">
        <v>2171</v>
      </c>
      <c r="D84" s="374" t="s">
        <v>2178</v>
      </c>
      <c r="E84" s="337">
        <v>69888.11</v>
      </c>
      <c r="F84" s="325"/>
      <c r="G84" s="327" t="s">
        <v>1035</v>
      </c>
      <c r="H84" s="328" t="s">
        <v>556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$B$17</f>
        <v>Board Wallet (USDT)</v>
      </c>
      <c r="C85" s="323" t="s">
        <v>2174</v>
      </c>
      <c r="D85" s="323" t="s">
        <v>2179</v>
      </c>
      <c r="E85" s="337">
        <v>82.41</v>
      </c>
      <c r="F85" s="337"/>
      <c r="G85" s="327" t="s">
        <v>2180</v>
      </c>
      <c r="H85" s="328" t="s">
        <v>1207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350" t="str">
        <f>B8</f>
        <v>하나 #138</v>
      </c>
      <c r="C86" s="323" t="s">
        <v>2174</v>
      </c>
      <c r="D86" s="323" t="s">
        <v>2165</v>
      </c>
      <c r="E86" s="337">
        <v>0.23</v>
      </c>
      <c r="F86" s="325"/>
      <c r="G86" s="327" t="s">
        <v>2165</v>
      </c>
      <c r="H86" s="328" t="s">
        <v>75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 t="str">
        <f t="shared" ref="B87:B88" si="15">B7</f>
        <v>하나 #304</v>
      </c>
      <c r="C87" s="323" t="s">
        <v>2174</v>
      </c>
      <c r="D87" s="323" t="s">
        <v>2165</v>
      </c>
      <c r="E87" s="325">
        <v>1224.0</v>
      </c>
      <c r="F87" s="325"/>
      <c r="G87" s="327" t="s">
        <v>2165</v>
      </c>
      <c r="H87" s="328" t="s">
        <v>75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 t="shared" si="15"/>
        <v>하나 #138</v>
      </c>
      <c r="C88" s="323" t="s">
        <v>2175</v>
      </c>
      <c r="D88" s="323" t="s">
        <v>1981</v>
      </c>
      <c r="E88" s="325"/>
      <c r="F88" s="337">
        <v>69888.34</v>
      </c>
      <c r="G88" s="313" t="s">
        <v>679</v>
      </c>
      <c r="H88" s="328" t="s">
        <v>556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B7</f>
        <v>하나 #304</v>
      </c>
      <c r="C89" s="323" t="s">
        <v>2175</v>
      </c>
      <c r="D89" s="323" t="s">
        <v>1981</v>
      </c>
      <c r="E89" s="325">
        <v>1.00489958E8</v>
      </c>
      <c r="F89" s="325"/>
      <c r="G89" s="313" t="s">
        <v>679</v>
      </c>
      <c r="H89" s="328" t="s">
        <v>556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350" t="str">
        <f>B7</f>
        <v>하나 #304</v>
      </c>
      <c r="C90" s="323" t="s">
        <v>2175</v>
      </c>
      <c r="D90" s="323" t="s">
        <v>1981</v>
      </c>
      <c r="E90" s="325"/>
      <c r="F90" s="325">
        <v>8.7E7</v>
      </c>
      <c r="G90" s="327" t="s">
        <v>1035</v>
      </c>
      <c r="H90" s="328" t="s">
        <v>556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 t="str">
        <f>B7</f>
        <v>하나 #304</v>
      </c>
      <c r="C91" s="323" t="s">
        <v>2175</v>
      </c>
      <c r="D91" s="323" t="s">
        <v>1115</v>
      </c>
      <c r="E91" s="325"/>
      <c r="F91" s="325">
        <v>500.0</v>
      </c>
      <c r="G91" s="327" t="s">
        <v>1565</v>
      </c>
      <c r="H91" s="328" t="s">
        <v>33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350" t="str">
        <f>B7</f>
        <v>하나 #304</v>
      </c>
      <c r="C92" s="323" t="s">
        <v>2175</v>
      </c>
      <c r="D92" s="323" t="s">
        <v>1981</v>
      </c>
      <c r="E92" s="325"/>
      <c r="F92" s="325">
        <v>4000000.0</v>
      </c>
      <c r="G92" s="327" t="s">
        <v>1035</v>
      </c>
      <c r="H92" s="328" t="s">
        <v>556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350" t="str">
        <f>B7</f>
        <v>하나 #304</v>
      </c>
      <c r="C93" s="323" t="s">
        <v>2175</v>
      </c>
      <c r="D93" s="323" t="s">
        <v>1115</v>
      </c>
      <c r="E93" s="325"/>
      <c r="F93" s="325">
        <v>500.0</v>
      </c>
      <c r="G93" s="327" t="s">
        <v>1565</v>
      </c>
      <c r="H93" s="328" t="s">
        <v>33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350" t="str">
        <f>B5</f>
        <v>신한 #672</v>
      </c>
      <c r="C94" s="323" t="s">
        <v>2175</v>
      </c>
      <c r="D94" s="323" t="s">
        <v>1981</v>
      </c>
      <c r="E94" s="325">
        <v>4000000.0</v>
      </c>
      <c r="F94" s="325"/>
      <c r="G94" s="327" t="s">
        <v>1035</v>
      </c>
      <c r="H94" s="328" t="s">
        <v>556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350" t="str">
        <f>B9</f>
        <v>기업 #019</v>
      </c>
      <c r="C95" s="323" t="s">
        <v>2175</v>
      </c>
      <c r="D95" s="323" t="s">
        <v>1981</v>
      </c>
      <c r="E95" s="325">
        <v>8.7E7</v>
      </c>
      <c r="F95" s="325"/>
      <c r="G95" s="327" t="s">
        <v>1035</v>
      </c>
      <c r="H95" s="328" t="s">
        <v>556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B9</f>
        <v>기업 #019</v>
      </c>
      <c r="C96" s="323" t="s">
        <v>2181</v>
      </c>
      <c r="D96" s="323" t="s">
        <v>41</v>
      </c>
      <c r="E96" s="337"/>
      <c r="F96" s="325">
        <v>1.00504425E8</v>
      </c>
      <c r="G96" s="327" t="s">
        <v>925</v>
      </c>
      <c r="H96" s="328" t="s">
        <v>41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350" t="str">
        <f>B5</f>
        <v>신한 #672</v>
      </c>
      <c r="C97" s="323" t="s">
        <v>2182</v>
      </c>
      <c r="D97" s="323" t="s">
        <v>1633</v>
      </c>
      <c r="E97" s="325"/>
      <c r="F97" s="325">
        <v>3023114.0</v>
      </c>
      <c r="G97" s="327" t="s">
        <v>1634</v>
      </c>
      <c r="H97" s="328" t="s">
        <v>33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350" t="str">
        <f>B7</f>
        <v>하나 #304</v>
      </c>
      <c r="C98" s="323" t="s">
        <v>2182</v>
      </c>
      <c r="D98" s="323" t="s">
        <v>721</v>
      </c>
      <c r="E98" s="325"/>
      <c r="F98" s="325">
        <f>9761968</f>
        <v>9761968</v>
      </c>
      <c r="G98" s="327" t="s">
        <v>1634</v>
      </c>
      <c r="H98" s="328" t="s">
        <v>33</v>
      </c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350" t="str">
        <f>B9</f>
        <v>기업 #019</v>
      </c>
      <c r="C99" s="323" t="s">
        <v>2182</v>
      </c>
      <c r="D99" s="323" t="s">
        <v>1669</v>
      </c>
      <c r="E99" s="325"/>
      <c r="F99" s="325">
        <v>1616186.0</v>
      </c>
      <c r="G99" s="327" t="s">
        <v>1634</v>
      </c>
      <c r="H99" s="328" t="s">
        <v>33</v>
      </c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 t="str">
        <f>B5</f>
        <v>신한 #672</v>
      </c>
      <c r="C100" s="323" t="s">
        <v>2182</v>
      </c>
      <c r="D100" s="323" t="s">
        <v>1950</v>
      </c>
      <c r="E100" s="337"/>
      <c r="F100" s="325">
        <v>56180.0</v>
      </c>
      <c r="G100" s="327" t="s">
        <v>1951</v>
      </c>
      <c r="H100" s="328" t="s">
        <v>27</v>
      </c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350" t="str">
        <f>B5</f>
        <v>신한 #672</v>
      </c>
      <c r="C101" s="323" t="s">
        <v>2182</v>
      </c>
      <c r="D101" s="323" t="s">
        <v>497</v>
      </c>
      <c r="E101" s="337"/>
      <c r="F101" s="325">
        <v>330000.0</v>
      </c>
      <c r="G101" s="327" t="s">
        <v>1952</v>
      </c>
      <c r="H101" s="328" t="s">
        <v>33</v>
      </c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350" t="str">
        <f>B5</f>
        <v>신한 #672</v>
      </c>
      <c r="C102" s="323" t="s">
        <v>2182</v>
      </c>
      <c r="D102" s="323" t="s">
        <v>1953</v>
      </c>
      <c r="E102" s="337"/>
      <c r="F102" s="325">
        <v>37430.0</v>
      </c>
      <c r="G102" s="327" t="s">
        <v>1038</v>
      </c>
      <c r="H102" s="328" t="s">
        <v>4</v>
      </c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B5</f>
        <v>신한 #672</v>
      </c>
      <c r="C103" s="323" t="s">
        <v>2182</v>
      </c>
      <c r="D103" s="323" t="s">
        <v>1953</v>
      </c>
      <c r="E103" s="337"/>
      <c r="F103" s="325">
        <v>37430.0</v>
      </c>
      <c r="G103" s="327" t="s">
        <v>1038</v>
      </c>
      <c r="H103" s="328" t="s">
        <v>4</v>
      </c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B5</f>
        <v>신한 #672</v>
      </c>
      <c r="C104" s="323" t="s">
        <v>2182</v>
      </c>
      <c r="D104" s="323" t="s">
        <v>1953</v>
      </c>
      <c r="E104" s="337"/>
      <c r="F104" s="325">
        <v>50250.0</v>
      </c>
      <c r="G104" s="327" t="s">
        <v>1040</v>
      </c>
      <c r="H104" s="328" t="s">
        <v>4</v>
      </c>
      <c r="I104" s="141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B5</f>
        <v>신한 #672</v>
      </c>
      <c r="C105" s="323" t="s">
        <v>2182</v>
      </c>
      <c r="D105" s="323" t="s">
        <v>1953</v>
      </c>
      <c r="E105" s="337"/>
      <c r="F105" s="325">
        <v>20660.0</v>
      </c>
      <c r="G105" s="327" t="s">
        <v>1039</v>
      </c>
      <c r="H105" s="328" t="s">
        <v>4</v>
      </c>
      <c r="I105" s="141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>B5</f>
        <v>신한 #672</v>
      </c>
      <c r="C106" s="323" t="s">
        <v>2182</v>
      </c>
      <c r="D106" s="323" t="s">
        <v>1953</v>
      </c>
      <c r="E106" s="337"/>
      <c r="F106" s="325">
        <v>20660.0</v>
      </c>
      <c r="G106" s="327" t="s">
        <v>1039</v>
      </c>
      <c r="H106" s="328" t="s">
        <v>4</v>
      </c>
      <c r="I106" s="141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>B5</f>
        <v>신한 #672</v>
      </c>
      <c r="C107" s="323" t="s">
        <v>2182</v>
      </c>
      <c r="D107" s="323" t="s">
        <v>1954</v>
      </c>
      <c r="E107" s="337"/>
      <c r="F107" s="325">
        <v>98000.0</v>
      </c>
      <c r="G107" s="327" t="s">
        <v>1047</v>
      </c>
      <c r="H107" s="328" t="s">
        <v>4</v>
      </c>
      <c r="I107" s="141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350" t="str">
        <f>B13</f>
        <v>WISE SGD</v>
      </c>
      <c r="C108" s="323" t="s">
        <v>2183</v>
      </c>
      <c r="D108" s="323" t="s">
        <v>2071</v>
      </c>
      <c r="E108" s="371"/>
      <c r="F108" s="371">
        <v>88.0</v>
      </c>
      <c r="G108" s="327" t="s">
        <v>1719</v>
      </c>
      <c r="H108" s="328" t="s">
        <v>33</v>
      </c>
      <c r="I108" s="141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 t="str">
        <f t="shared" ref="B109:B110" si="16">$B$17</f>
        <v>Board Wallet (USDT)</v>
      </c>
      <c r="C109" s="323" t="s">
        <v>2175</v>
      </c>
      <c r="D109" s="323" t="s">
        <v>2179</v>
      </c>
      <c r="E109" s="337">
        <v>149900.0</v>
      </c>
      <c r="F109" s="337"/>
      <c r="G109" s="327" t="s">
        <v>2180</v>
      </c>
      <c r="H109" s="328" t="s">
        <v>1207</v>
      </c>
      <c r="I109" s="141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 t="str">
        <f t="shared" si="16"/>
        <v>Board Wallet (USDT)</v>
      </c>
      <c r="C110" s="323" t="s">
        <v>2184</v>
      </c>
      <c r="D110" s="323" t="s">
        <v>1110</v>
      </c>
      <c r="E110" s="325"/>
      <c r="F110" s="337">
        <v>160000.0</v>
      </c>
      <c r="G110" s="327" t="s">
        <v>2185</v>
      </c>
      <c r="H110" s="328" t="s">
        <v>556</v>
      </c>
      <c r="I110" s="141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350" t="str">
        <f t="shared" ref="B111:B112" si="17">$B$15</f>
        <v>OCBC USD</v>
      </c>
      <c r="C111" s="323" t="s">
        <v>2184</v>
      </c>
      <c r="D111" s="323" t="s">
        <v>1110</v>
      </c>
      <c r="E111" s="337">
        <v>159590.0</v>
      </c>
      <c r="F111" s="337"/>
      <c r="G111" s="327" t="s">
        <v>2067</v>
      </c>
      <c r="H111" s="328" t="s">
        <v>556</v>
      </c>
      <c r="I111" s="141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350" t="str">
        <f t="shared" si="17"/>
        <v>OCBC USD</v>
      </c>
      <c r="C112" s="323" t="s">
        <v>2184</v>
      </c>
      <c r="D112" s="323" t="s">
        <v>828</v>
      </c>
      <c r="E112" s="325"/>
      <c r="F112" s="404">
        <v>7.31</v>
      </c>
      <c r="G112" s="327" t="s">
        <v>1079</v>
      </c>
      <c r="H112" s="328" t="s">
        <v>33</v>
      </c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428" t="str">
        <f>B5</f>
        <v>신한 #672</v>
      </c>
      <c r="C113" s="413" t="s">
        <v>2186</v>
      </c>
      <c r="D113" s="429" t="s">
        <v>920</v>
      </c>
      <c r="E113" s="430"/>
      <c r="F113" s="424">
        <v>77000.0</v>
      </c>
      <c r="G113" s="415" t="s">
        <v>1006</v>
      </c>
      <c r="H113" s="412" t="s">
        <v>33</v>
      </c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428" t="str">
        <f>B15</f>
        <v>OCBC USD</v>
      </c>
      <c r="C114" s="413" t="s">
        <v>2186</v>
      </c>
      <c r="D114" s="413" t="s">
        <v>2187</v>
      </c>
      <c r="E114" s="414"/>
      <c r="F114" s="404">
        <v>35429.99</v>
      </c>
      <c r="G114" s="415" t="s">
        <v>2188</v>
      </c>
      <c r="H114" s="412" t="s">
        <v>33</v>
      </c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428" t="str">
        <f t="shared" ref="B115:B116" si="18">$B$15</f>
        <v>OCBC USD</v>
      </c>
      <c r="C115" s="413" t="s">
        <v>2186</v>
      </c>
      <c r="D115" s="413" t="s">
        <v>1433</v>
      </c>
      <c r="E115" s="404"/>
      <c r="F115" s="404">
        <v>15.0</v>
      </c>
      <c r="G115" s="415" t="s">
        <v>1079</v>
      </c>
      <c r="H115" s="412" t="s">
        <v>33</v>
      </c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428" t="str">
        <f t="shared" si="18"/>
        <v>OCBC USD</v>
      </c>
      <c r="C116" s="413" t="s">
        <v>2186</v>
      </c>
      <c r="D116" s="413" t="s">
        <v>1433</v>
      </c>
      <c r="E116" s="404"/>
      <c r="F116" s="404">
        <v>22.23</v>
      </c>
      <c r="G116" s="415" t="s">
        <v>1079</v>
      </c>
      <c r="H116" s="412" t="s">
        <v>33</v>
      </c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428" t="str">
        <f>B15</f>
        <v>OCBC USD</v>
      </c>
      <c r="C117" s="413" t="s">
        <v>2186</v>
      </c>
      <c r="D117" s="413" t="s">
        <v>2189</v>
      </c>
      <c r="E117" s="404"/>
      <c r="F117" s="404">
        <v>38114.24</v>
      </c>
      <c r="G117" s="415" t="s">
        <v>2190</v>
      </c>
      <c r="H117" s="412" t="s">
        <v>33</v>
      </c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428" t="str">
        <f t="shared" ref="B118:B119" si="19">$B$15</f>
        <v>OCBC USD</v>
      </c>
      <c r="C118" s="413" t="s">
        <v>2186</v>
      </c>
      <c r="D118" s="413" t="s">
        <v>1433</v>
      </c>
      <c r="E118" s="404"/>
      <c r="F118" s="404">
        <v>15.0</v>
      </c>
      <c r="G118" s="415" t="s">
        <v>1079</v>
      </c>
      <c r="H118" s="412" t="s">
        <v>33</v>
      </c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428" t="str">
        <f t="shared" si="19"/>
        <v>OCBC USD</v>
      </c>
      <c r="C119" s="413" t="s">
        <v>2186</v>
      </c>
      <c r="D119" s="413" t="s">
        <v>1433</v>
      </c>
      <c r="E119" s="404"/>
      <c r="F119" s="404">
        <v>22.23</v>
      </c>
      <c r="G119" s="415" t="s">
        <v>1079</v>
      </c>
      <c r="H119" s="412" t="s">
        <v>33</v>
      </c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412" t="str">
        <f t="shared" ref="B120:B121" si="20">B12</f>
        <v>WISE USD</v>
      </c>
      <c r="C120" s="413" t="s">
        <v>2191</v>
      </c>
      <c r="D120" s="413" t="s">
        <v>1816</v>
      </c>
      <c r="E120" s="404"/>
      <c r="F120" s="404">
        <v>174.87</v>
      </c>
      <c r="G120" s="415" t="s">
        <v>1068</v>
      </c>
      <c r="H120" s="412" t="s">
        <v>33</v>
      </c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412" t="str">
        <f t="shared" si="20"/>
        <v>WISE SGD</v>
      </c>
      <c r="C121" s="413" t="s">
        <v>2191</v>
      </c>
      <c r="D121" s="413" t="s">
        <v>1816</v>
      </c>
      <c r="E121" s="404"/>
      <c r="F121" s="404">
        <v>61.48</v>
      </c>
      <c r="G121" s="415" t="s">
        <v>1068</v>
      </c>
      <c r="H121" s="412" t="s">
        <v>33</v>
      </c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 t="str">
        <f t="shared" ref="B122:B123" si="21">$B$17</f>
        <v>Board Wallet (USDT)</v>
      </c>
      <c r="C122" s="323" t="s">
        <v>2191</v>
      </c>
      <c r="D122" s="323" t="s">
        <v>2169</v>
      </c>
      <c r="E122" s="325"/>
      <c r="F122" s="337">
        <v>1500.0</v>
      </c>
      <c r="G122" s="327" t="s">
        <v>2170</v>
      </c>
      <c r="H122" s="412" t="s">
        <v>33</v>
      </c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 t="str">
        <f t="shared" si="21"/>
        <v>Board Wallet (USDT)</v>
      </c>
      <c r="C123" s="323" t="s">
        <v>2186</v>
      </c>
      <c r="D123" s="282"/>
      <c r="E123" s="291">
        <v>200.03</v>
      </c>
      <c r="F123" s="292"/>
      <c r="G123" s="313" t="s">
        <v>2192</v>
      </c>
      <c r="H123" s="412" t="s">
        <v>33</v>
      </c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281"/>
      <c r="C127" s="282"/>
      <c r="D127" s="282"/>
      <c r="E127" s="291"/>
      <c r="F127" s="292"/>
      <c r="G127" s="313"/>
      <c r="H127" s="286"/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281"/>
      <c r="C128" s="282"/>
      <c r="D128" s="282"/>
      <c r="E128" s="291"/>
      <c r="F128" s="292"/>
      <c r="G128" s="313"/>
      <c r="H128" s="286"/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281"/>
      <c r="C129" s="282"/>
      <c r="D129" s="282"/>
      <c r="E129" s="291"/>
      <c r="F129" s="284"/>
      <c r="G129" s="313"/>
      <c r="H129" s="286"/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281"/>
      <c r="C130" s="282"/>
      <c r="D130" s="282"/>
      <c r="E130" s="291"/>
      <c r="F130" s="284"/>
      <c r="G130" s="313"/>
      <c r="H130" s="286"/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281"/>
      <c r="C131" s="282"/>
      <c r="D131" s="282"/>
      <c r="E131" s="291"/>
      <c r="F131" s="292"/>
      <c r="G131" s="313"/>
      <c r="H131" s="286"/>
      <c r="I131" s="107"/>
      <c r="J131" s="141"/>
      <c r="K131" s="138"/>
      <c r="L131" s="83"/>
      <c r="M131" s="8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281"/>
      <c r="C132" s="282"/>
      <c r="D132" s="282"/>
      <c r="E132" s="291"/>
      <c r="F132" s="292"/>
      <c r="G132" s="313"/>
      <c r="H132" s="286"/>
      <c r="I132" s="107"/>
      <c r="J132" s="141"/>
      <c r="K132" s="138"/>
      <c r="L132" s="83"/>
      <c r="M132" s="8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281"/>
      <c r="C133" s="282"/>
      <c r="D133" s="282"/>
      <c r="E133" s="291"/>
      <c r="F133" s="292"/>
      <c r="G133" s="313"/>
      <c r="H133" s="286"/>
      <c r="I133" s="107"/>
      <c r="J133" s="141"/>
      <c r="K133" s="138"/>
      <c r="L133" s="83"/>
      <c r="M133" s="8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281"/>
      <c r="C134" s="282"/>
      <c r="D134" s="282"/>
      <c r="E134" s="291"/>
      <c r="F134" s="292"/>
      <c r="G134" s="313"/>
      <c r="H134" s="286"/>
      <c r="I134" s="107"/>
      <c r="J134" s="141"/>
      <c r="K134" s="138"/>
      <c r="L134" s="83"/>
      <c r="M134" s="84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B135" s="281"/>
      <c r="C135" s="282"/>
      <c r="D135" s="282"/>
      <c r="E135" s="291"/>
      <c r="F135" s="292"/>
      <c r="G135" s="313"/>
      <c r="H135" s="286"/>
      <c r="I135" s="107"/>
      <c r="J135" s="141"/>
      <c r="K135" s="138"/>
      <c r="L135" s="83"/>
      <c r="M135" s="8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B136" s="281"/>
      <c r="C136" s="282"/>
      <c r="D136" s="282"/>
      <c r="E136" s="291"/>
      <c r="F136" s="292"/>
      <c r="G136" s="313"/>
      <c r="H136" s="286"/>
      <c r="I136" s="107"/>
      <c r="J136" s="141"/>
      <c r="K136" s="138"/>
      <c r="L136" s="83"/>
      <c r="M136" s="84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B137" s="281"/>
      <c r="C137" s="282"/>
      <c r="D137" s="282"/>
      <c r="E137" s="291"/>
      <c r="F137" s="292"/>
      <c r="G137" s="313"/>
      <c r="H137" s="286"/>
      <c r="I137" s="107"/>
      <c r="J137" s="141"/>
      <c r="K137" s="138"/>
      <c r="L137" s="83"/>
      <c r="M137" s="84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B138" s="281"/>
      <c r="C138" s="282"/>
      <c r="D138" s="282"/>
      <c r="E138" s="291"/>
      <c r="F138" s="292"/>
      <c r="G138" s="313"/>
      <c r="H138" s="286"/>
      <c r="I138" s="107"/>
      <c r="J138" s="141"/>
      <c r="K138" s="138"/>
      <c r="L138" s="83"/>
      <c r="M138" s="84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I139" s="107"/>
      <c r="J139" s="141"/>
      <c r="K139" s="138"/>
      <c r="L139" s="83"/>
      <c r="M139" s="84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I140" s="107"/>
      <c r="J140" s="141"/>
      <c r="K140" s="138"/>
      <c r="L140" s="83"/>
      <c r="M140" s="84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I141" s="107"/>
      <c r="J141" s="141"/>
      <c r="K141" s="138"/>
      <c r="L141" s="83"/>
      <c r="M141" s="84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I142" s="107"/>
      <c r="J142" s="141"/>
      <c r="K142" s="138"/>
      <c r="L142" s="83"/>
      <c r="M142" s="84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I143" s="107"/>
      <c r="J143" s="141"/>
      <c r="K143" s="141"/>
      <c r="L143" s="83"/>
      <c r="M143" s="84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</row>
    <row r="144" ht="15.0" customHeight="1">
      <c r="A144" s="105"/>
      <c r="I144" s="107"/>
      <c r="J144" s="141"/>
      <c r="K144" s="141"/>
      <c r="L144" s="83"/>
      <c r="M144" s="84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</row>
    <row r="145" ht="15.0" customHeight="1">
      <c r="A145" s="105"/>
      <c r="I145" s="107"/>
      <c r="J145" s="141"/>
      <c r="K145" s="141"/>
      <c r="L145" s="83"/>
      <c r="M145" s="84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</row>
    <row r="146" ht="15.0" customHeight="1">
      <c r="A146" s="105"/>
      <c r="I146" s="107"/>
      <c r="J146" s="141"/>
      <c r="K146" s="141"/>
      <c r="L146" s="83"/>
      <c r="M146" s="84"/>
      <c r="N146" s="141"/>
      <c r="O146" s="141"/>
      <c r="P146" s="141"/>
      <c r="Q146" s="141"/>
      <c r="R146" s="141"/>
      <c r="S146" s="141"/>
      <c r="T146" s="141"/>
      <c r="U146" s="141"/>
      <c r="V146" s="141"/>
      <c r="W146" s="141"/>
      <c r="X146" s="141"/>
      <c r="Y146" s="141"/>
    </row>
    <row r="147" ht="15.0" customHeight="1">
      <c r="A147" s="105"/>
      <c r="I147" s="107"/>
      <c r="J147" s="141"/>
      <c r="K147" s="141"/>
      <c r="L147" s="83"/>
      <c r="M147" s="84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</row>
    <row r="148" ht="15.0" customHeight="1">
      <c r="A148" s="105"/>
      <c r="I148" s="107"/>
      <c r="J148" s="141"/>
      <c r="K148" s="141"/>
      <c r="L148" s="83"/>
      <c r="M148" s="84"/>
      <c r="N148" s="141"/>
      <c r="O148" s="141"/>
      <c r="P148" s="141"/>
      <c r="Q148" s="141"/>
      <c r="R148" s="141"/>
      <c r="S148" s="141"/>
      <c r="T148" s="141"/>
      <c r="U148" s="141"/>
      <c r="V148" s="141"/>
      <c r="W148" s="141"/>
      <c r="X148" s="141"/>
      <c r="Y148" s="141"/>
    </row>
    <row r="149" ht="15.0" customHeight="1">
      <c r="A149" s="105"/>
      <c r="I149" s="107"/>
      <c r="J149" s="141"/>
      <c r="K149" s="141"/>
      <c r="L149" s="83"/>
      <c r="M149" s="84"/>
      <c r="N149" s="141"/>
      <c r="O149" s="141"/>
      <c r="P149" s="141"/>
      <c r="Q149" s="141"/>
      <c r="R149" s="141"/>
      <c r="S149" s="141"/>
      <c r="T149" s="141"/>
      <c r="U149" s="141"/>
      <c r="V149" s="141"/>
      <c r="W149" s="141"/>
      <c r="X149" s="141"/>
      <c r="Y149" s="141"/>
    </row>
    <row r="150" ht="15.0" customHeight="1">
      <c r="A150" s="105"/>
      <c r="I150" s="107"/>
      <c r="J150" s="141"/>
      <c r="K150" s="141"/>
      <c r="L150" s="83"/>
      <c r="M150" s="84"/>
      <c r="N150" s="141"/>
      <c r="O150" s="141"/>
      <c r="P150" s="141"/>
      <c r="Q150" s="141"/>
      <c r="R150" s="141"/>
      <c r="S150" s="141"/>
      <c r="T150" s="141"/>
      <c r="U150" s="141"/>
      <c r="V150" s="141"/>
      <c r="W150" s="141"/>
      <c r="X150" s="141"/>
      <c r="Y150" s="141"/>
    </row>
    <row r="151" ht="15.0" customHeight="1">
      <c r="A151" s="105"/>
      <c r="I151" s="107"/>
      <c r="J151" s="141"/>
      <c r="K151" s="141"/>
      <c r="L151" s="83"/>
      <c r="M151" s="84"/>
      <c r="N151" s="141"/>
      <c r="O151" s="141"/>
      <c r="P151" s="141"/>
      <c r="Q151" s="141"/>
      <c r="R151" s="141"/>
      <c r="S151" s="141"/>
      <c r="T151" s="141"/>
      <c r="U151" s="141"/>
      <c r="V151" s="141"/>
      <c r="W151" s="141"/>
      <c r="X151" s="141"/>
      <c r="Y151" s="141"/>
    </row>
    <row r="152" ht="15.0" customHeight="1">
      <c r="A152" s="105"/>
      <c r="I152" s="107"/>
      <c r="J152" s="141"/>
      <c r="K152" s="141"/>
      <c r="L152" s="83"/>
      <c r="M152" s="84"/>
      <c r="N152" s="141"/>
      <c r="O152" s="141"/>
      <c r="P152" s="141"/>
      <c r="Q152" s="141"/>
      <c r="R152" s="141"/>
      <c r="S152" s="141"/>
      <c r="T152" s="141"/>
      <c r="U152" s="141"/>
      <c r="V152" s="141"/>
      <c r="W152" s="141"/>
      <c r="X152" s="141"/>
      <c r="Y152" s="141"/>
    </row>
    <row r="153" ht="15.0" customHeight="1">
      <c r="A153" s="105"/>
      <c r="I153" s="107"/>
      <c r="J153" s="141"/>
      <c r="K153" s="141"/>
      <c r="L153" s="83"/>
      <c r="M153" s="84"/>
      <c r="N153" s="141"/>
      <c r="O153" s="141"/>
      <c r="P153" s="141"/>
      <c r="Q153" s="141"/>
      <c r="R153" s="141"/>
      <c r="S153" s="141"/>
      <c r="T153" s="141"/>
      <c r="U153" s="141"/>
      <c r="V153" s="141"/>
      <c r="W153" s="141"/>
      <c r="X153" s="141"/>
      <c r="Y153" s="141"/>
    </row>
    <row r="155" ht="15.0" customHeight="1">
      <c r="A155" s="105"/>
      <c r="I155" s="107"/>
      <c r="J155" s="141"/>
      <c r="K155" s="141"/>
      <c r="L155" s="83"/>
      <c r="M155" s="84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</row>
    <row r="156" ht="15.0" customHeight="1">
      <c r="A156" s="105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341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</sheetData>
  <autoFilter ref="$B$24:$H$138">
    <sortState ref="B24:H138">
      <sortCondition ref="B24:B138"/>
    </sortState>
  </autoFilter>
  <customSheetViews>
    <customSheetView guid="{CD2BF927-9D79-47FC-BBA8-927062D6B3F5}" filter="1" showAutoFilter="1">
      <autoFilter ref="$B$24:$H$138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38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2193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51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'24.12월'!G5</f>
        <v>241196</v>
      </c>
      <c r="E5" s="355">
        <f t="shared" ref="E5:E17" si="1">sumif($B$25:$B$169,B5,$E$25:$E$169)</f>
        <v>25625625</v>
      </c>
      <c r="F5" s="356">
        <f t="shared" ref="F5:F17" si="2">sumif($B$25:$B$169,B5,$F$25:$F$169)</f>
        <v>24087740</v>
      </c>
      <c r="G5" s="229">
        <f t="shared" ref="G5:G17" si="3">D5+E5-F5</f>
        <v>1779081</v>
      </c>
      <c r="H5" s="351"/>
      <c r="I5" s="304"/>
      <c r="J5" s="304"/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'24.12월'!G6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'24.12월'!G7</f>
        <v>313911</v>
      </c>
      <c r="E7" s="359">
        <f t="shared" si="1"/>
        <v>228984931</v>
      </c>
      <c r="F7" s="360">
        <f t="shared" si="2"/>
        <v>227790387</v>
      </c>
      <c r="G7" s="239">
        <f t="shared" si="3"/>
        <v>1508455</v>
      </c>
      <c r="H7" s="125"/>
      <c r="I7" s="105"/>
      <c r="J7" s="421" t="s">
        <v>2141</v>
      </c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'24.12월'!G8</f>
        <v>0</v>
      </c>
      <c r="E8" s="361">
        <f t="shared" si="1"/>
        <v>159983.06</v>
      </c>
      <c r="F8" s="358">
        <f t="shared" si="2"/>
        <v>159983.06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'24.12월'!G9</f>
        <v>6831531</v>
      </c>
      <c r="E9" s="359">
        <f t="shared" si="1"/>
        <v>220400920</v>
      </c>
      <c r="F9" s="360">
        <f t="shared" si="2"/>
        <v>166002192</v>
      </c>
      <c r="G9" s="239">
        <f t="shared" si="3"/>
        <v>61230259</v>
      </c>
      <c r="H9" s="422">
        <f>G5+G7+G9</f>
        <v>64517795</v>
      </c>
      <c r="I9" s="405">
        <f>(G5+G7+G9)/J3</f>
        <v>43808.44693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'24.12월'!G10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'24.12월'!G11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'24.12월'!G12</f>
        <v>-0.0000000001427906682</v>
      </c>
      <c r="E12" s="361">
        <f t="shared" si="1"/>
        <v>3000</v>
      </c>
      <c r="F12" s="362">
        <f t="shared" si="2"/>
        <v>2734.35</v>
      </c>
      <c r="G12" s="329">
        <f t="shared" si="3"/>
        <v>265.65</v>
      </c>
      <c r="H12" s="422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'24.12월'!G13</f>
        <v>18679.87</v>
      </c>
      <c r="E13" s="363">
        <f t="shared" si="1"/>
        <v>3152.96</v>
      </c>
      <c r="F13" s="364">
        <f t="shared" si="2"/>
        <v>4216.95</v>
      </c>
      <c r="G13" s="320">
        <f t="shared" si="3"/>
        <v>17615.88</v>
      </c>
      <c r="H13" s="423">
        <f t="shared" ref="H13:I13" si="4">H11-H9</f>
        <v>-64517795</v>
      </c>
      <c r="I13" s="421">
        <f t="shared" si="4"/>
        <v>-43808.44693</v>
      </c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'24.12월'!G14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'24.12월'!G15</f>
        <v>95109.02</v>
      </c>
      <c r="E15" s="361">
        <f t="shared" si="1"/>
        <v>132441.93</v>
      </c>
      <c r="F15" s="358">
        <f t="shared" si="2"/>
        <v>178450.3</v>
      </c>
      <c r="G15" s="235">
        <f t="shared" si="3"/>
        <v>49100.65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'24.12월'!G16</f>
        <v>5370.64</v>
      </c>
      <c r="E16" s="366">
        <f t="shared" si="1"/>
        <v>0</v>
      </c>
      <c r="F16" s="367">
        <f t="shared" si="2"/>
        <v>10</v>
      </c>
      <c r="G16" s="310">
        <f t="shared" si="3"/>
        <v>5360.64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'24.12월'!G17</f>
        <v>18954.95696</v>
      </c>
      <c r="E17" s="409">
        <f t="shared" si="1"/>
        <v>114032.2911</v>
      </c>
      <c r="F17" s="410">
        <f t="shared" si="2"/>
        <v>131000</v>
      </c>
      <c r="G17" s="411">
        <f t="shared" si="3"/>
        <v>1987.248107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5">D5+D7+D14+D9+D10</f>
        <v>7386643</v>
      </c>
      <c r="E18" s="262">
        <f t="shared" si="5"/>
        <v>475011476</v>
      </c>
      <c r="F18" s="263">
        <f t="shared" si="5"/>
        <v>417880319</v>
      </c>
      <c r="G18" s="345">
        <f t="shared" si="5"/>
        <v>64517800</v>
      </c>
      <c r="H18" s="353">
        <f>G18</f>
        <v>64517800</v>
      </c>
      <c r="I18" s="353">
        <f>D18</f>
        <v>7386643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6">D6+D8+D12+D15+D11+D17</f>
        <v>114066.287</v>
      </c>
      <c r="E19" s="269">
        <f t="shared" si="6"/>
        <v>409457.2811</v>
      </c>
      <c r="F19" s="270">
        <f t="shared" si="6"/>
        <v>472167.71</v>
      </c>
      <c r="G19" s="346">
        <f t="shared" si="6"/>
        <v>51355.85811</v>
      </c>
      <c r="H19" s="265">
        <f>rounddown(G19*$J$3,0)</f>
        <v>75633056</v>
      </c>
      <c r="I19" s="265">
        <f>rounddown(D19*$J$3,0)</f>
        <v>167988272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7">D13+D16</f>
        <v>24050.51</v>
      </c>
      <c r="E20" s="274">
        <f t="shared" si="7"/>
        <v>3152.96</v>
      </c>
      <c r="F20" s="275">
        <f t="shared" si="7"/>
        <v>4226.95</v>
      </c>
      <c r="G20" s="347">
        <f t="shared" si="7"/>
        <v>22976.52</v>
      </c>
      <c r="H20" s="277">
        <f>rounddown(G20*$J$4,0)</f>
        <v>26282496</v>
      </c>
      <c r="I20" s="277">
        <f>rounddown(D20*$J$4,0)</f>
        <v>27511017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8">SUM(H18:H20)</f>
        <v>166433352</v>
      </c>
      <c r="I21" s="279">
        <f t="shared" si="8"/>
        <v>202885932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-36452580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-24751.79005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 t="shared" ref="B25:B30" si="9">$B$15</f>
        <v>OCBC USD</v>
      </c>
      <c r="C25" s="323" t="s">
        <v>2194</v>
      </c>
      <c r="D25" s="323" t="s">
        <v>740</v>
      </c>
      <c r="E25" s="337"/>
      <c r="F25" s="404">
        <v>9386.43</v>
      </c>
      <c r="G25" s="327" t="s">
        <v>2195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 t="shared" si="9"/>
        <v>OCBC USD</v>
      </c>
      <c r="C26" s="323" t="s">
        <v>2194</v>
      </c>
      <c r="D26" s="323" t="s">
        <v>828</v>
      </c>
      <c r="E26" s="325"/>
      <c r="F26" s="404">
        <v>15.0</v>
      </c>
      <c r="G26" s="327" t="s">
        <v>1565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 t="shared" si="9"/>
        <v>OCBC USD</v>
      </c>
      <c r="C27" s="323" t="s">
        <v>2194</v>
      </c>
      <c r="D27" s="323" t="s">
        <v>828</v>
      </c>
      <c r="E27" s="325"/>
      <c r="F27" s="404">
        <v>22.13</v>
      </c>
      <c r="G27" s="327" t="s">
        <v>1565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 t="shared" si="9"/>
        <v>OCBC USD</v>
      </c>
      <c r="C28" s="323" t="s">
        <v>2194</v>
      </c>
      <c r="D28" s="323" t="s">
        <v>1981</v>
      </c>
      <c r="E28" s="337"/>
      <c r="F28" s="404">
        <v>40000.0</v>
      </c>
      <c r="G28" s="327" t="s">
        <v>1035</v>
      </c>
      <c r="H28" s="328" t="s">
        <v>556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 t="shared" si="9"/>
        <v>OCBC USD</v>
      </c>
      <c r="C29" s="323" t="s">
        <v>2194</v>
      </c>
      <c r="D29" s="323" t="s">
        <v>828</v>
      </c>
      <c r="E29" s="325"/>
      <c r="F29" s="404">
        <v>15.0</v>
      </c>
      <c r="G29" s="327" t="s">
        <v>1565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 t="shared" si="9"/>
        <v>OCBC USD</v>
      </c>
      <c r="C30" s="323" t="s">
        <v>2194</v>
      </c>
      <c r="D30" s="323" t="s">
        <v>828</v>
      </c>
      <c r="E30" s="325"/>
      <c r="F30" s="404">
        <v>22.13</v>
      </c>
      <c r="G30" s="327" t="s">
        <v>1565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412" t="str">
        <f>B8</f>
        <v>하나 #138</v>
      </c>
      <c r="C31" s="323" t="s">
        <v>2194</v>
      </c>
      <c r="D31" s="323" t="s">
        <v>634</v>
      </c>
      <c r="E31" s="337">
        <v>39995.0</v>
      </c>
      <c r="F31" s="337"/>
      <c r="G31" s="327" t="s">
        <v>1035</v>
      </c>
      <c r="H31" s="328" t="s">
        <v>556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B8</f>
        <v>하나 #138</v>
      </c>
      <c r="C32" s="323" t="s">
        <v>2194</v>
      </c>
      <c r="D32" s="323" t="s">
        <v>1981</v>
      </c>
      <c r="E32" s="325"/>
      <c r="F32" s="337">
        <v>39995.0</v>
      </c>
      <c r="G32" s="327" t="s">
        <v>679</v>
      </c>
      <c r="H32" s="328" t="s">
        <v>556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B7</f>
        <v>하나 #304</v>
      </c>
      <c r="C33" s="323" t="s">
        <v>2194</v>
      </c>
      <c r="D33" s="323" t="s">
        <v>1981</v>
      </c>
      <c r="E33" s="325">
        <v>5.8109935E7</v>
      </c>
      <c r="F33" s="414"/>
      <c r="G33" s="327" t="s">
        <v>679</v>
      </c>
      <c r="H33" s="328" t="s">
        <v>556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B7</f>
        <v>하나 #304</v>
      </c>
      <c r="C34" s="323" t="s">
        <v>2196</v>
      </c>
      <c r="D34" s="323" t="s">
        <v>1981</v>
      </c>
      <c r="E34" s="325"/>
      <c r="F34" s="414">
        <v>5.8E7</v>
      </c>
      <c r="G34" s="327" t="s">
        <v>1035</v>
      </c>
      <c r="H34" s="328" t="s">
        <v>556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B7</f>
        <v>하나 #304</v>
      </c>
      <c r="C35" s="323" t="s">
        <v>2196</v>
      </c>
      <c r="D35" s="323" t="s">
        <v>1115</v>
      </c>
      <c r="E35" s="325"/>
      <c r="F35" s="414">
        <v>500.0</v>
      </c>
      <c r="G35" s="327" t="s">
        <v>1565</v>
      </c>
      <c r="H35" s="328" t="s">
        <v>33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B9</f>
        <v>기업 #019</v>
      </c>
      <c r="C36" s="323" t="s">
        <v>2196</v>
      </c>
      <c r="D36" s="323" t="s">
        <v>1981</v>
      </c>
      <c r="E36" s="326">
        <v>5.8E7</v>
      </c>
      <c r="F36" s="424"/>
      <c r="G36" s="327" t="s">
        <v>1035</v>
      </c>
      <c r="H36" s="328" t="s">
        <v>556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2196</v>
      </c>
      <c r="D37" s="323" t="s">
        <v>1981</v>
      </c>
      <c r="E37" s="326"/>
      <c r="F37" s="424">
        <v>1.6E7</v>
      </c>
      <c r="G37" s="327" t="s">
        <v>1035</v>
      </c>
      <c r="H37" s="328" t="s">
        <v>556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tr">
        <f>B5</f>
        <v>신한 #672</v>
      </c>
      <c r="C38" s="323" t="s">
        <v>2196</v>
      </c>
      <c r="D38" s="323" t="s">
        <v>1981</v>
      </c>
      <c r="E38" s="326">
        <v>1.6E7</v>
      </c>
      <c r="F38" s="424"/>
      <c r="G38" s="327" t="s">
        <v>1035</v>
      </c>
      <c r="H38" s="328" t="s">
        <v>556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tr">
        <f>B9</f>
        <v>기업 #019</v>
      </c>
      <c r="C39" s="323" t="s">
        <v>2196</v>
      </c>
      <c r="D39" s="323" t="s">
        <v>1991</v>
      </c>
      <c r="E39" s="337"/>
      <c r="F39" s="325">
        <v>1.6100458E7</v>
      </c>
      <c r="G39" s="327" t="s">
        <v>2197</v>
      </c>
      <c r="H39" s="328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412" t="str">
        <f>B9</f>
        <v>기업 #019</v>
      </c>
      <c r="C40" s="323" t="s">
        <v>2196</v>
      </c>
      <c r="D40" s="323" t="s">
        <v>1991</v>
      </c>
      <c r="E40" s="337"/>
      <c r="F40" s="325">
        <v>5548728.0</v>
      </c>
      <c r="G40" s="313" t="s">
        <v>1625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B9</f>
        <v>기업 #019</v>
      </c>
      <c r="C41" s="323" t="s">
        <v>2196</v>
      </c>
      <c r="D41" s="323" t="s">
        <v>1829</v>
      </c>
      <c r="E41" s="337"/>
      <c r="F41" s="325">
        <v>825000.0</v>
      </c>
      <c r="G41" s="313" t="s">
        <v>1591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기업 #019</v>
      </c>
      <c r="C42" s="323" t="s">
        <v>2196</v>
      </c>
      <c r="D42" s="323" t="s">
        <v>1552</v>
      </c>
      <c r="E42" s="337"/>
      <c r="F42" s="325">
        <v>268620.0</v>
      </c>
      <c r="G42" s="327" t="s">
        <v>1628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기업 #019</v>
      </c>
      <c r="C43" s="323" t="s">
        <v>2196</v>
      </c>
      <c r="D43" s="323" t="s">
        <v>789</v>
      </c>
      <c r="E43" s="325"/>
      <c r="F43" s="325">
        <v>6405300.0</v>
      </c>
      <c r="G43" s="313" t="s">
        <v>1588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tr">
        <f>B9</f>
        <v>기업 #019</v>
      </c>
      <c r="C44" s="323" t="s">
        <v>2196</v>
      </c>
      <c r="D44" s="323" t="s">
        <v>1610</v>
      </c>
      <c r="E44" s="326"/>
      <c r="F44" s="326">
        <v>3590130.0</v>
      </c>
      <c r="G44" s="327" t="s">
        <v>2198</v>
      </c>
      <c r="H44" s="328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tr">
        <f>B9</f>
        <v>기업 #019</v>
      </c>
      <c r="C45" s="323" t="s">
        <v>2196</v>
      </c>
      <c r="D45" s="323" t="s">
        <v>2078</v>
      </c>
      <c r="E45" s="325"/>
      <c r="F45" s="414">
        <v>35300.0</v>
      </c>
      <c r="G45" s="313" t="s">
        <v>1667</v>
      </c>
      <c r="H45" s="328" t="s">
        <v>4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tr">
        <f>B9</f>
        <v>기업 #019</v>
      </c>
      <c r="C46" s="323" t="s">
        <v>2196</v>
      </c>
      <c r="D46" s="323" t="s">
        <v>2199</v>
      </c>
      <c r="E46" s="325"/>
      <c r="F46" s="414">
        <v>47000.0</v>
      </c>
      <c r="G46" s="313" t="s">
        <v>1667</v>
      </c>
      <c r="H46" s="328" t="s">
        <v>4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기업 #019</v>
      </c>
      <c r="C47" s="323" t="s">
        <v>2196</v>
      </c>
      <c r="D47" s="323" t="s">
        <v>2002</v>
      </c>
      <c r="E47" s="326"/>
      <c r="F47" s="424">
        <v>19200.0</v>
      </c>
      <c r="G47" s="313" t="s">
        <v>1667</v>
      </c>
      <c r="H47" s="328" t="s">
        <v>4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B9</f>
        <v>기업 #019</v>
      </c>
      <c r="C48" s="323" t="s">
        <v>2196</v>
      </c>
      <c r="D48" s="323" t="s">
        <v>1214</v>
      </c>
      <c r="E48" s="325"/>
      <c r="F48" s="325">
        <v>34500.0</v>
      </c>
      <c r="G48" s="327" t="s">
        <v>1667</v>
      </c>
      <c r="H48" s="328" t="s">
        <v>4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B9</f>
        <v>기업 #019</v>
      </c>
      <c r="C49" s="323" t="s">
        <v>2196</v>
      </c>
      <c r="D49" s="323" t="s">
        <v>1858</v>
      </c>
      <c r="E49" s="337"/>
      <c r="F49" s="325">
        <v>59824.0</v>
      </c>
      <c r="G49" s="327" t="s">
        <v>1859</v>
      </c>
      <c r="H49" s="328" t="s">
        <v>4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B9</f>
        <v>기업 #019</v>
      </c>
      <c r="C50" s="323" t="s">
        <v>2196</v>
      </c>
      <c r="D50" s="323" t="s">
        <v>2200</v>
      </c>
      <c r="E50" s="337"/>
      <c r="F50" s="325">
        <v>15900.0</v>
      </c>
      <c r="G50" s="327" t="s">
        <v>1859</v>
      </c>
      <c r="H50" s="328" t="s">
        <v>4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B5</f>
        <v>신한 #672</v>
      </c>
      <c r="C51" s="323" t="s">
        <v>2196</v>
      </c>
      <c r="D51" s="323" t="s">
        <v>1610</v>
      </c>
      <c r="E51" s="325">
        <v>3625625.0</v>
      </c>
      <c r="F51" s="325"/>
      <c r="G51" s="313" t="s">
        <v>2201</v>
      </c>
      <c r="H51" s="328" t="s">
        <v>1640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tr">
        <f>B13</f>
        <v>WISE SGD</v>
      </c>
      <c r="C52" s="323" t="s">
        <v>2202</v>
      </c>
      <c r="D52" s="323" t="s">
        <v>1803</v>
      </c>
      <c r="E52" s="337"/>
      <c r="F52" s="404">
        <v>27.77</v>
      </c>
      <c r="G52" s="327" t="s">
        <v>1068</v>
      </c>
      <c r="H52" s="328" t="s">
        <v>33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tr">
        <f>B13</f>
        <v>WISE SGD</v>
      </c>
      <c r="C53" s="323" t="s">
        <v>2194</v>
      </c>
      <c r="D53" s="323" t="s">
        <v>1110</v>
      </c>
      <c r="E53" s="325"/>
      <c r="F53" s="404">
        <v>4101.18</v>
      </c>
      <c r="G53" s="327" t="s">
        <v>679</v>
      </c>
      <c r="H53" s="328" t="s">
        <v>556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tr">
        <f>B12</f>
        <v>WISE USD</v>
      </c>
      <c r="C54" s="323" t="s">
        <v>2194</v>
      </c>
      <c r="D54" s="323" t="s">
        <v>1110</v>
      </c>
      <c r="E54" s="337">
        <v>3000.0</v>
      </c>
      <c r="F54" s="404"/>
      <c r="G54" s="327" t="s">
        <v>679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tr">
        <f>B12</f>
        <v>WISE USD</v>
      </c>
      <c r="C55" s="323" t="s">
        <v>2194</v>
      </c>
      <c r="D55" s="323" t="s">
        <v>2048</v>
      </c>
      <c r="E55" s="337"/>
      <c r="F55" s="404">
        <v>2499.75</v>
      </c>
      <c r="G55" s="327" t="s">
        <v>2146</v>
      </c>
      <c r="H55" s="328" t="s">
        <v>41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tr">
        <f>B12</f>
        <v>WISE USD</v>
      </c>
      <c r="C56" s="323" t="s">
        <v>2194</v>
      </c>
      <c r="D56" s="323" t="s">
        <v>1072</v>
      </c>
      <c r="E56" s="325"/>
      <c r="F56" s="404">
        <v>14.6</v>
      </c>
      <c r="G56" s="327" t="s">
        <v>1073</v>
      </c>
      <c r="H56" s="328" t="s">
        <v>33</v>
      </c>
      <c r="I56" s="141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412" t="str">
        <f>$B$15</f>
        <v>OCBC USD</v>
      </c>
      <c r="C57" s="413" t="s">
        <v>2194</v>
      </c>
      <c r="D57" s="413" t="s">
        <v>2085</v>
      </c>
      <c r="E57" s="403">
        <v>1703.3</v>
      </c>
      <c r="F57" s="424"/>
      <c r="G57" s="415" t="s">
        <v>2203</v>
      </c>
      <c r="H57" s="412" t="s">
        <v>2035</v>
      </c>
      <c r="I57" s="141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B5</f>
        <v>신한 #672</v>
      </c>
      <c r="C58" s="323" t="s">
        <v>2204</v>
      </c>
      <c r="D58" s="323" t="s">
        <v>2156</v>
      </c>
      <c r="E58" s="337"/>
      <c r="F58" s="325">
        <v>630210.0</v>
      </c>
      <c r="G58" s="327" t="s">
        <v>2205</v>
      </c>
      <c r="H58" s="328" t="s">
        <v>31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323" t="s">
        <v>2204</v>
      </c>
      <c r="D59" s="323" t="s">
        <v>2157</v>
      </c>
      <c r="E59" s="337"/>
      <c r="F59" s="325">
        <v>8362380.0</v>
      </c>
      <c r="G59" s="313" t="s">
        <v>2206</v>
      </c>
      <c r="H59" s="328" t="s">
        <v>31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B5</f>
        <v>신한 #672</v>
      </c>
      <c r="C60" s="323" t="s">
        <v>2204</v>
      </c>
      <c r="D60" s="323" t="s">
        <v>2158</v>
      </c>
      <c r="E60" s="337"/>
      <c r="F60" s="325">
        <v>1794790.0</v>
      </c>
      <c r="G60" s="313" t="s">
        <v>2207</v>
      </c>
      <c r="H60" s="328" t="s">
        <v>31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 t="str">
        <f>B5</f>
        <v>신한 #672</v>
      </c>
      <c r="C61" s="323" t="s">
        <v>2204</v>
      </c>
      <c r="D61" s="323" t="s">
        <v>2159</v>
      </c>
      <c r="E61" s="337"/>
      <c r="F61" s="325">
        <v>9056620.0</v>
      </c>
      <c r="G61" s="327" t="s">
        <v>2208</v>
      </c>
      <c r="H61" s="328" t="s">
        <v>31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tr">
        <f>B9</f>
        <v>기업 #019</v>
      </c>
      <c r="C62" s="323" t="s">
        <v>2204</v>
      </c>
      <c r="D62" s="323" t="s">
        <v>1297</v>
      </c>
      <c r="E62" s="325"/>
      <c r="F62" s="325">
        <v>6098870.0</v>
      </c>
      <c r="G62" s="313" t="s">
        <v>1593</v>
      </c>
      <c r="H62" s="328" t="s">
        <v>31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350" t="str">
        <f>B9</f>
        <v>기업 #019</v>
      </c>
      <c r="C63" s="323" t="s">
        <v>2204</v>
      </c>
      <c r="D63" s="323" t="s">
        <v>1299</v>
      </c>
      <c r="E63" s="325"/>
      <c r="F63" s="325">
        <v>609780.0</v>
      </c>
      <c r="G63" s="313" t="s">
        <v>1594</v>
      </c>
      <c r="H63" s="328" t="s">
        <v>31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 t="str">
        <f>B9</f>
        <v>기업 #019</v>
      </c>
      <c r="C64" s="323" t="s">
        <v>2204</v>
      </c>
      <c r="D64" s="323" t="s">
        <v>119</v>
      </c>
      <c r="E64" s="337"/>
      <c r="F64" s="325">
        <v>36444.0</v>
      </c>
      <c r="G64" s="327" t="s">
        <v>1859</v>
      </c>
      <c r="H64" s="328" t="s">
        <v>4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tr">
        <f>B9</f>
        <v>기업 #019</v>
      </c>
      <c r="C65" s="323" t="s">
        <v>2204</v>
      </c>
      <c r="D65" s="323" t="s">
        <v>1981</v>
      </c>
      <c r="E65" s="337"/>
      <c r="F65" s="325">
        <v>1000000.0</v>
      </c>
      <c r="G65" s="327" t="s">
        <v>1035</v>
      </c>
      <c r="H65" s="328" t="s">
        <v>556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350" t="str">
        <f>B5</f>
        <v>신한 #672</v>
      </c>
      <c r="C66" s="323" t="s">
        <v>2204</v>
      </c>
      <c r="D66" s="323" t="s">
        <v>1981</v>
      </c>
      <c r="E66" s="337">
        <v>1000000.0</v>
      </c>
      <c r="F66" s="325"/>
      <c r="G66" s="327" t="s">
        <v>1035</v>
      </c>
      <c r="H66" s="328" t="s">
        <v>556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350" t="str">
        <f>$B$16</f>
        <v>OCBC SGD</v>
      </c>
      <c r="C67" s="323" t="s">
        <v>2194</v>
      </c>
      <c r="D67" s="323" t="s">
        <v>828</v>
      </c>
      <c r="E67" s="325"/>
      <c r="F67" s="404">
        <v>10.0</v>
      </c>
      <c r="G67" s="327" t="s">
        <v>1565</v>
      </c>
      <c r="H67" s="328" t="s">
        <v>33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412" t="str">
        <f>$B$17</f>
        <v>Board Wallet (USDT)</v>
      </c>
      <c r="C68" s="323" t="s">
        <v>2209</v>
      </c>
      <c r="D68" s="431" t="s">
        <v>2210</v>
      </c>
      <c r="E68" s="337">
        <v>10372.92</v>
      </c>
      <c r="F68" s="337"/>
      <c r="G68" s="327" t="s">
        <v>2117</v>
      </c>
      <c r="H68" s="328" t="s">
        <v>556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 t="str">
        <f>B9</f>
        <v>기업 #019</v>
      </c>
      <c r="C69" s="323" t="s">
        <v>2211</v>
      </c>
      <c r="D69" s="374" t="s">
        <v>84</v>
      </c>
      <c r="E69" s="325"/>
      <c r="F69" s="325">
        <v>932179.0</v>
      </c>
      <c r="G69" s="327" t="s">
        <v>1660</v>
      </c>
      <c r="H69" s="286" t="s">
        <v>1642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tr">
        <f>B13</f>
        <v>WISE SGD</v>
      </c>
      <c r="C70" s="323" t="s">
        <v>2211</v>
      </c>
      <c r="D70" s="323" t="s">
        <v>2068</v>
      </c>
      <c r="E70" s="337">
        <v>3152.96</v>
      </c>
      <c r="F70" s="325"/>
      <c r="G70" s="327" t="s">
        <v>2212</v>
      </c>
      <c r="H70" s="328" t="s">
        <v>2035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412" t="str">
        <f t="shared" ref="B71:B74" si="10">$B$15</f>
        <v>OCBC USD</v>
      </c>
      <c r="C71" s="323" t="s">
        <v>2213</v>
      </c>
      <c r="D71" s="323" t="s">
        <v>2214</v>
      </c>
      <c r="E71" s="326"/>
      <c r="F71" s="371">
        <v>2077.3</v>
      </c>
      <c r="G71" s="327" t="s">
        <v>2215</v>
      </c>
      <c r="H71" s="328" t="s">
        <v>33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412" t="str">
        <f t="shared" si="10"/>
        <v>OCBC USD</v>
      </c>
      <c r="C72" s="323" t="s">
        <v>2213</v>
      </c>
      <c r="D72" s="323" t="s">
        <v>828</v>
      </c>
      <c r="E72" s="325"/>
      <c r="F72" s="404">
        <v>22.07</v>
      </c>
      <c r="G72" s="327" t="s">
        <v>1565</v>
      </c>
      <c r="H72" s="328" t="s">
        <v>33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412" t="str">
        <f t="shared" si="10"/>
        <v>OCBC USD</v>
      </c>
      <c r="C73" s="323" t="s">
        <v>2213</v>
      </c>
      <c r="D73" s="323" t="s">
        <v>828</v>
      </c>
      <c r="E73" s="325"/>
      <c r="F73" s="404">
        <v>15.0</v>
      </c>
      <c r="G73" s="327" t="s">
        <v>1565</v>
      </c>
      <c r="H73" s="328" t="s">
        <v>33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412" t="str">
        <f t="shared" si="10"/>
        <v>OCBC USD</v>
      </c>
      <c r="C74" s="323" t="s">
        <v>2213</v>
      </c>
      <c r="D74" s="323" t="s">
        <v>828</v>
      </c>
      <c r="E74" s="325"/>
      <c r="F74" s="404">
        <v>-0.01</v>
      </c>
      <c r="G74" s="327" t="s">
        <v>2216</v>
      </c>
      <c r="H74" s="328" t="s">
        <v>33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412" t="str">
        <f>B9</f>
        <v>기업 #019</v>
      </c>
      <c r="C75" s="323" t="s">
        <v>2217</v>
      </c>
      <c r="D75" s="323" t="s">
        <v>2165</v>
      </c>
      <c r="E75" s="325">
        <v>1440.0</v>
      </c>
      <c r="F75" s="325"/>
      <c r="G75" s="327" t="s">
        <v>2218</v>
      </c>
      <c r="H75" s="328" t="s">
        <v>75</v>
      </c>
      <c r="I75" s="141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412" t="str">
        <f>B5</f>
        <v>신한 #672</v>
      </c>
      <c r="C76" s="323" t="s">
        <v>2219</v>
      </c>
      <c r="D76" s="323" t="s">
        <v>1202</v>
      </c>
      <c r="E76" s="326"/>
      <c r="F76" s="326">
        <v>110000.0</v>
      </c>
      <c r="G76" s="327" t="s">
        <v>1202</v>
      </c>
      <c r="H76" s="286" t="s">
        <v>33</v>
      </c>
      <c r="I76" s="141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412" t="str">
        <f>B8</f>
        <v>하나 #138</v>
      </c>
      <c r="C77" s="323" t="s">
        <v>2220</v>
      </c>
      <c r="D77" s="323" t="s">
        <v>1981</v>
      </c>
      <c r="E77" s="337">
        <v>119988.06</v>
      </c>
      <c r="F77" s="337"/>
      <c r="G77" s="327" t="s">
        <v>1035</v>
      </c>
      <c r="H77" s="328" t="s">
        <v>556</v>
      </c>
      <c r="I77" s="141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412" t="str">
        <f>B8</f>
        <v>하나 #138</v>
      </c>
      <c r="C78" s="323" t="s">
        <v>2221</v>
      </c>
      <c r="D78" s="323" t="s">
        <v>1981</v>
      </c>
      <c r="E78" s="337"/>
      <c r="F78" s="337">
        <v>119988.06</v>
      </c>
      <c r="G78" s="313" t="s">
        <v>679</v>
      </c>
      <c r="H78" s="328" t="s">
        <v>556</v>
      </c>
      <c r="I78" s="141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412" t="str">
        <f>B7</f>
        <v>하나 #304</v>
      </c>
      <c r="C79" s="323" t="s">
        <v>2221</v>
      </c>
      <c r="D79" s="323" t="s">
        <v>1981</v>
      </c>
      <c r="E79" s="325">
        <v>1.70874996E8</v>
      </c>
      <c r="F79" s="325"/>
      <c r="G79" s="313" t="s">
        <v>679</v>
      </c>
      <c r="H79" s="328" t="s">
        <v>556</v>
      </c>
      <c r="I79" s="141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412" t="str">
        <f>B7</f>
        <v>하나 #304</v>
      </c>
      <c r="C80" s="323" t="s">
        <v>2221</v>
      </c>
      <c r="D80" s="323" t="s">
        <v>1981</v>
      </c>
      <c r="E80" s="325"/>
      <c r="F80" s="325">
        <v>1.6E8</v>
      </c>
      <c r="G80" s="327" t="s">
        <v>1035</v>
      </c>
      <c r="H80" s="328" t="s">
        <v>556</v>
      </c>
      <c r="I80" s="141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412" t="str">
        <f>B7</f>
        <v>하나 #304</v>
      </c>
      <c r="C81" s="323" t="s">
        <v>2221</v>
      </c>
      <c r="D81" s="323" t="s">
        <v>1115</v>
      </c>
      <c r="E81" s="325"/>
      <c r="F81" s="325">
        <v>500.0</v>
      </c>
      <c r="G81" s="327" t="s">
        <v>1565</v>
      </c>
      <c r="H81" s="328" t="s">
        <v>33</v>
      </c>
      <c r="I81" s="141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412" t="str">
        <f>B9</f>
        <v>기업 #019</v>
      </c>
      <c r="C82" s="323" t="s">
        <v>2221</v>
      </c>
      <c r="D82" s="323" t="s">
        <v>1981</v>
      </c>
      <c r="E82" s="326">
        <v>1.6E8</v>
      </c>
      <c r="F82" s="326"/>
      <c r="G82" s="327" t="s">
        <v>1035</v>
      </c>
      <c r="H82" s="328" t="s">
        <v>556</v>
      </c>
      <c r="I82" s="141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B9</f>
        <v>기업 #019</v>
      </c>
      <c r="C83" s="323" t="s">
        <v>2221</v>
      </c>
      <c r="D83" s="323" t="s">
        <v>1981</v>
      </c>
      <c r="E83" s="337"/>
      <c r="F83" s="325">
        <v>5000000.0</v>
      </c>
      <c r="G83" s="327" t="s">
        <v>1035</v>
      </c>
      <c r="H83" s="328" t="s">
        <v>556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323" t="s">
        <v>2221</v>
      </c>
      <c r="D84" s="323" t="s">
        <v>1981</v>
      </c>
      <c r="E84" s="325">
        <v>5000000.0</v>
      </c>
      <c r="F84" s="325"/>
      <c r="G84" s="327" t="s">
        <v>1035</v>
      </c>
      <c r="H84" s="328" t="s">
        <v>556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B9</f>
        <v>기업 #019</v>
      </c>
      <c r="C85" s="323" t="s">
        <v>2222</v>
      </c>
      <c r="D85" s="323" t="s">
        <v>41</v>
      </c>
      <c r="E85" s="337"/>
      <c r="F85" s="325">
        <v>1.00161225E8</v>
      </c>
      <c r="G85" s="327" t="s">
        <v>2223</v>
      </c>
      <c r="H85" s="328" t="s">
        <v>41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B9</f>
        <v>기업 #019</v>
      </c>
      <c r="C86" s="323" t="s">
        <v>2222</v>
      </c>
      <c r="D86" s="323" t="s">
        <v>2224</v>
      </c>
      <c r="E86" s="325">
        <v>2399480.0</v>
      </c>
      <c r="F86" s="325"/>
      <c r="G86" s="327" t="s">
        <v>2225</v>
      </c>
      <c r="H86" s="328" t="s">
        <v>1970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 t="str">
        <f>B5</f>
        <v>신한 #672</v>
      </c>
      <c r="C87" s="323" t="s">
        <v>2226</v>
      </c>
      <c r="D87" s="323" t="s">
        <v>1633</v>
      </c>
      <c r="E87" s="325"/>
      <c r="F87" s="325">
        <v>3483650.0</v>
      </c>
      <c r="G87" s="327" t="s">
        <v>1634</v>
      </c>
      <c r="H87" s="328" t="s">
        <v>33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350" t="str">
        <f>B7</f>
        <v>하나 #304</v>
      </c>
      <c r="C88" s="323" t="s">
        <v>2226</v>
      </c>
      <c r="D88" s="323" t="s">
        <v>721</v>
      </c>
      <c r="E88" s="325"/>
      <c r="F88" s="325">
        <v>9789387.0</v>
      </c>
      <c r="G88" s="327" t="s">
        <v>1634</v>
      </c>
      <c r="H88" s="328" t="s">
        <v>33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350" t="str">
        <f>B9</f>
        <v>기업 #019</v>
      </c>
      <c r="C89" s="323" t="s">
        <v>2226</v>
      </c>
      <c r="D89" s="323" t="s">
        <v>1669</v>
      </c>
      <c r="E89" s="325"/>
      <c r="F89" s="325">
        <v>3213734.0</v>
      </c>
      <c r="G89" s="327" t="s">
        <v>1634</v>
      </c>
      <c r="H89" s="328" t="s">
        <v>33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350" t="str">
        <f>B5</f>
        <v>신한 #672</v>
      </c>
      <c r="C90" s="323" t="s">
        <v>2226</v>
      </c>
      <c r="D90" s="323" t="s">
        <v>1950</v>
      </c>
      <c r="E90" s="337"/>
      <c r="F90" s="325">
        <v>55660.0</v>
      </c>
      <c r="G90" s="327" t="s">
        <v>1951</v>
      </c>
      <c r="H90" s="328" t="s">
        <v>27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 t="str">
        <f>B5</f>
        <v>신한 #672</v>
      </c>
      <c r="C91" s="323" t="s">
        <v>2226</v>
      </c>
      <c r="D91" s="323" t="s">
        <v>497</v>
      </c>
      <c r="E91" s="337"/>
      <c r="F91" s="325">
        <v>330000.0</v>
      </c>
      <c r="G91" s="327" t="s">
        <v>1952</v>
      </c>
      <c r="H91" s="328" t="s">
        <v>33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350" t="str">
        <f>B5</f>
        <v>신한 #672</v>
      </c>
      <c r="C92" s="323" t="s">
        <v>2226</v>
      </c>
      <c r="D92" s="323" t="s">
        <v>1953</v>
      </c>
      <c r="E92" s="337"/>
      <c r="F92" s="325">
        <v>37430.0</v>
      </c>
      <c r="G92" s="327" t="s">
        <v>1038</v>
      </c>
      <c r="H92" s="328" t="s">
        <v>4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B5</f>
        <v>신한 #672</v>
      </c>
      <c r="C93" s="323" t="s">
        <v>2226</v>
      </c>
      <c r="D93" s="323" t="s">
        <v>1953</v>
      </c>
      <c r="E93" s="337"/>
      <c r="F93" s="325">
        <v>37430.0</v>
      </c>
      <c r="G93" s="327" t="s">
        <v>1038</v>
      </c>
      <c r="H93" s="328" t="s">
        <v>4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B5</f>
        <v>신한 #672</v>
      </c>
      <c r="C94" s="323" t="s">
        <v>2226</v>
      </c>
      <c r="D94" s="323" t="s">
        <v>1953</v>
      </c>
      <c r="E94" s="337"/>
      <c r="F94" s="325">
        <v>50250.0</v>
      </c>
      <c r="G94" s="327" t="s">
        <v>1040</v>
      </c>
      <c r="H94" s="328" t="s">
        <v>4</v>
      </c>
      <c r="I94" s="141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B5</f>
        <v>신한 #672</v>
      </c>
      <c r="C95" s="323" t="s">
        <v>2226</v>
      </c>
      <c r="D95" s="323" t="s">
        <v>1953</v>
      </c>
      <c r="E95" s="337"/>
      <c r="F95" s="325">
        <v>20660.0</v>
      </c>
      <c r="G95" s="327" t="s">
        <v>1039</v>
      </c>
      <c r="H95" s="328" t="s">
        <v>4</v>
      </c>
      <c r="I95" s="141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B5</f>
        <v>신한 #672</v>
      </c>
      <c r="C96" s="323" t="s">
        <v>2226</v>
      </c>
      <c r="D96" s="323" t="s">
        <v>1953</v>
      </c>
      <c r="E96" s="337"/>
      <c r="F96" s="325">
        <v>20660.0</v>
      </c>
      <c r="G96" s="327" t="s">
        <v>1039</v>
      </c>
      <c r="H96" s="328" t="s">
        <v>4</v>
      </c>
      <c r="I96" s="141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B5</f>
        <v>신한 #672</v>
      </c>
      <c r="C97" s="323" t="s">
        <v>2226</v>
      </c>
      <c r="D97" s="323" t="s">
        <v>1954</v>
      </c>
      <c r="E97" s="337"/>
      <c r="F97" s="325">
        <v>98000.0</v>
      </c>
      <c r="G97" s="327" t="s">
        <v>1047</v>
      </c>
      <c r="H97" s="328" t="s">
        <v>4</v>
      </c>
      <c r="I97" s="141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350" t="str">
        <f>B13</f>
        <v>WISE SGD</v>
      </c>
      <c r="C98" s="323" t="s">
        <v>2217</v>
      </c>
      <c r="D98" s="323" t="s">
        <v>2071</v>
      </c>
      <c r="E98" s="371"/>
      <c r="F98" s="371">
        <v>88.0</v>
      </c>
      <c r="G98" s="327" t="s">
        <v>1719</v>
      </c>
      <c r="H98" s="328" t="s">
        <v>33</v>
      </c>
      <c r="I98" s="141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B12</f>
        <v>WISE USD</v>
      </c>
      <c r="C99" s="323" t="s">
        <v>2227</v>
      </c>
      <c r="D99" s="413" t="s">
        <v>1816</v>
      </c>
      <c r="E99" s="404"/>
      <c r="F99" s="404">
        <v>220.0</v>
      </c>
      <c r="G99" s="415" t="s">
        <v>1068</v>
      </c>
      <c r="H99" s="412" t="s">
        <v>33</v>
      </c>
      <c r="I99" s="141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 t="str">
        <f t="shared" ref="B100:B114" si="11">$B$15</f>
        <v>OCBC USD</v>
      </c>
      <c r="C100" s="323" t="s">
        <v>2219</v>
      </c>
      <c r="D100" s="323" t="s">
        <v>2228</v>
      </c>
      <c r="E100" s="337"/>
      <c r="F100" s="404">
        <v>516.0</v>
      </c>
      <c r="G100" s="327" t="s">
        <v>2229</v>
      </c>
      <c r="H100" s="412" t="s">
        <v>33</v>
      </c>
      <c r="I100" s="141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350" t="str">
        <f t="shared" si="11"/>
        <v>OCBC USD</v>
      </c>
      <c r="C101" s="323" t="s">
        <v>2219</v>
      </c>
      <c r="D101" s="323" t="s">
        <v>828</v>
      </c>
      <c r="E101" s="325"/>
      <c r="F101" s="404">
        <v>22.21</v>
      </c>
      <c r="G101" s="327" t="s">
        <v>1565</v>
      </c>
      <c r="H101" s="328" t="s">
        <v>33</v>
      </c>
      <c r="I101" s="141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350" t="str">
        <f t="shared" si="11"/>
        <v>OCBC USD</v>
      </c>
      <c r="C102" s="323" t="s">
        <v>2219</v>
      </c>
      <c r="D102" s="323" t="s">
        <v>828</v>
      </c>
      <c r="E102" s="325"/>
      <c r="F102" s="404">
        <v>15.0</v>
      </c>
      <c r="G102" s="327" t="s">
        <v>1565</v>
      </c>
      <c r="H102" s="328" t="s">
        <v>33</v>
      </c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350" t="str">
        <f t="shared" si="11"/>
        <v>OCBC USD</v>
      </c>
      <c r="C103" s="323" t="s">
        <v>2220</v>
      </c>
      <c r="D103" s="323" t="s">
        <v>1110</v>
      </c>
      <c r="E103" s="337">
        <v>129535.0</v>
      </c>
      <c r="F103" s="337"/>
      <c r="G103" s="327" t="s">
        <v>2067</v>
      </c>
      <c r="H103" s="328" t="s">
        <v>556</v>
      </c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350" t="str">
        <f t="shared" si="11"/>
        <v>OCBC USD</v>
      </c>
      <c r="C104" s="323" t="s">
        <v>2220</v>
      </c>
      <c r="D104" s="323" t="s">
        <v>828</v>
      </c>
      <c r="E104" s="325"/>
      <c r="F104" s="337">
        <v>7.33</v>
      </c>
      <c r="G104" s="327" t="s">
        <v>1565</v>
      </c>
      <c r="H104" s="328" t="s">
        <v>33</v>
      </c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350" t="str">
        <f t="shared" si="11"/>
        <v>OCBC USD</v>
      </c>
      <c r="C105" s="323" t="s">
        <v>2220</v>
      </c>
      <c r="D105" s="323" t="s">
        <v>1981</v>
      </c>
      <c r="E105" s="337"/>
      <c r="F105" s="337">
        <v>120000.0</v>
      </c>
      <c r="G105" s="327" t="s">
        <v>1035</v>
      </c>
      <c r="H105" s="328" t="s">
        <v>556</v>
      </c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 t="str">
        <f t="shared" si="11"/>
        <v>OCBC USD</v>
      </c>
      <c r="C106" s="323" t="s">
        <v>2220</v>
      </c>
      <c r="D106" s="323" t="s">
        <v>828</v>
      </c>
      <c r="E106" s="337"/>
      <c r="F106" s="337">
        <v>22.3</v>
      </c>
      <c r="G106" s="327" t="s">
        <v>1565</v>
      </c>
      <c r="H106" s="328" t="s">
        <v>33</v>
      </c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350" t="str">
        <f t="shared" si="11"/>
        <v>OCBC USD</v>
      </c>
      <c r="C107" s="323" t="s">
        <v>2220</v>
      </c>
      <c r="D107" s="323" t="s">
        <v>828</v>
      </c>
      <c r="E107" s="337"/>
      <c r="F107" s="337">
        <v>15.0</v>
      </c>
      <c r="G107" s="327" t="s">
        <v>1565</v>
      </c>
      <c r="H107" s="328" t="s">
        <v>33</v>
      </c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350" t="str">
        <f t="shared" si="11"/>
        <v>OCBC USD</v>
      </c>
      <c r="C108" s="323" t="s">
        <v>2226</v>
      </c>
      <c r="D108" s="413" t="s">
        <v>2085</v>
      </c>
      <c r="E108" s="337">
        <v>1203.63</v>
      </c>
      <c r="F108" s="337"/>
      <c r="G108" s="415" t="s">
        <v>2203</v>
      </c>
      <c r="H108" s="412" t="s">
        <v>2035</v>
      </c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350" t="str">
        <f t="shared" si="11"/>
        <v>OCBC USD</v>
      </c>
      <c r="C109" s="323" t="s">
        <v>2226</v>
      </c>
      <c r="D109" s="413" t="s">
        <v>2189</v>
      </c>
      <c r="E109" s="337"/>
      <c r="F109" s="337">
        <v>4114.44</v>
      </c>
      <c r="G109" s="415" t="s">
        <v>2230</v>
      </c>
      <c r="H109" s="328" t="s">
        <v>33</v>
      </c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350" t="str">
        <f t="shared" si="11"/>
        <v>OCBC USD</v>
      </c>
      <c r="C110" s="323" t="s">
        <v>2226</v>
      </c>
      <c r="D110" s="323" t="s">
        <v>828</v>
      </c>
      <c r="E110" s="326"/>
      <c r="F110" s="337">
        <v>22.35</v>
      </c>
      <c r="G110" s="327" t="s">
        <v>1565</v>
      </c>
      <c r="H110" s="328" t="s">
        <v>33</v>
      </c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350" t="str">
        <f t="shared" si="11"/>
        <v>OCBC USD</v>
      </c>
      <c r="C111" s="323" t="s">
        <v>2226</v>
      </c>
      <c r="D111" s="323" t="s">
        <v>828</v>
      </c>
      <c r="E111" s="291"/>
      <c r="F111" s="337">
        <v>15.0</v>
      </c>
      <c r="G111" s="327" t="s">
        <v>1565</v>
      </c>
      <c r="H111" s="328" t="s">
        <v>33</v>
      </c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350" t="str">
        <f t="shared" si="11"/>
        <v>OCBC USD</v>
      </c>
      <c r="C112" s="323" t="s">
        <v>2226</v>
      </c>
      <c r="D112" s="413" t="s">
        <v>2187</v>
      </c>
      <c r="E112" s="291"/>
      <c r="F112" s="337">
        <v>2088.27</v>
      </c>
      <c r="G112" s="415" t="s">
        <v>2231</v>
      </c>
      <c r="H112" s="328" t="s">
        <v>33</v>
      </c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350" t="str">
        <f t="shared" si="11"/>
        <v>OCBC USD</v>
      </c>
      <c r="C113" s="323" t="s">
        <v>2226</v>
      </c>
      <c r="D113" s="323" t="s">
        <v>828</v>
      </c>
      <c r="E113" s="291"/>
      <c r="F113" s="337">
        <v>22.35</v>
      </c>
      <c r="G113" s="327" t="s">
        <v>1565</v>
      </c>
      <c r="H113" s="328" t="s">
        <v>33</v>
      </c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350" t="str">
        <f t="shared" si="11"/>
        <v>OCBC USD</v>
      </c>
      <c r="C114" s="323" t="s">
        <v>2226</v>
      </c>
      <c r="D114" s="323" t="s">
        <v>828</v>
      </c>
      <c r="E114" s="291"/>
      <c r="F114" s="337">
        <v>15.0</v>
      </c>
      <c r="G114" s="327" t="s">
        <v>1565</v>
      </c>
      <c r="H114" s="328" t="s">
        <v>33</v>
      </c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412" t="str">
        <f t="shared" ref="B115:B118" si="12">$B$17</f>
        <v>Board Wallet (USDT)</v>
      </c>
      <c r="C115" s="282" t="s">
        <v>2232</v>
      </c>
      <c r="D115" s="323" t="s">
        <v>1110</v>
      </c>
      <c r="E115" s="291">
        <v>101406.0</v>
      </c>
      <c r="F115" s="337"/>
      <c r="G115" s="327" t="s">
        <v>2082</v>
      </c>
      <c r="H115" s="328" t="s">
        <v>556</v>
      </c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412" t="str">
        <f t="shared" si="12"/>
        <v>Board Wallet (USDT)</v>
      </c>
      <c r="C116" s="282" t="s">
        <v>2232</v>
      </c>
      <c r="D116" s="323" t="s">
        <v>1110</v>
      </c>
      <c r="E116" s="291"/>
      <c r="F116" s="337">
        <v>130000.0</v>
      </c>
      <c r="G116" s="327" t="s">
        <v>2067</v>
      </c>
      <c r="H116" s="328" t="s">
        <v>556</v>
      </c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412" t="str">
        <f t="shared" si="12"/>
        <v>Board Wallet (USDT)</v>
      </c>
      <c r="C117" s="282" t="s">
        <v>2226</v>
      </c>
      <c r="D117" s="323" t="s">
        <v>1110</v>
      </c>
      <c r="E117" s="291">
        <v>2253.371148</v>
      </c>
      <c r="F117" s="337"/>
      <c r="G117" s="313" t="s">
        <v>2233</v>
      </c>
      <c r="H117" s="328" t="s">
        <v>556</v>
      </c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412" t="str">
        <f t="shared" si="12"/>
        <v>Board Wallet (USDT)</v>
      </c>
      <c r="C118" s="282" t="s">
        <v>2226</v>
      </c>
      <c r="D118" s="323" t="s">
        <v>1110</v>
      </c>
      <c r="E118" s="291"/>
      <c r="F118" s="337">
        <v>1000.0</v>
      </c>
      <c r="G118" s="327" t="s">
        <v>2234</v>
      </c>
      <c r="H118" s="328" t="s">
        <v>930</v>
      </c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281"/>
      <c r="C126" s="282"/>
      <c r="D126" s="282"/>
      <c r="E126" s="291"/>
      <c r="F126" s="292"/>
      <c r="G126" s="313"/>
      <c r="H126" s="286"/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I131" s="107"/>
      <c r="J131" s="141"/>
      <c r="K131" s="141"/>
      <c r="L131" s="83"/>
      <c r="M131" s="84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</row>
    <row r="132" ht="15.0" customHeight="1">
      <c r="A132" s="105"/>
      <c r="I132" s="107"/>
      <c r="J132" s="141"/>
      <c r="K132" s="141"/>
      <c r="L132" s="83"/>
      <c r="M132" s="84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</row>
    <row r="133" ht="15.0" customHeight="1">
      <c r="A133" s="105"/>
      <c r="I133" s="107"/>
      <c r="J133" s="141"/>
      <c r="K133" s="141"/>
      <c r="L133" s="83"/>
      <c r="M133" s="84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</row>
    <row r="134" ht="15.0" customHeight="1">
      <c r="A134" s="105"/>
      <c r="I134" s="107"/>
      <c r="J134" s="141"/>
      <c r="K134" s="141"/>
      <c r="L134" s="83"/>
      <c r="M134" s="84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</row>
    <row r="135" ht="15.0" customHeight="1">
      <c r="A135" s="105"/>
      <c r="I135" s="107"/>
      <c r="J135" s="141"/>
      <c r="K135" s="141"/>
      <c r="L135" s="83"/>
      <c r="M135" s="84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</row>
    <row r="136" ht="15.0" customHeight="1">
      <c r="A136" s="105"/>
      <c r="I136" s="107"/>
      <c r="J136" s="141"/>
      <c r="K136" s="141"/>
      <c r="L136" s="83"/>
      <c r="M136" s="84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</row>
    <row r="137" ht="15.0" customHeight="1">
      <c r="A137" s="105"/>
      <c r="I137" s="107"/>
      <c r="J137" s="141"/>
      <c r="K137" s="141"/>
      <c r="L137" s="83"/>
      <c r="M137" s="84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</row>
    <row r="138" ht="15.0" customHeight="1">
      <c r="A138" s="105"/>
      <c r="I138" s="107"/>
      <c r="J138" s="141"/>
      <c r="K138" s="141"/>
      <c r="L138" s="83"/>
      <c r="M138" s="84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</row>
    <row r="139" ht="15.0" customHeight="1">
      <c r="A139" s="105"/>
      <c r="I139" s="107"/>
      <c r="J139" s="141"/>
      <c r="K139" s="141"/>
      <c r="L139" s="83"/>
      <c r="M139" s="84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</row>
    <row r="140" ht="15.0" customHeight="1">
      <c r="A140" s="105"/>
      <c r="I140" s="107"/>
      <c r="J140" s="141"/>
      <c r="K140" s="141"/>
      <c r="L140" s="83"/>
      <c r="M140" s="84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</row>
    <row r="141" ht="15.0" customHeight="1">
      <c r="A141" s="105"/>
      <c r="I141" s="107"/>
      <c r="J141" s="141"/>
      <c r="K141" s="141"/>
      <c r="L141" s="83"/>
      <c r="M141" s="84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</row>
    <row r="143" ht="15.0" customHeight="1">
      <c r="A143" s="105"/>
      <c r="I143" s="107"/>
      <c r="J143" s="141"/>
      <c r="K143" s="141"/>
      <c r="L143" s="83"/>
      <c r="M143" s="84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</row>
    <row r="144" ht="15.0" customHeight="1">
      <c r="A144" s="105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341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</sheetData>
  <autoFilter ref="$B$24:$H$126">
    <sortState ref="B24:H126">
      <sortCondition ref="B24:B126"/>
    </sortState>
  </autoFilter>
  <customSheetViews>
    <customSheetView guid="{CD2BF927-9D79-47FC-BBA8-927062D6B3F5}" filter="1" showAutoFilter="1">
      <autoFilter ref="$B$24:$H$126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26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hidden="1" customHeight="1" outlineLevel="1">
      <c r="A1" s="135" t="s">
        <v>513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hidden="1" customHeight="1" outlineLevel="1">
      <c r="A2" s="99"/>
      <c r="B2" s="100"/>
      <c r="C2" s="100"/>
      <c r="D2" s="99"/>
      <c r="E2" s="99"/>
      <c r="F2" s="99"/>
      <c r="G2" s="99"/>
      <c r="H2" s="297"/>
      <c r="I2" s="217" t="s">
        <v>848</v>
      </c>
      <c r="J2" s="217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hidden="1" customHeight="1" outlineLevel="1">
      <c r="A3" s="101"/>
      <c r="B3" s="136" t="s">
        <v>3</v>
      </c>
      <c r="C3" s="136"/>
      <c r="D3" s="104"/>
      <c r="E3" s="104"/>
      <c r="F3" s="104"/>
      <c r="G3" s="218" t="s">
        <v>2235</v>
      </c>
      <c r="H3" s="115"/>
      <c r="I3" s="299" t="s">
        <v>19</v>
      </c>
      <c r="J3" s="300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hidden="1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351"/>
      <c r="I4" s="299" t="s">
        <v>23</v>
      </c>
      <c r="J4" s="300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hidden="1" customHeight="1" outlineLevel="1">
      <c r="A5" s="105"/>
      <c r="B5" s="224" t="s">
        <v>14</v>
      </c>
      <c r="C5" s="225" t="s">
        <v>15</v>
      </c>
      <c r="D5" s="226">
        <f>'25.01월'!G5</f>
        <v>1779081</v>
      </c>
      <c r="E5" s="355">
        <f t="shared" ref="E5:E17" si="1">sumif($B$25:$B$168,B5,$E$25:$E$168)</f>
        <v>29276550</v>
      </c>
      <c r="F5" s="356">
        <f t="shared" ref="F5:F17" si="2">sumif($B$25:$B$168,B5,$F$25:$F$168)</f>
        <v>26707083</v>
      </c>
      <c r="G5" s="229">
        <f t="shared" ref="G5:G17" si="3">D5+E5-F5</f>
        <v>4348548</v>
      </c>
      <c r="H5" s="351"/>
      <c r="I5" s="299" t="s">
        <v>23</v>
      </c>
      <c r="J5" s="300">
        <f>IFERROR(__xludf.DUMMYFUNCTION("GOOGLEFINANCE(""SGDUSD"")"),0.7766387)</f>
        <v>0.7766387</v>
      </c>
      <c r="K5" s="105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hidden="1" customHeight="1" outlineLevel="1">
      <c r="A6" s="105"/>
      <c r="B6" s="230" t="s">
        <v>551</v>
      </c>
      <c r="C6" s="231" t="s">
        <v>19</v>
      </c>
      <c r="D6" s="232">
        <f>'25.01월'!G6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105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hidden="1" customHeight="1" outlineLevel="1">
      <c r="A7" s="105"/>
      <c r="B7" s="230" t="s">
        <v>552</v>
      </c>
      <c r="C7" s="380" t="s">
        <v>15</v>
      </c>
      <c r="D7" s="381">
        <f>'25.01월'!G7</f>
        <v>1508455</v>
      </c>
      <c r="E7" s="359">
        <f t="shared" si="1"/>
        <v>141441927</v>
      </c>
      <c r="F7" s="360">
        <f t="shared" si="2"/>
        <v>141951044</v>
      </c>
      <c r="G7" s="239">
        <f t="shared" si="3"/>
        <v>999338</v>
      </c>
      <c r="H7" s="125"/>
      <c r="I7" s="105"/>
      <c r="J7" s="421" t="s">
        <v>2141</v>
      </c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hidden="1" customHeight="1" outlineLevel="1">
      <c r="A8" s="105"/>
      <c r="B8" s="230" t="s">
        <v>553</v>
      </c>
      <c r="C8" s="231" t="s">
        <v>19</v>
      </c>
      <c r="D8" s="232">
        <f>'25.01월'!G8</f>
        <v>0</v>
      </c>
      <c r="E8" s="361">
        <f t="shared" si="1"/>
        <v>99995</v>
      </c>
      <c r="F8" s="358">
        <f t="shared" si="2"/>
        <v>99995</v>
      </c>
      <c r="G8" s="235">
        <f t="shared" si="3"/>
        <v>0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hidden="1" customHeight="1" outlineLevel="1">
      <c r="A9" s="105"/>
      <c r="B9" s="230" t="s">
        <v>1582</v>
      </c>
      <c r="C9" s="231" t="s">
        <v>15</v>
      </c>
      <c r="D9" s="381">
        <f>'25.01월'!G9</f>
        <v>61230259</v>
      </c>
      <c r="E9" s="359">
        <f t="shared" si="1"/>
        <v>137003125</v>
      </c>
      <c r="F9" s="360">
        <f t="shared" si="2"/>
        <v>168608284</v>
      </c>
      <c r="G9" s="239">
        <f t="shared" si="3"/>
        <v>29625100</v>
      </c>
      <c r="H9" s="422">
        <f>G5+G7+G9</f>
        <v>34972986</v>
      </c>
      <c r="I9" s="405">
        <f>(G5+G7+G9)/J3</f>
        <v>23747.12591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hidden="1" customHeight="1" outlineLevel="1">
      <c r="A10" s="105"/>
      <c r="B10" s="230" t="s">
        <v>1584</v>
      </c>
      <c r="C10" s="231" t="s">
        <v>15</v>
      </c>
      <c r="D10" s="381">
        <f>'25.01월'!G10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hidden="1" customHeight="1" outlineLevel="1">
      <c r="A11" s="105"/>
      <c r="B11" s="230" t="s">
        <v>1586</v>
      </c>
      <c r="C11" s="231" t="s">
        <v>19</v>
      </c>
      <c r="D11" s="232">
        <f>'25.01월'!G11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hidden="1" customHeight="1" outlineLevel="1">
      <c r="A12" s="105"/>
      <c r="B12" s="230" t="s">
        <v>18</v>
      </c>
      <c r="C12" s="231" t="s">
        <v>19</v>
      </c>
      <c r="D12" s="232">
        <f>'25.01월'!G12</f>
        <v>265.65</v>
      </c>
      <c r="E12" s="361">
        <f t="shared" si="1"/>
        <v>5400.49</v>
      </c>
      <c r="F12" s="362">
        <f t="shared" si="2"/>
        <v>4755.74</v>
      </c>
      <c r="G12" s="329">
        <f t="shared" si="3"/>
        <v>910.4</v>
      </c>
      <c r="H12" s="422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hidden="1" customHeight="1" outlineLevel="1">
      <c r="A13" s="105"/>
      <c r="B13" s="230" t="s">
        <v>22</v>
      </c>
      <c r="C13" s="231" t="s">
        <v>23</v>
      </c>
      <c r="D13" s="232">
        <f>'25.01월'!G13</f>
        <v>17615.88</v>
      </c>
      <c r="E13" s="363">
        <f t="shared" si="1"/>
        <v>2721.24</v>
      </c>
      <c r="F13" s="364">
        <f t="shared" si="2"/>
        <v>6253.54</v>
      </c>
      <c r="G13" s="320">
        <f t="shared" si="3"/>
        <v>14083.58</v>
      </c>
      <c r="H13" s="423">
        <f>G13*J5</f>
        <v>10937.85326</v>
      </c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hidden="1" customHeight="1" outlineLevel="1">
      <c r="A14" s="105"/>
      <c r="B14" s="230" t="s">
        <v>26</v>
      </c>
      <c r="C14" s="231" t="s">
        <v>15</v>
      </c>
      <c r="D14" s="381">
        <f>'25.01월'!G14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hidden="1" customHeight="1" outlineLevel="1">
      <c r="A15" s="105"/>
      <c r="B15" s="230" t="s">
        <v>746</v>
      </c>
      <c r="C15" s="231" t="s">
        <v>19</v>
      </c>
      <c r="D15" s="232">
        <f>'25.01월'!G15</f>
        <v>49100.65</v>
      </c>
      <c r="E15" s="361">
        <f t="shared" si="1"/>
        <v>97715.6</v>
      </c>
      <c r="F15" s="358">
        <f t="shared" si="2"/>
        <v>133588.76</v>
      </c>
      <c r="G15" s="235">
        <f t="shared" si="3"/>
        <v>13227.49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hidden="1" customHeight="1" outlineLevel="1">
      <c r="A16" s="105"/>
      <c r="B16" s="305" t="s">
        <v>747</v>
      </c>
      <c r="C16" s="306" t="s">
        <v>23</v>
      </c>
      <c r="D16" s="366">
        <f>'25.01월'!G16</f>
        <v>5360.64</v>
      </c>
      <c r="E16" s="366">
        <f t="shared" si="1"/>
        <v>0</v>
      </c>
      <c r="F16" s="367">
        <f t="shared" si="2"/>
        <v>3125.58</v>
      </c>
      <c r="G16" s="310">
        <f t="shared" si="3"/>
        <v>2235.06</v>
      </c>
      <c r="H16" s="125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hidden="1" customHeight="1" outlineLevel="1">
      <c r="A17" s="105"/>
      <c r="B17" s="406" t="s">
        <v>1962</v>
      </c>
      <c r="C17" s="407" t="s">
        <v>19</v>
      </c>
      <c r="D17" s="408">
        <f>'25.01월'!G17</f>
        <v>1987.248107</v>
      </c>
      <c r="E17" s="409">
        <f t="shared" si="1"/>
        <v>97128.13789</v>
      </c>
      <c r="F17" s="410">
        <f t="shared" si="2"/>
        <v>98000</v>
      </c>
      <c r="G17" s="411">
        <f t="shared" si="3"/>
        <v>1115.385998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hidden="1" outlineLevel="1">
      <c r="A18" s="109"/>
      <c r="B18" s="259" t="s">
        <v>35</v>
      </c>
      <c r="C18" s="260"/>
      <c r="D18" s="261">
        <f t="shared" ref="D18:G18" si="4">D5+D7+D14+D9+D10</f>
        <v>64517800</v>
      </c>
      <c r="E18" s="262">
        <f t="shared" si="4"/>
        <v>307721602</v>
      </c>
      <c r="F18" s="263">
        <f t="shared" si="4"/>
        <v>337266411</v>
      </c>
      <c r="G18" s="345">
        <f t="shared" si="4"/>
        <v>34972991</v>
      </c>
      <c r="H18" s="353">
        <f>G18</f>
        <v>34972991</v>
      </c>
      <c r="I18" s="353">
        <f>D18</f>
        <v>64517800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hidden="1" outlineLevel="1">
      <c r="A19" s="109"/>
      <c r="B19" s="266" t="s">
        <v>38</v>
      </c>
      <c r="C19" s="267"/>
      <c r="D19" s="268">
        <f t="shared" ref="D19:G19" si="5">D6+D8+D12+D15+D11+D17</f>
        <v>51355.85811</v>
      </c>
      <c r="E19" s="269">
        <f t="shared" si="5"/>
        <v>300239.2279</v>
      </c>
      <c r="F19" s="270">
        <f t="shared" si="5"/>
        <v>336339.5</v>
      </c>
      <c r="G19" s="346">
        <f t="shared" si="5"/>
        <v>15255.586</v>
      </c>
      <c r="H19" s="265">
        <f>rounddown(G19*$J$3,0)</f>
        <v>22467282</v>
      </c>
      <c r="I19" s="265">
        <f>rounddown(D19*$J$3,0)</f>
        <v>75633056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hidden="1" outlineLevel="1">
      <c r="A20" s="109"/>
      <c r="B20" s="272" t="s">
        <v>677</v>
      </c>
      <c r="C20" s="273"/>
      <c r="D20" s="274">
        <f t="shared" ref="D20:G20" si="6">D13+D16</f>
        <v>22976.52</v>
      </c>
      <c r="E20" s="274">
        <f t="shared" si="6"/>
        <v>2721.24</v>
      </c>
      <c r="F20" s="275">
        <f t="shared" si="6"/>
        <v>9379.12</v>
      </c>
      <c r="G20" s="347">
        <f t="shared" si="6"/>
        <v>16318.64</v>
      </c>
      <c r="H20" s="277">
        <f>rounddown(G20*$J$4,0)</f>
        <v>18666647</v>
      </c>
      <c r="I20" s="277">
        <f>rounddown(D20*$J$4,0)</f>
        <v>26282496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hidden="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76106920</v>
      </c>
      <c r="I21" s="279">
        <f t="shared" si="7"/>
        <v>166433352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 collapsed="1">
      <c r="A22" s="115"/>
      <c r="B22" s="280"/>
      <c r="C22" s="280"/>
      <c r="D22" s="280"/>
      <c r="E22" s="311"/>
      <c r="F22" s="311"/>
      <c r="G22" s="280"/>
      <c r="H22" s="336">
        <f>H21-I21</f>
        <v>-90326432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-61332.85712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hidden="1" customHeight="1">
      <c r="A25" s="105"/>
      <c r="B25" s="350" t="str">
        <f t="shared" ref="B25:B30" si="8">$B$15</f>
        <v>OCBC USD</v>
      </c>
      <c r="C25" s="323" t="s">
        <v>2236</v>
      </c>
      <c r="D25" s="323" t="s">
        <v>740</v>
      </c>
      <c r="E25" s="337"/>
      <c r="F25" s="404">
        <v>9386.43</v>
      </c>
      <c r="G25" s="327" t="s">
        <v>2237</v>
      </c>
      <c r="H25" s="328" t="s">
        <v>41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hidden="1" customHeight="1">
      <c r="A26" s="105"/>
      <c r="B26" s="350" t="str">
        <f t="shared" si="8"/>
        <v>OCBC USD</v>
      </c>
      <c r="C26" s="323" t="s">
        <v>2236</v>
      </c>
      <c r="D26" s="323" t="s">
        <v>828</v>
      </c>
      <c r="E26" s="325"/>
      <c r="F26" s="404">
        <v>15.0</v>
      </c>
      <c r="G26" s="327" t="s">
        <v>1565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hidden="1" customHeight="1">
      <c r="A27" s="105"/>
      <c r="B27" s="350" t="str">
        <f t="shared" si="8"/>
        <v>OCBC USD</v>
      </c>
      <c r="C27" s="323" t="s">
        <v>2236</v>
      </c>
      <c r="D27" s="323" t="s">
        <v>828</v>
      </c>
      <c r="E27" s="325"/>
      <c r="F27" s="404">
        <v>22.07</v>
      </c>
      <c r="G27" s="327" t="s">
        <v>1565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hidden="1" customHeight="1">
      <c r="A28" s="105"/>
      <c r="B28" s="350" t="str">
        <f t="shared" si="8"/>
        <v>OCBC USD</v>
      </c>
      <c r="C28" s="323" t="s">
        <v>2236</v>
      </c>
      <c r="D28" s="323" t="s">
        <v>2238</v>
      </c>
      <c r="E28" s="337"/>
      <c r="F28" s="404">
        <v>10000.0</v>
      </c>
      <c r="G28" s="327" t="s">
        <v>2239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hidden="1" customHeight="1">
      <c r="A29" s="105"/>
      <c r="B29" s="350" t="str">
        <f t="shared" si="8"/>
        <v>OCBC USD</v>
      </c>
      <c r="C29" s="323" t="s">
        <v>2236</v>
      </c>
      <c r="D29" s="323" t="s">
        <v>828</v>
      </c>
      <c r="E29" s="325"/>
      <c r="F29" s="404">
        <v>15.0</v>
      </c>
      <c r="G29" s="327" t="s">
        <v>1565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hidden="1" customHeight="1">
      <c r="A30" s="105"/>
      <c r="B30" s="350" t="str">
        <f t="shared" si="8"/>
        <v>OCBC USD</v>
      </c>
      <c r="C30" s="323" t="s">
        <v>2236</v>
      </c>
      <c r="D30" s="323" t="s">
        <v>828</v>
      </c>
      <c r="E30" s="325"/>
      <c r="F30" s="404">
        <v>22.09</v>
      </c>
      <c r="G30" s="327" t="s">
        <v>1565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hidden="1" customHeight="1">
      <c r="A31" s="105"/>
      <c r="B31" s="350" t="str">
        <f t="shared" ref="B31:B32" si="9">$B$16</f>
        <v>OCBC SGD</v>
      </c>
      <c r="C31" s="323" t="s">
        <v>2236</v>
      </c>
      <c r="D31" s="374" t="s">
        <v>2176</v>
      </c>
      <c r="E31" s="337"/>
      <c r="F31" s="337">
        <v>2820.98</v>
      </c>
      <c r="G31" s="327" t="s">
        <v>2240</v>
      </c>
      <c r="H31" s="427" t="s">
        <v>31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hidden="1" customHeight="1">
      <c r="A32" s="105"/>
      <c r="B32" s="350" t="str">
        <f t="shared" si="9"/>
        <v>OCBC SGD</v>
      </c>
      <c r="C32" s="323" t="s">
        <v>2241</v>
      </c>
      <c r="D32" s="323" t="s">
        <v>828</v>
      </c>
      <c r="E32" s="325"/>
      <c r="F32" s="404">
        <v>10.0</v>
      </c>
      <c r="G32" s="327" t="s">
        <v>1565</v>
      </c>
      <c r="H32" s="328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hidden="1" customHeight="1">
      <c r="A33" s="105"/>
      <c r="B33" s="428" t="str">
        <f>B5</f>
        <v>신한 #672</v>
      </c>
      <c r="C33" s="323" t="s">
        <v>2236</v>
      </c>
      <c r="D33" s="429" t="s">
        <v>920</v>
      </c>
      <c r="E33" s="430"/>
      <c r="F33" s="424">
        <v>80300.0</v>
      </c>
      <c r="G33" s="415" t="s">
        <v>1006</v>
      </c>
      <c r="H33" s="412" t="s">
        <v>33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hidden="1" customHeight="1">
      <c r="A34" s="105"/>
      <c r="B34" s="350" t="str">
        <f>B9</f>
        <v>기업 #019</v>
      </c>
      <c r="C34" s="323" t="s">
        <v>2242</v>
      </c>
      <c r="D34" s="323" t="s">
        <v>1981</v>
      </c>
      <c r="E34" s="325"/>
      <c r="F34" s="414">
        <v>2.0E7</v>
      </c>
      <c r="G34" s="327" t="s">
        <v>1035</v>
      </c>
      <c r="H34" s="328" t="s">
        <v>556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hidden="1" customHeight="1">
      <c r="A35" s="105"/>
      <c r="B35" s="350" t="str">
        <f>B9</f>
        <v>기업 #019</v>
      </c>
      <c r="C35" s="323" t="s">
        <v>2242</v>
      </c>
      <c r="D35" s="323" t="s">
        <v>1991</v>
      </c>
      <c r="E35" s="325"/>
      <c r="F35" s="414">
        <v>1.2456558E7</v>
      </c>
      <c r="G35" s="327" t="s">
        <v>2243</v>
      </c>
      <c r="H35" s="328" t="s">
        <v>33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hidden="1" customHeight="1">
      <c r="A36" s="105"/>
      <c r="B36" s="350" t="str">
        <f>B9</f>
        <v>기업 #019</v>
      </c>
      <c r="C36" s="323" t="s">
        <v>2242</v>
      </c>
      <c r="D36" s="323" t="s">
        <v>1829</v>
      </c>
      <c r="E36" s="325"/>
      <c r="F36" s="414">
        <v>825000.0</v>
      </c>
      <c r="G36" s="327" t="s">
        <v>1639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hidden="1" customHeight="1">
      <c r="A37" s="105"/>
      <c r="B37" s="350" t="str">
        <f>B9</f>
        <v>기업 #019</v>
      </c>
      <c r="C37" s="323" t="s">
        <v>2242</v>
      </c>
      <c r="D37" s="323" t="s">
        <v>1552</v>
      </c>
      <c r="E37" s="325"/>
      <c r="F37" s="414">
        <v>286440.0</v>
      </c>
      <c r="G37" s="327" t="s">
        <v>1655</v>
      </c>
      <c r="H37" s="328" t="s">
        <v>33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hidden="1" customHeight="1">
      <c r="A38" s="105"/>
      <c r="B38" s="350" t="str">
        <f>B9</f>
        <v>기업 #019</v>
      </c>
      <c r="C38" s="323" t="s">
        <v>2242</v>
      </c>
      <c r="D38" s="323" t="s">
        <v>789</v>
      </c>
      <c r="E38" s="326"/>
      <c r="F38" s="424">
        <v>6712090.0</v>
      </c>
      <c r="G38" s="327" t="s">
        <v>1638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tr">
        <f>B9</f>
        <v>기업 #019</v>
      </c>
      <c r="C39" s="323" t="s">
        <v>2242</v>
      </c>
      <c r="D39" s="323" t="s">
        <v>1623</v>
      </c>
      <c r="E39" s="326"/>
      <c r="F39" s="424">
        <v>138572.0</v>
      </c>
      <c r="G39" s="327" t="s">
        <v>1859</v>
      </c>
      <c r="H39" s="328" t="s">
        <v>4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B9</f>
        <v>기업 #019</v>
      </c>
      <c r="C40" s="323" t="s">
        <v>2242</v>
      </c>
      <c r="D40" s="323" t="s">
        <v>119</v>
      </c>
      <c r="E40" s="326"/>
      <c r="F40" s="424">
        <v>37073.0</v>
      </c>
      <c r="G40" s="327" t="s">
        <v>1859</v>
      </c>
      <c r="H40" s="328" t="s">
        <v>4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412" t="str">
        <f>B9</f>
        <v>기업 #019</v>
      </c>
      <c r="C41" s="323" t="s">
        <v>2242</v>
      </c>
      <c r="D41" s="323" t="s">
        <v>2200</v>
      </c>
      <c r="E41" s="337"/>
      <c r="F41" s="325">
        <v>16381.0</v>
      </c>
      <c r="G41" s="327" t="s">
        <v>1859</v>
      </c>
      <c r="H41" s="328" t="s">
        <v>4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B9</f>
        <v>기업 #019</v>
      </c>
      <c r="C42" s="323" t="s">
        <v>2242</v>
      </c>
      <c r="D42" s="323" t="s">
        <v>113</v>
      </c>
      <c r="E42" s="337"/>
      <c r="F42" s="325">
        <v>48000.0</v>
      </c>
      <c r="G42" s="313" t="s">
        <v>1667</v>
      </c>
      <c r="H42" s="328" t="s">
        <v>4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기업 #019</v>
      </c>
      <c r="C43" s="323" t="s">
        <v>2242</v>
      </c>
      <c r="D43" s="323" t="s">
        <v>1858</v>
      </c>
      <c r="E43" s="337"/>
      <c r="F43" s="325">
        <v>100758.0</v>
      </c>
      <c r="G43" s="313" t="s">
        <v>1859</v>
      </c>
      <c r="H43" s="328" t="s">
        <v>4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hidden="1" customHeight="1">
      <c r="A44" s="105"/>
      <c r="B44" s="281" t="str">
        <f>B5</f>
        <v>신한 #672</v>
      </c>
      <c r="C44" s="323" t="s">
        <v>2242</v>
      </c>
      <c r="D44" s="323" t="s">
        <v>1981</v>
      </c>
      <c r="E44" s="325">
        <v>2.0E7</v>
      </c>
      <c r="F44" s="325"/>
      <c r="G44" s="327" t="s">
        <v>1035</v>
      </c>
      <c r="H44" s="328" t="s">
        <v>556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hidden="1" customHeight="1">
      <c r="A45" s="105"/>
      <c r="B45" s="281" t="str">
        <f>B9</f>
        <v>기업 #019</v>
      </c>
      <c r="C45" s="323" t="s">
        <v>2244</v>
      </c>
      <c r="D45" s="323" t="s">
        <v>1297</v>
      </c>
      <c r="E45" s="326"/>
      <c r="F45" s="326">
        <v>6098870.0</v>
      </c>
      <c r="G45" s="327" t="s">
        <v>1652</v>
      </c>
      <c r="H45" s="328" t="s">
        <v>31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hidden="1" customHeight="1">
      <c r="A46" s="105"/>
      <c r="B46" s="281" t="str">
        <f>B9</f>
        <v>기업 #019</v>
      </c>
      <c r="C46" s="323" t="s">
        <v>2244</v>
      </c>
      <c r="D46" s="323" t="s">
        <v>1299</v>
      </c>
      <c r="E46" s="325"/>
      <c r="F46" s="414">
        <v>609780.0</v>
      </c>
      <c r="G46" s="313" t="s">
        <v>1654</v>
      </c>
      <c r="H46" s="328" t="s">
        <v>31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hidden="1" customHeight="1">
      <c r="A47" s="105"/>
      <c r="B47" s="281" t="str">
        <f>B5</f>
        <v>신한 #672</v>
      </c>
      <c r="C47" s="323" t="s">
        <v>2244</v>
      </c>
      <c r="D47" s="323" t="s">
        <v>2245</v>
      </c>
      <c r="E47" s="337"/>
      <c r="F47" s="325">
        <v>671130.0</v>
      </c>
      <c r="G47" s="327" t="s">
        <v>2245</v>
      </c>
      <c r="H47" s="328" t="s">
        <v>31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hidden="1" customHeight="1">
      <c r="A48" s="105"/>
      <c r="B48" s="281" t="str">
        <f>B5</f>
        <v>신한 #672</v>
      </c>
      <c r="C48" s="323" t="s">
        <v>2244</v>
      </c>
      <c r="D48" s="323" t="s">
        <v>2246</v>
      </c>
      <c r="E48" s="337"/>
      <c r="F48" s="325">
        <v>8873840.0</v>
      </c>
      <c r="G48" s="313" t="s">
        <v>2246</v>
      </c>
      <c r="H48" s="328" t="s">
        <v>31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hidden="1" customHeight="1">
      <c r="A49" s="105"/>
      <c r="B49" s="281" t="str">
        <f>B5</f>
        <v>신한 #672</v>
      </c>
      <c r="C49" s="323" t="s">
        <v>2244</v>
      </c>
      <c r="D49" s="323" t="s">
        <v>2247</v>
      </c>
      <c r="E49" s="337"/>
      <c r="F49" s="325">
        <v>1911290.0</v>
      </c>
      <c r="G49" s="313" t="s">
        <v>2247</v>
      </c>
      <c r="H49" s="328" t="s">
        <v>31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hidden="1" customHeight="1">
      <c r="A50" s="105"/>
      <c r="B50" s="350" t="str">
        <f>B5</f>
        <v>신한 #672</v>
      </c>
      <c r="C50" s="323" t="s">
        <v>2244</v>
      </c>
      <c r="D50" s="323" t="s">
        <v>2248</v>
      </c>
      <c r="E50" s="337"/>
      <c r="F50" s="325">
        <v>9464980.0</v>
      </c>
      <c r="G50" s="327" t="s">
        <v>2248</v>
      </c>
      <c r="H50" s="328" t="s">
        <v>31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B9</f>
        <v>기업 #019</v>
      </c>
      <c r="C51" s="323" t="s">
        <v>2249</v>
      </c>
      <c r="D51" s="323" t="s">
        <v>2002</v>
      </c>
      <c r="E51" s="337"/>
      <c r="F51" s="325">
        <v>100000.0</v>
      </c>
      <c r="G51" s="327" t="s">
        <v>2250</v>
      </c>
      <c r="H51" s="328" t="s">
        <v>4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hidden="1" customHeight="1">
      <c r="A52" s="105"/>
      <c r="B52" s="412" t="str">
        <f t="shared" ref="B52:B53" si="10">$B$17</f>
        <v>Board Wallet (USDT)</v>
      </c>
      <c r="C52" s="323" t="s">
        <v>2251</v>
      </c>
      <c r="D52" s="323" t="s">
        <v>1110</v>
      </c>
      <c r="E52" s="325">
        <v>88997.0</v>
      </c>
      <c r="F52" s="325"/>
      <c r="G52" s="313" t="s">
        <v>2252</v>
      </c>
      <c r="H52" s="328" t="s">
        <v>556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hidden="1" customHeight="1">
      <c r="A53" s="105"/>
      <c r="B53" s="412" t="str">
        <f t="shared" si="10"/>
        <v>Board Wallet (USDT)</v>
      </c>
      <c r="C53" s="323" t="s">
        <v>2251</v>
      </c>
      <c r="D53" s="323" t="s">
        <v>1110</v>
      </c>
      <c r="E53" s="337">
        <v>97.0</v>
      </c>
      <c r="F53" s="404"/>
      <c r="G53" s="313" t="s">
        <v>2252</v>
      </c>
      <c r="H53" s="328" t="s">
        <v>556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hidden="1" customHeight="1">
      <c r="A54" s="105"/>
      <c r="B54" s="350" t="str">
        <f>$B$16</f>
        <v>OCBC SGD</v>
      </c>
      <c r="C54" s="323" t="s">
        <v>2253</v>
      </c>
      <c r="D54" s="374" t="s">
        <v>2176</v>
      </c>
      <c r="E54" s="337"/>
      <c r="F54" s="337">
        <v>294.6</v>
      </c>
      <c r="G54" s="327" t="s">
        <v>2254</v>
      </c>
      <c r="H54" s="427" t="s">
        <v>31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tr">
        <f>B9</f>
        <v>기업 #019</v>
      </c>
      <c r="C55" s="323" t="s">
        <v>2255</v>
      </c>
      <c r="D55" s="323" t="s">
        <v>2218</v>
      </c>
      <c r="E55" s="325">
        <v>3125.0</v>
      </c>
      <c r="F55" s="414"/>
      <c r="G55" s="327" t="s">
        <v>2218</v>
      </c>
      <c r="H55" s="328" t="s">
        <v>75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tr">
        <f>B9</f>
        <v>기업 #019</v>
      </c>
      <c r="C56" s="323" t="s">
        <v>2255</v>
      </c>
      <c r="D56" s="374" t="s">
        <v>84</v>
      </c>
      <c r="E56" s="325"/>
      <c r="F56" s="414">
        <v>1580745.0</v>
      </c>
      <c r="G56" s="327" t="s">
        <v>1660</v>
      </c>
      <c r="H56" s="286" t="s">
        <v>1642</v>
      </c>
      <c r="I56" s="141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412" t="str">
        <f>B5</f>
        <v>신한 #672</v>
      </c>
      <c r="C57" s="413" t="s">
        <v>2256</v>
      </c>
      <c r="D57" s="413" t="s">
        <v>1008</v>
      </c>
      <c r="E57" s="424">
        <v>9276550.0</v>
      </c>
      <c r="F57" s="424"/>
      <c r="G57" s="415" t="s">
        <v>1415</v>
      </c>
      <c r="H57" s="412" t="s">
        <v>36</v>
      </c>
      <c r="I57" s="141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hidden="1" customHeight="1">
      <c r="A58" s="105"/>
      <c r="B58" s="350" t="str">
        <f t="shared" ref="B58:B59" si="11">$B$15</f>
        <v>OCBC USD</v>
      </c>
      <c r="C58" s="323" t="s">
        <v>2257</v>
      </c>
      <c r="D58" s="323" t="s">
        <v>1110</v>
      </c>
      <c r="E58" s="337">
        <v>97715.6</v>
      </c>
      <c r="F58" s="337"/>
      <c r="G58" s="327" t="s">
        <v>2067</v>
      </c>
      <c r="H58" s="328" t="s">
        <v>556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hidden="1" customHeight="1">
      <c r="A59" s="105"/>
      <c r="B59" s="350" t="str">
        <f t="shared" si="11"/>
        <v>OCBC USD</v>
      </c>
      <c r="C59" s="323" t="s">
        <v>2257</v>
      </c>
      <c r="D59" s="323" t="s">
        <v>828</v>
      </c>
      <c r="E59" s="325"/>
      <c r="F59" s="404">
        <v>7.39</v>
      </c>
      <c r="G59" s="327" t="s">
        <v>1565</v>
      </c>
      <c r="H59" s="328" t="s">
        <v>33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hidden="1" customHeight="1">
      <c r="A60" s="105"/>
      <c r="B60" s="412" t="str">
        <f t="shared" ref="B60:B61" si="12">$B$17</f>
        <v>Board Wallet (USDT)</v>
      </c>
      <c r="C60" s="323" t="s">
        <v>2258</v>
      </c>
      <c r="D60" s="323"/>
      <c r="E60" s="337">
        <v>8034.137891</v>
      </c>
      <c r="F60" s="325"/>
      <c r="G60" s="313" t="s">
        <v>2259</v>
      </c>
      <c r="H60" s="328" t="s">
        <v>556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hidden="1" customHeight="1">
      <c r="A61" s="105"/>
      <c r="B61" s="412" t="str">
        <f t="shared" si="12"/>
        <v>Board Wallet (USDT)</v>
      </c>
      <c r="C61" s="323" t="s">
        <v>2258</v>
      </c>
      <c r="D61" s="323"/>
      <c r="E61" s="337"/>
      <c r="F61" s="325">
        <v>98000.0</v>
      </c>
      <c r="G61" s="327" t="s">
        <v>2067</v>
      </c>
      <c r="H61" s="328" t="s">
        <v>556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hidden="1" customHeight="1">
      <c r="A62" s="105"/>
      <c r="B62" s="350" t="str">
        <f t="shared" ref="B62:B63" si="13">B12</f>
        <v>WISE USD</v>
      </c>
      <c r="C62" s="323" t="s">
        <v>2260</v>
      </c>
      <c r="D62" s="323" t="s">
        <v>1803</v>
      </c>
      <c r="E62" s="337"/>
      <c r="F62" s="404">
        <v>20.28</v>
      </c>
      <c r="G62" s="327" t="s">
        <v>1068</v>
      </c>
      <c r="H62" s="328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hidden="1" customHeight="1">
      <c r="A63" s="105"/>
      <c r="B63" s="350" t="str">
        <f t="shared" si="13"/>
        <v>WISE SGD</v>
      </c>
      <c r="C63" s="323" t="s">
        <v>2236</v>
      </c>
      <c r="D63" s="323" t="s">
        <v>1072</v>
      </c>
      <c r="E63" s="337"/>
      <c r="F63" s="337">
        <v>6165.54</v>
      </c>
      <c r="G63" s="327" t="s">
        <v>679</v>
      </c>
      <c r="H63" s="328" t="s">
        <v>556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hidden="1" customHeight="1">
      <c r="A64" s="105"/>
      <c r="B64" s="350" t="str">
        <f>B12</f>
        <v>WISE USD</v>
      </c>
      <c r="C64" s="323" t="s">
        <v>2236</v>
      </c>
      <c r="D64" s="323" t="s">
        <v>1072</v>
      </c>
      <c r="E64" s="337">
        <v>4500.0</v>
      </c>
      <c r="F64" s="337"/>
      <c r="G64" s="327" t="s">
        <v>679</v>
      </c>
      <c r="H64" s="328" t="s">
        <v>556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hidden="1" customHeight="1">
      <c r="A65" s="105"/>
      <c r="B65" s="350" t="str">
        <f>B12</f>
        <v>WISE USD</v>
      </c>
      <c r="C65" s="323" t="s">
        <v>2236</v>
      </c>
      <c r="D65" s="323" t="s">
        <v>2261</v>
      </c>
      <c r="E65" s="337"/>
      <c r="F65" s="337">
        <v>2000.0</v>
      </c>
      <c r="G65" s="327" t="s">
        <v>2262</v>
      </c>
      <c r="H65" s="328" t="s">
        <v>39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hidden="1" customHeight="1">
      <c r="A66" s="105"/>
      <c r="B66" s="350" t="str">
        <f>B12</f>
        <v>WISE USD</v>
      </c>
      <c r="C66" s="323" t="s">
        <v>2236</v>
      </c>
      <c r="D66" s="323" t="s">
        <v>1072</v>
      </c>
      <c r="E66" s="337"/>
      <c r="F66" s="337">
        <v>1.13</v>
      </c>
      <c r="G66" s="327" t="s">
        <v>1073</v>
      </c>
      <c r="H66" s="328" t="s">
        <v>33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hidden="1" customHeight="1">
      <c r="A67" s="105"/>
      <c r="B67" s="350" t="str">
        <f>B12</f>
        <v>WISE USD</v>
      </c>
      <c r="C67" s="323" t="s">
        <v>2242</v>
      </c>
      <c r="D67" s="323" t="s">
        <v>2048</v>
      </c>
      <c r="E67" s="337"/>
      <c r="F67" s="337">
        <v>2499.75</v>
      </c>
      <c r="G67" s="327" t="s">
        <v>2049</v>
      </c>
      <c r="H67" s="328" t="s">
        <v>39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hidden="1" customHeight="1">
      <c r="A68" s="105"/>
      <c r="B68" s="350" t="str">
        <f>B12</f>
        <v>WISE USD</v>
      </c>
      <c r="C68" s="323" t="s">
        <v>2242</v>
      </c>
      <c r="D68" s="323" t="s">
        <v>1072</v>
      </c>
      <c r="E68" s="337"/>
      <c r="F68" s="337">
        <v>14.58</v>
      </c>
      <c r="G68" s="327" t="s">
        <v>1073</v>
      </c>
      <c r="H68" s="328" t="s">
        <v>33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hidden="1" customHeight="1">
      <c r="A69" s="105"/>
      <c r="B69" s="350" t="str">
        <f t="shared" ref="B69:B70" si="14">B12</f>
        <v>WISE USD</v>
      </c>
      <c r="C69" s="323" t="s">
        <v>2263</v>
      </c>
      <c r="D69" s="323" t="s">
        <v>2264</v>
      </c>
      <c r="E69" s="337">
        <v>900.49</v>
      </c>
      <c r="F69" s="337"/>
      <c r="G69" s="327" t="s">
        <v>873</v>
      </c>
      <c r="H69" s="328" t="s">
        <v>1555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tr">
        <f t="shared" si="14"/>
        <v>WISE SGD</v>
      </c>
      <c r="C70" s="323" t="s">
        <v>2257</v>
      </c>
      <c r="D70" s="323" t="s">
        <v>2068</v>
      </c>
      <c r="E70" s="337">
        <v>2721.24</v>
      </c>
      <c r="F70" s="325"/>
      <c r="G70" s="327" t="s">
        <v>2265</v>
      </c>
      <c r="H70" s="328" t="s">
        <v>2035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hidden="1" customHeight="1">
      <c r="A71" s="105"/>
      <c r="B71" s="350" t="str">
        <f>B8</f>
        <v>하나 #138</v>
      </c>
      <c r="C71" s="323" t="s">
        <v>2266</v>
      </c>
      <c r="D71" s="323" t="s">
        <v>1981</v>
      </c>
      <c r="E71" s="337">
        <v>99995.0</v>
      </c>
      <c r="F71" s="325"/>
      <c r="G71" s="327" t="s">
        <v>1035</v>
      </c>
      <c r="H71" s="328" t="s">
        <v>556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hidden="1" customHeight="1">
      <c r="A72" s="105"/>
      <c r="B72" s="350" t="str">
        <f>B8</f>
        <v>하나 #138</v>
      </c>
      <c r="C72" s="323" t="s">
        <v>2267</v>
      </c>
      <c r="D72" s="323" t="s">
        <v>1981</v>
      </c>
      <c r="E72" s="326"/>
      <c r="F72" s="337">
        <v>99995.0</v>
      </c>
      <c r="G72" s="313" t="s">
        <v>679</v>
      </c>
      <c r="H72" s="328" t="s">
        <v>556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hidden="1" customHeight="1">
      <c r="A73" s="105"/>
      <c r="B73" s="350" t="str">
        <f>B7</f>
        <v>하나 #304</v>
      </c>
      <c r="C73" s="323" t="s">
        <v>2267</v>
      </c>
      <c r="D73" s="323" t="s">
        <v>1981</v>
      </c>
      <c r="E73" s="326">
        <v>1.41441927E8</v>
      </c>
      <c r="F73" s="326"/>
      <c r="G73" s="313" t="s">
        <v>679</v>
      </c>
      <c r="H73" s="328" t="s">
        <v>556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hidden="1" customHeight="1">
      <c r="A74" s="105"/>
      <c r="B74" s="350" t="str">
        <f>B5</f>
        <v>신한 #672</v>
      </c>
      <c r="C74" s="323" t="s">
        <v>2266</v>
      </c>
      <c r="D74" s="323" t="s">
        <v>1202</v>
      </c>
      <c r="E74" s="326"/>
      <c r="F74" s="326">
        <v>110000.0</v>
      </c>
      <c r="G74" s="327" t="s">
        <v>1202</v>
      </c>
      <c r="H74" s="286" t="s">
        <v>33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hidden="1" customHeight="1">
      <c r="A75" s="105"/>
      <c r="B75" s="350" t="str">
        <f t="shared" ref="B75:B77" si="15">$B$15</f>
        <v>OCBC USD</v>
      </c>
      <c r="C75" s="323" t="s">
        <v>2266</v>
      </c>
      <c r="D75" s="323" t="s">
        <v>1981</v>
      </c>
      <c r="E75" s="337"/>
      <c r="F75" s="337">
        <v>100000.0</v>
      </c>
      <c r="G75" s="327" t="s">
        <v>1035</v>
      </c>
      <c r="H75" s="328" t="s">
        <v>556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hidden="1" customHeight="1">
      <c r="A76" s="105"/>
      <c r="B76" s="350" t="str">
        <f t="shared" si="15"/>
        <v>OCBC USD</v>
      </c>
      <c r="C76" s="323" t="s">
        <v>2266</v>
      </c>
      <c r="D76" s="323" t="s">
        <v>828</v>
      </c>
      <c r="E76" s="326"/>
      <c r="F76" s="337">
        <v>22.67</v>
      </c>
      <c r="G76" s="327" t="s">
        <v>1565</v>
      </c>
      <c r="H76" s="328" t="s">
        <v>33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hidden="1" customHeight="1">
      <c r="A77" s="105"/>
      <c r="B77" s="350" t="str">
        <f t="shared" si="15"/>
        <v>OCBC USD</v>
      </c>
      <c r="C77" s="323" t="s">
        <v>2266</v>
      </c>
      <c r="D77" s="323" t="s">
        <v>828</v>
      </c>
      <c r="E77" s="326"/>
      <c r="F77" s="337">
        <v>15.0</v>
      </c>
      <c r="G77" s="327" t="s">
        <v>1565</v>
      </c>
      <c r="H77" s="328" t="s">
        <v>33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hidden="1" customHeight="1">
      <c r="A78" s="105"/>
      <c r="B78" s="350" t="str">
        <f>B7</f>
        <v>하나 #304</v>
      </c>
      <c r="C78" s="323" t="s">
        <v>2267</v>
      </c>
      <c r="D78" s="323" t="s">
        <v>1981</v>
      </c>
      <c r="E78" s="337"/>
      <c r="F78" s="326">
        <v>1.37E8</v>
      </c>
      <c r="G78" s="327" t="s">
        <v>1035</v>
      </c>
      <c r="H78" s="328" t="s">
        <v>556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hidden="1" customHeight="1">
      <c r="A79" s="105"/>
      <c r="B79" s="350" t="str">
        <f>B7</f>
        <v>하나 #304</v>
      </c>
      <c r="C79" s="323" t="s">
        <v>2267</v>
      </c>
      <c r="D79" s="323" t="s">
        <v>1115</v>
      </c>
      <c r="E79" s="326"/>
      <c r="F79" s="325">
        <v>500.0</v>
      </c>
      <c r="G79" s="327" t="s">
        <v>1565</v>
      </c>
      <c r="H79" s="328" t="s">
        <v>33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hidden="1" customHeight="1">
      <c r="A80" s="105"/>
      <c r="B80" s="350" t="str">
        <f>B9</f>
        <v>기업 #019</v>
      </c>
      <c r="C80" s="323" t="s">
        <v>2267</v>
      </c>
      <c r="D80" s="323" t="s">
        <v>1981</v>
      </c>
      <c r="E80" s="326">
        <v>1.37E8</v>
      </c>
      <c r="F80" s="325"/>
      <c r="G80" s="327" t="s">
        <v>1035</v>
      </c>
      <c r="H80" s="328" t="s">
        <v>556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hidden="1" customHeight="1">
      <c r="A81" s="105"/>
      <c r="B81" s="412" t="str">
        <f>B9</f>
        <v>기업 #019</v>
      </c>
      <c r="C81" s="323" t="s">
        <v>2268</v>
      </c>
      <c r="D81" s="323" t="s">
        <v>41</v>
      </c>
      <c r="E81" s="337"/>
      <c r="F81" s="326">
        <v>1.17960385E8</v>
      </c>
      <c r="G81" s="327" t="s">
        <v>1053</v>
      </c>
      <c r="H81" s="328" t="s">
        <v>41</v>
      </c>
      <c r="I81" s="141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hidden="1" customHeight="1">
      <c r="A82" s="105"/>
      <c r="B82" s="412" t="str">
        <f>B5</f>
        <v>신한 #672</v>
      </c>
      <c r="C82" s="323" t="s">
        <v>2268</v>
      </c>
      <c r="D82" s="323" t="s">
        <v>1633</v>
      </c>
      <c r="E82" s="337"/>
      <c r="F82" s="326">
        <v>4867963.0</v>
      </c>
      <c r="G82" s="327" t="s">
        <v>1634</v>
      </c>
      <c r="H82" s="328" t="s">
        <v>33</v>
      </c>
      <c r="I82" s="141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hidden="1" customHeight="1">
      <c r="A83" s="105"/>
      <c r="B83" s="412" t="str">
        <f>B7</f>
        <v>하나 #304</v>
      </c>
      <c r="C83" s="323" t="s">
        <v>2268</v>
      </c>
      <c r="D83" s="323" t="s">
        <v>721</v>
      </c>
      <c r="E83" s="337"/>
      <c r="F83" s="326">
        <f>4950544</f>
        <v>4950544</v>
      </c>
      <c r="G83" s="327" t="s">
        <v>1634</v>
      </c>
      <c r="H83" s="328" t="s">
        <v>33</v>
      </c>
      <c r="I83" s="141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hidden="1" customHeight="1">
      <c r="A84" s="105"/>
      <c r="B84" s="412" t="str">
        <f>B9</f>
        <v>기업 #019</v>
      </c>
      <c r="C84" s="323" t="s">
        <v>2268</v>
      </c>
      <c r="D84" s="323" t="s">
        <v>1669</v>
      </c>
      <c r="E84" s="337"/>
      <c r="F84" s="326">
        <v>1637632.0</v>
      </c>
      <c r="G84" s="327" t="s">
        <v>1634</v>
      </c>
      <c r="H84" s="328" t="s">
        <v>33</v>
      </c>
      <c r="I84" s="141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323" t="s">
        <v>2268</v>
      </c>
      <c r="D85" s="323" t="s">
        <v>1950</v>
      </c>
      <c r="E85" s="337"/>
      <c r="F85" s="326">
        <v>56150.0</v>
      </c>
      <c r="G85" s="327" t="s">
        <v>1951</v>
      </c>
      <c r="H85" s="328" t="s">
        <v>27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hidden="1" customHeight="1">
      <c r="A86" s="105"/>
      <c r="B86" s="281" t="str">
        <f>B5</f>
        <v>신한 #672</v>
      </c>
      <c r="C86" s="323" t="s">
        <v>2268</v>
      </c>
      <c r="D86" s="323" t="s">
        <v>497</v>
      </c>
      <c r="E86" s="337"/>
      <c r="F86" s="326">
        <v>330000.0</v>
      </c>
      <c r="G86" s="327" t="s">
        <v>1952</v>
      </c>
      <c r="H86" s="328" t="s">
        <v>33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2268</v>
      </c>
      <c r="D87" s="323" t="s">
        <v>1953</v>
      </c>
      <c r="E87" s="337"/>
      <c r="F87" s="326">
        <v>37430.0</v>
      </c>
      <c r="G87" s="327" t="s">
        <v>1038</v>
      </c>
      <c r="H87" s="328" t="s">
        <v>4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B5</f>
        <v>신한 #672</v>
      </c>
      <c r="C88" s="323" t="s">
        <v>2268</v>
      </c>
      <c r="D88" s="323" t="s">
        <v>1953</v>
      </c>
      <c r="E88" s="337"/>
      <c r="F88" s="326">
        <v>37430.0</v>
      </c>
      <c r="G88" s="327" t="s">
        <v>1038</v>
      </c>
      <c r="H88" s="328" t="s">
        <v>4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B5</f>
        <v>신한 #672</v>
      </c>
      <c r="C89" s="323" t="s">
        <v>2268</v>
      </c>
      <c r="D89" s="323" t="s">
        <v>1953</v>
      </c>
      <c r="E89" s="337"/>
      <c r="F89" s="326">
        <v>50250.0</v>
      </c>
      <c r="G89" s="327" t="s">
        <v>1040</v>
      </c>
      <c r="H89" s="328" t="s">
        <v>4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B5</f>
        <v>신한 #672</v>
      </c>
      <c r="C90" s="323" t="s">
        <v>2268</v>
      </c>
      <c r="D90" s="323" t="s">
        <v>1953</v>
      </c>
      <c r="E90" s="337"/>
      <c r="F90" s="326">
        <v>20660.0</v>
      </c>
      <c r="G90" s="327" t="s">
        <v>1039</v>
      </c>
      <c r="H90" s="328" t="s">
        <v>4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B5</f>
        <v>신한 #672</v>
      </c>
      <c r="C91" s="323" t="s">
        <v>2268</v>
      </c>
      <c r="D91" s="323" t="s">
        <v>1953</v>
      </c>
      <c r="E91" s="337"/>
      <c r="F91" s="326">
        <v>20660.0</v>
      </c>
      <c r="G91" s="327" t="s">
        <v>1039</v>
      </c>
      <c r="H91" s="328" t="s">
        <v>4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B5</f>
        <v>신한 #672</v>
      </c>
      <c r="C92" s="323" t="s">
        <v>2268</v>
      </c>
      <c r="D92" s="323" t="s">
        <v>1954</v>
      </c>
      <c r="E92" s="337"/>
      <c r="F92" s="326">
        <v>98000.0</v>
      </c>
      <c r="G92" s="327" t="s">
        <v>1047</v>
      </c>
      <c r="H92" s="328" t="s">
        <v>4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hidden="1" customHeight="1">
      <c r="A93" s="105"/>
      <c r="B93" s="350" t="str">
        <f>B5</f>
        <v>신한 #672</v>
      </c>
      <c r="C93" s="323" t="s">
        <v>2269</v>
      </c>
      <c r="D93" s="323" t="s">
        <v>920</v>
      </c>
      <c r="E93" s="337"/>
      <c r="F93" s="326">
        <v>77000.0</v>
      </c>
      <c r="G93" s="327" t="s">
        <v>1006</v>
      </c>
      <c r="H93" s="328" t="s">
        <v>33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hidden="1" customHeight="1">
      <c r="A94" s="105"/>
      <c r="B94" s="281" t="str">
        <f>B15</f>
        <v>OCBC USD</v>
      </c>
      <c r="C94" s="323" t="s">
        <v>2270</v>
      </c>
      <c r="D94" s="323" t="s">
        <v>2238</v>
      </c>
      <c r="E94" s="337"/>
      <c r="F94" s="337">
        <v>10000.0</v>
      </c>
      <c r="G94" s="327" t="s">
        <v>2239</v>
      </c>
      <c r="H94" s="328" t="s">
        <v>930</v>
      </c>
      <c r="I94" s="141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hidden="1" customHeight="1">
      <c r="A95" s="105"/>
      <c r="B95" s="350" t="str">
        <f>B15</f>
        <v>OCBC USD</v>
      </c>
      <c r="C95" s="323" t="s">
        <v>2270</v>
      </c>
      <c r="D95" s="323" t="s">
        <v>828</v>
      </c>
      <c r="E95" s="325"/>
      <c r="F95" s="404">
        <v>15.0</v>
      </c>
      <c r="G95" s="327" t="s">
        <v>1565</v>
      </c>
      <c r="H95" s="328" t="s">
        <v>33</v>
      </c>
      <c r="I95" s="141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hidden="1" customHeight="1">
      <c r="A96" s="105"/>
      <c r="B96" s="350" t="str">
        <f>B15</f>
        <v>OCBC USD</v>
      </c>
      <c r="C96" s="323" t="s">
        <v>2270</v>
      </c>
      <c r="D96" s="323" t="s">
        <v>828</v>
      </c>
      <c r="E96" s="325"/>
      <c r="F96" s="404">
        <v>22.59</v>
      </c>
      <c r="G96" s="327" t="s">
        <v>1565</v>
      </c>
      <c r="H96" s="328" t="s">
        <v>33</v>
      </c>
      <c r="I96" s="141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hidden="1" customHeight="1">
      <c r="A97" s="105"/>
      <c r="B97" s="350" t="str">
        <f>B15</f>
        <v>OCBC USD</v>
      </c>
      <c r="C97" s="323" t="s">
        <v>2270</v>
      </c>
      <c r="D97" s="413" t="s">
        <v>2189</v>
      </c>
      <c r="E97" s="337"/>
      <c r="F97" s="337">
        <v>2261.31</v>
      </c>
      <c r="G97" s="415" t="s">
        <v>2271</v>
      </c>
      <c r="H97" s="328" t="s">
        <v>930</v>
      </c>
      <c r="I97" s="141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hidden="1" customHeight="1">
      <c r="A98" s="105"/>
      <c r="B98" s="350" t="str">
        <f>B15</f>
        <v>OCBC USD</v>
      </c>
      <c r="C98" s="323" t="s">
        <v>2270</v>
      </c>
      <c r="D98" s="323" t="s">
        <v>828</v>
      </c>
      <c r="E98" s="325"/>
      <c r="F98" s="404">
        <v>15.0</v>
      </c>
      <c r="G98" s="327" t="s">
        <v>1565</v>
      </c>
      <c r="H98" s="328" t="s">
        <v>33</v>
      </c>
      <c r="I98" s="141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hidden="1" customHeight="1">
      <c r="A99" s="105"/>
      <c r="B99" s="350" t="str">
        <f>B15</f>
        <v>OCBC USD</v>
      </c>
      <c r="C99" s="323" t="s">
        <v>2270</v>
      </c>
      <c r="D99" s="323" t="s">
        <v>828</v>
      </c>
      <c r="E99" s="325"/>
      <c r="F99" s="404">
        <v>22.59</v>
      </c>
      <c r="G99" s="327" t="s">
        <v>1565</v>
      </c>
      <c r="H99" s="328" t="s">
        <v>33</v>
      </c>
      <c r="I99" s="141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hidden="1" customHeight="1">
      <c r="A100" s="105"/>
      <c r="B100" s="350" t="str">
        <f>B15</f>
        <v>OCBC USD</v>
      </c>
      <c r="C100" s="323" t="s">
        <v>2270</v>
      </c>
      <c r="D100" s="413" t="s">
        <v>2187</v>
      </c>
      <c r="E100" s="337"/>
      <c r="F100" s="337">
        <v>1709.03</v>
      </c>
      <c r="G100" s="415" t="s">
        <v>2272</v>
      </c>
      <c r="H100" s="328" t="s">
        <v>930</v>
      </c>
      <c r="I100" s="141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hidden="1" customHeight="1">
      <c r="A101" s="105"/>
      <c r="B101" s="350" t="str">
        <f>B15</f>
        <v>OCBC USD</v>
      </c>
      <c r="C101" s="323" t="s">
        <v>2270</v>
      </c>
      <c r="D101" s="323" t="s">
        <v>828</v>
      </c>
      <c r="E101" s="325"/>
      <c r="F101" s="404">
        <v>15.0</v>
      </c>
      <c r="G101" s="327" t="s">
        <v>1565</v>
      </c>
      <c r="H101" s="328" t="s">
        <v>33</v>
      </c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hidden="1" customHeight="1">
      <c r="A102" s="105"/>
      <c r="B102" s="350" t="str">
        <f>B15</f>
        <v>OCBC USD</v>
      </c>
      <c r="C102" s="323" t="s">
        <v>2270</v>
      </c>
      <c r="D102" s="323" t="s">
        <v>828</v>
      </c>
      <c r="E102" s="325"/>
      <c r="F102" s="404">
        <v>22.59</v>
      </c>
      <c r="G102" s="327" t="s">
        <v>1565</v>
      </c>
      <c r="H102" s="328" t="s">
        <v>33</v>
      </c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hidden="1" customHeight="1">
      <c r="A103" s="105"/>
      <c r="B103" s="350" t="s">
        <v>18</v>
      </c>
      <c r="C103" s="323" t="s">
        <v>2270</v>
      </c>
      <c r="D103" s="413" t="s">
        <v>1816</v>
      </c>
      <c r="E103" s="404"/>
      <c r="F103" s="404">
        <v>220.0</v>
      </c>
      <c r="G103" s="415" t="s">
        <v>1068</v>
      </c>
      <c r="H103" s="412" t="s">
        <v>33</v>
      </c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hidden="1" customHeight="1">
      <c r="A104" s="105"/>
      <c r="B104" s="350" t="s">
        <v>22</v>
      </c>
      <c r="C104" s="323" t="s">
        <v>2266</v>
      </c>
      <c r="D104" s="323" t="s">
        <v>2071</v>
      </c>
      <c r="E104" s="337"/>
      <c r="F104" s="337">
        <v>88.0</v>
      </c>
      <c r="G104" s="327" t="s">
        <v>1719</v>
      </c>
      <c r="H104" s="328" t="s">
        <v>33</v>
      </c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350"/>
      <c r="C105" s="323"/>
      <c r="D105" s="323"/>
      <c r="E105" s="337"/>
      <c r="F105" s="337"/>
      <c r="G105" s="327"/>
      <c r="H105" s="328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/>
      <c r="C106" s="323"/>
      <c r="D106" s="323"/>
      <c r="E106" s="337"/>
      <c r="F106" s="337"/>
      <c r="G106" s="327"/>
      <c r="H106" s="328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350"/>
      <c r="C107" s="323"/>
      <c r="D107" s="413"/>
      <c r="E107" s="337"/>
      <c r="F107" s="337"/>
      <c r="G107" s="415"/>
      <c r="H107" s="412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350"/>
      <c r="C108" s="323"/>
      <c r="D108" s="413"/>
      <c r="E108" s="337"/>
      <c r="F108" s="337"/>
      <c r="G108" s="415"/>
      <c r="H108" s="328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350"/>
      <c r="C109" s="323"/>
      <c r="D109" s="323"/>
      <c r="E109" s="326"/>
      <c r="F109" s="337"/>
      <c r="G109" s="327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350"/>
      <c r="C110" s="323"/>
      <c r="D110" s="323"/>
      <c r="E110" s="291"/>
      <c r="F110" s="337"/>
      <c r="G110" s="327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350"/>
      <c r="C111" s="323"/>
      <c r="D111" s="413"/>
      <c r="E111" s="291"/>
      <c r="F111" s="337"/>
      <c r="G111" s="415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350"/>
      <c r="C112" s="323"/>
      <c r="D112" s="323"/>
      <c r="E112" s="291"/>
      <c r="F112" s="337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350"/>
      <c r="C113" s="323"/>
      <c r="D113" s="323"/>
      <c r="E113" s="291"/>
      <c r="F113" s="337"/>
      <c r="G113" s="327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412"/>
      <c r="C114" s="282"/>
      <c r="D114" s="323"/>
      <c r="E114" s="291"/>
      <c r="F114" s="337"/>
      <c r="G114" s="327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412"/>
      <c r="C115" s="282"/>
      <c r="D115" s="323"/>
      <c r="E115" s="291"/>
      <c r="F115" s="337"/>
      <c r="G115" s="327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282"/>
      <c r="D116" s="282"/>
      <c r="E116" s="291"/>
      <c r="F116" s="337"/>
      <c r="G116" s="313"/>
      <c r="H116" s="286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282"/>
      <c r="D117" s="282"/>
      <c r="E117" s="291"/>
      <c r="F117" s="337"/>
      <c r="G117" s="313"/>
      <c r="H117" s="286"/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282"/>
      <c r="D118" s="282"/>
      <c r="E118" s="291"/>
      <c r="F118" s="292"/>
      <c r="G118" s="313"/>
      <c r="H118" s="286"/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282"/>
      <c r="D119" s="282"/>
      <c r="E119" s="291"/>
      <c r="F119" s="292"/>
      <c r="G119" s="313"/>
      <c r="H119" s="286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282"/>
      <c r="D120" s="282"/>
      <c r="E120" s="291"/>
      <c r="F120" s="292"/>
      <c r="G120" s="313"/>
      <c r="H120" s="286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282"/>
      <c r="D121" s="282"/>
      <c r="E121" s="291"/>
      <c r="F121" s="292"/>
      <c r="G121" s="313"/>
      <c r="H121" s="286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281"/>
      <c r="C122" s="282"/>
      <c r="D122" s="282"/>
      <c r="E122" s="291"/>
      <c r="F122" s="292"/>
      <c r="G122" s="313"/>
      <c r="H122" s="286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281"/>
      <c r="C123" s="282"/>
      <c r="D123" s="282"/>
      <c r="E123" s="291"/>
      <c r="F123" s="292"/>
      <c r="G123" s="313"/>
      <c r="H123" s="286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281"/>
      <c r="C124" s="282"/>
      <c r="D124" s="282"/>
      <c r="E124" s="291"/>
      <c r="F124" s="292"/>
      <c r="G124" s="313"/>
      <c r="H124" s="286"/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281"/>
      <c r="C125" s="282"/>
      <c r="D125" s="282"/>
      <c r="E125" s="291"/>
      <c r="F125" s="292"/>
      <c r="G125" s="313"/>
      <c r="H125" s="286"/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I130" s="107"/>
      <c r="J130" s="141"/>
      <c r="K130" s="141"/>
      <c r="L130" s="83"/>
      <c r="M130" s="84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</row>
    <row r="131" ht="15.0" customHeight="1">
      <c r="A131" s="105"/>
      <c r="I131" s="107"/>
      <c r="J131" s="141"/>
      <c r="K131" s="141"/>
      <c r="L131" s="83"/>
      <c r="M131" s="84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</row>
    <row r="132" ht="15.0" customHeight="1">
      <c r="A132" s="105"/>
      <c r="I132" s="107"/>
      <c r="J132" s="141"/>
      <c r="K132" s="141"/>
      <c r="L132" s="83"/>
      <c r="M132" s="84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</row>
    <row r="133" ht="15.0" customHeight="1">
      <c r="A133" s="105"/>
      <c r="C133" s="323"/>
      <c r="D133" s="323"/>
      <c r="E133" s="337"/>
      <c r="F133" s="325"/>
      <c r="G133" s="327"/>
      <c r="H133" s="328"/>
      <c r="I133" s="107"/>
      <c r="J133" s="141"/>
      <c r="K133" s="141"/>
      <c r="L133" s="83"/>
      <c r="M133" s="84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</row>
    <row r="134" ht="15.0" customHeight="1">
      <c r="A134" s="105"/>
      <c r="C134" s="323"/>
      <c r="D134" s="323"/>
      <c r="E134" s="326"/>
      <c r="F134" s="326"/>
      <c r="G134" s="327"/>
      <c r="H134" s="286"/>
      <c r="I134" s="107"/>
      <c r="J134" s="141"/>
      <c r="K134" s="141"/>
      <c r="L134" s="83"/>
      <c r="M134" s="84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</row>
    <row r="135" ht="15.0" customHeight="1">
      <c r="A135" s="105"/>
      <c r="C135" s="323"/>
      <c r="D135" s="323"/>
      <c r="E135" s="337"/>
      <c r="F135" s="325"/>
      <c r="G135" s="327"/>
      <c r="H135" s="328"/>
      <c r="I135" s="107"/>
      <c r="J135" s="141"/>
      <c r="K135" s="141"/>
      <c r="L135" s="83"/>
      <c r="M135" s="84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</row>
    <row r="136" ht="15.0" customHeight="1">
      <c r="A136" s="105"/>
      <c r="C136" s="323"/>
      <c r="D136" s="323"/>
      <c r="E136" s="325"/>
      <c r="F136" s="325"/>
      <c r="G136" s="327"/>
      <c r="H136" s="328"/>
      <c r="I136" s="107"/>
      <c r="J136" s="141"/>
      <c r="K136" s="141"/>
      <c r="L136" s="83"/>
      <c r="M136" s="84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</row>
    <row r="137" ht="15.0" customHeight="1">
      <c r="A137" s="105"/>
      <c r="C137" s="323"/>
      <c r="D137" s="323"/>
      <c r="E137" s="325"/>
      <c r="F137" s="325"/>
      <c r="G137" s="327"/>
      <c r="H137" s="328"/>
      <c r="I137" s="107"/>
      <c r="J137" s="141"/>
      <c r="K137" s="141"/>
      <c r="L137" s="83"/>
      <c r="M137" s="84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</row>
    <row r="138" ht="15.0" customHeight="1">
      <c r="A138" s="105"/>
      <c r="C138" s="323"/>
      <c r="D138" s="323"/>
      <c r="E138" s="325"/>
      <c r="F138" s="325"/>
      <c r="G138" s="327"/>
      <c r="H138" s="328"/>
      <c r="I138" s="107"/>
      <c r="J138" s="141"/>
      <c r="K138" s="141"/>
      <c r="L138" s="83"/>
      <c r="M138" s="84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</row>
    <row r="139" ht="15.0" customHeight="1">
      <c r="A139" s="105"/>
      <c r="C139" s="323"/>
      <c r="D139" s="323"/>
      <c r="E139" s="337"/>
      <c r="F139" s="325"/>
      <c r="G139" s="327"/>
      <c r="H139" s="328"/>
      <c r="I139" s="107"/>
      <c r="J139" s="141"/>
      <c r="K139" s="141"/>
      <c r="L139" s="83"/>
      <c r="M139" s="84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</row>
    <row r="140" ht="15.0" customHeight="1">
      <c r="A140" s="105"/>
      <c r="C140" s="323"/>
      <c r="D140" s="323"/>
      <c r="E140" s="337"/>
      <c r="F140" s="325"/>
      <c r="G140" s="327"/>
      <c r="H140" s="328"/>
      <c r="I140" s="107"/>
      <c r="J140" s="141"/>
      <c r="K140" s="141"/>
      <c r="L140" s="83"/>
      <c r="M140" s="84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</row>
    <row r="141">
      <c r="C141" s="323"/>
      <c r="D141" s="323"/>
      <c r="E141" s="337"/>
      <c r="F141" s="325"/>
      <c r="G141" s="327"/>
      <c r="H141" s="328"/>
    </row>
    <row r="142" ht="15.0" customHeight="1">
      <c r="A142" s="105"/>
      <c r="C142" s="323"/>
      <c r="D142" s="323"/>
      <c r="E142" s="337"/>
      <c r="F142" s="325"/>
      <c r="G142" s="327"/>
      <c r="H142" s="328"/>
      <c r="I142" s="107"/>
      <c r="J142" s="141"/>
      <c r="K142" s="141"/>
      <c r="L142" s="83"/>
      <c r="M142" s="84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</row>
    <row r="143" ht="15.0" customHeight="1">
      <c r="A143" s="105"/>
      <c r="C143" s="323"/>
      <c r="D143" s="323"/>
      <c r="E143" s="337"/>
      <c r="F143" s="325"/>
      <c r="G143" s="327"/>
      <c r="H143" s="328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C144" s="323"/>
      <c r="D144" s="323"/>
      <c r="E144" s="337"/>
      <c r="F144" s="325"/>
      <c r="G144" s="327"/>
      <c r="H144" s="328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C145" s="323"/>
      <c r="D145" s="323"/>
      <c r="E145" s="337"/>
      <c r="F145" s="325"/>
      <c r="G145" s="327"/>
      <c r="H145" s="328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C146" s="323"/>
      <c r="D146" s="323"/>
      <c r="E146" s="337"/>
      <c r="F146" s="325"/>
      <c r="G146" s="327"/>
      <c r="H146" s="328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C147" s="323"/>
      <c r="D147" s="323"/>
      <c r="E147" s="337"/>
      <c r="F147" s="325"/>
      <c r="G147" s="313"/>
      <c r="H147" s="328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>
      <c r="C148" s="323"/>
      <c r="D148" s="323"/>
      <c r="E148" s="337"/>
      <c r="F148" s="325"/>
      <c r="G148" s="327"/>
      <c r="H148" s="328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341"/>
      <c r="C149" s="323"/>
      <c r="D149" s="323"/>
      <c r="E149" s="325"/>
      <c r="F149" s="325"/>
      <c r="G149" s="313"/>
      <c r="H149" s="328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C150" s="323"/>
      <c r="D150" s="323"/>
      <c r="E150" s="337"/>
      <c r="F150" s="325"/>
      <c r="G150" s="327"/>
      <c r="H150" s="328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C151" s="323"/>
      <c r="D151" s="323"/>
      <c r="E151" s="337"/>
      <c r="F151" s="325"/>
      <c r="G151" s="313"/>
      <c r="H151" s="328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C152" s="323"/>
      <c r="D152" s="323"/>
      <c r="E152" s="337"/>
      <c r="F152" s="325"/>
      <c r="G152" s="313"/>
      <c r="H152" s="328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C153" s="323"/>
      <c r="D153" s="323"/>
      <c r="E153" s="337"/>
      <c r="F153" s="325"/>
      <c r="G153" s="327"/>
      <c r="H153" s="328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F156" s="432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</sheetData>
  <autoFilter ref="$B$24:$H$125">
    <filterColumn colId="6">
      <filters blank="1">
        <filter val="서비스매출"/>
        <filter val="이자비용"/>
        <filter val="복리후생비"/>
        <filter val="미수금"/>
        <filter val="통신비"/>
        <filter val="이자수익"/>
      </filters>
    </filterColumn>
    <sortState ref="B24:H125">
      <sortCondition ref="B24:B125"/>
    </sortState>
  </autoFilter>
  <customSheetViews>
    <customSheetView guid="{CD2BF927-9D79-47FC-BBA8-927062D6B3F5}" filter="1" showAutoFilter="1">
      <autoFilter ref="$B$24:$H$125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25 H133:H153">
      <formula1>$L:$L</formula1>
    </dataValidation>
  </dataValidations>
  <hyperlinks>
    <hyperlink r:id="rId2" ref="I3"/>
    <hyperlink r:id="rId3" ref="I4"/>
    <hyperlink r:id="rId4" ref="I5"/>
  </hyperlinks>
  <printOptions/>
  <pageMargins bottom="0.75" footer="0.0" header="0.0" left="0.25" right="0.25" top="0.75"/>
  <pageSetup fitToHeight="0" paperSize="9" orientation="portrait"/>
  <drawing r:id="rId5"/>
  <legacyDrawing r:id="rId6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2273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'25.02월'!G5</f>
        <v>4348548</v>
      </c>
      <c r="E5" s="355">
        <f t="shared" ref="E5:E17" si="1">sumif($B$25:$B$194,B5,$E$25:$E$194)</f>
        <v>20001806</v>
      </c>
      <c r="F5" s="356">
        <f t="shared" ref="F5:F17" si="2">sumif($B$25:$B$194,B5,$F$25:$F$194)</f>
        <v>22757382</v>
      </c>
      <c r="G5" s="229">
        <f t="shared" ref="G5:G17" si="3">D5+E5-F5</f>
        <v>1592972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'25.02월'!G6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'25.02월'!G7</f>
        <v>999338</v>
      </c>
      <c r="E7" s="359">
        <f t="shared" si="1"/>
        <v>9000687</v>
      </c>
      <c r="F7" s="360">
        <f t="shared" si="2"/>
        <v>9588428</v>
      </c>
      <c r="G7" s="239">
        <f t="shared" si="3"/>
        <v>411597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'25.02월'!G8</f>
        <v>0</v>
      </c>
      <c r="E8" s="361">
        <f t="shared" si="1"/>
        <v>0.15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'25.02월'!G9</f>
        <v>29625100</v>
      </c>
      <c r="E9" s="359">
        <f t="shared" si="1"/>
        <v>200001364</v>
      </c>
      <c r="F9" s="360">
        <f t="shared" si="2"/>
        <v>140559687</v>
      </c>
      <c r="G9" s="239">
        <f t="shared" si="3"/>
        <v>89066777</v>
      </c>
      <c r="H9" s="439">
        <f>G5+G7+G9</f>
        <v>91071346</v>
      </c>
      <c r="I9" s="440">
        <f>(G5+G7+G9)/J3</f>
        <v>61838.6637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'25.02월'!G10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'25.02월'!G11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'25.02월'!G12</f>
        <v>910.4</v>
      </c>
      <c r="E12" s="361">
        <f t="shared" si="1"/>
        <v>11459.24</v>
      </c>
      <c r="F12" s="362">
        <f t="shared" si="2"/>
        <v>11251.69</v>
      </c>
      <c r="G12" s="329">
        <f t="shared" si="3"/>
        <v>1117.95</v>
      </c>
      <c r="H12" s="422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'25.02월'!G13</f>
        <v>14083.58</v>
      </c>
      <c r="E13" s="363">
        <f t="shared" si="1"/>
        <v>1294.16</v>
      </c>
      <c r="F13" s="364">
        <f t="shared" si="2"/>
        <v>15377.74</v>
      </c>
      <c r="G13" s="320">
        <f t="shared" si="3"/>
        <v>0</v>
      </c>
      <c r="H13" s="441"/>
      <c r="I13" s="421">
        <f>I11-I9</f>
        <v>-61838.6637</v>
      </c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'25.02월'!G14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'25.02월'!G15</f>
        <v>13227.49</v>
      </c>
      <c r="E15" s="361">
        <f t="shared" si="1"/>
        <v>3499.96</v>
      </c>
      <c r="F15" s="358">
        <f t="shared" si="2"/>
        <v>14067.79</v>
      </c>
      <c r="G15" s="235">
        <f t="shared" si="3"/>
        <v>2659.66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'25.02월'!G16</f>
        <v>2235.06</v>
      </c>
      <c r="E16" s="366">
        <f t="shared" si="1"/>
        <v>150.3</v>
      </c>
      <c r="F16" s="367">
        <f t="shared" si="2"/>
        <v>1315.23</v>
      </c>
      <c r="G16" s="310">
        <f t="shared" si="3"/>
        <v>1070.13</v>
      </c>
      <c r="H16" s="442">
        <f>G16*J5</f>
        <v>831.104372</v>
      </c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'25.02월'!G17</f>
        <v>1115.385998</v>
      </c>
      <c r="E17" s="409">
        <f t="shared" si="1"/>
        <v>0</v>
      </c>
      <c r="F17" s="410">
        <f t="shared" si="2"/>
        <v>1000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34972991</v>
      </c>
      <c r="E18" s="262">
        <f t="shared" si="4"/>
        <v>229003857</v>
      </c>
      <c r="F18" s="263">
        <f t="shared" si="4"/>
        <v>172905497</v>
      </c>
      <c r="G18" s="345">
        <f t="shared" si="4"/>
        <v>91071351</v>
      </c>
      <c r="H18" s="353">
        <f>G18</f>
        <v>91071351</v>
      </c>
      <c r="I18" s="353">
        <f>D18</f>
        <v>34972991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15255.586</v>
      </c>
      <c r="E19" s="269">
        <f t="shared" si="5"/>
        <v>14959.35</v>
      </c>
      <c r="F19" s="270">
        <f t="shared" si="5"/>
        <v>26319.48</v>
      </c>
      <c r="G19" s="346">
        <f t="shared" si="5"/>
        <v>3895.455998</v>
      </c>
      <c r="H19" s="265">
        <f>rounddown(G19*$J$3,0)</f>
        <v>5736935</v>
      </c>
      <c r="I19" s="265">
        <f>rounddown(D19*$J$3,0)</f>
        <v>22467282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16318.64</v>
      </c>
      <c r="E20" s="274">
        <f t="shared" si="6"/>
        <v>1444.46</v>
      </c>
      <c r="F20" s="275">
        <f t="shared" si="6"/>
        <v>16692.97</v>
      </c>
      <c r="G20" s="347">
        <f t="shared" si="6"/>
        <v>1070.13</v>
      </c>
      <c r="H20" s="277">
        <f>rounddown(G20*$J$4,0)</f>
        <v>1224105</v>
      </c>
      <c r="I20" s="277">
        <f>rounddown(D20*$J$4,0)</f>
        <v>18666647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98032391</v>
      </c>
      <c r="I21" s="279">
        <f t="shared" si="7"/>
        <v>76106920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21925471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14887.68847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 t="shared" ref="B25:B26" si="8">B12</f>
        <v>WISE USD</v>
      </c>
      <c r="C25" s="323" t="s">
        <v>2274</v>
      </c>
      <c r="D25" s="323" t="s">
        <v>1803</v>
      </c>
      <c r="E25" s="337"/>
      <c r="F25" s="337">
        <v>25.32</v>
      </c>
      <c r="G25" s="327" t="s">
        <v>1068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 t="shared" si="8"/>
        <v>WISE SGD</v>
      </c>
      <c r="C26" s="323" t="s">
        <v>2275</v>
      </c>
      <c r="D26" s="323" t="s">
        <v>1072</v>
      </c>
      <c r="E26" s="337"/>
      <c r="F26" s="337">
        <v>6089.74</v>
      </c>
      <c r="G26" s="327" t="s">
        <v>679</v>
      </c>
      <c r="H26" s="328" t="s">
        <v>556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B12</f>
        <v>WISE USD</v>
      </c>
      <c r="C27" s="323" t="s">
        <v>2275</v>
      </c>
      <c r="D27" s="323" t="s">
        <v>1072</v>
      </c>
      <c r="E27" s="337">
        <v>4500.0</v>
      </c>
      <c r="F27" s="337"/>
      <c r="G27" s="327" t="s">
        <v>679</v>
      </c>
      <c r="H27" s="328" t="s">
        <v>556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B12</f>
        <v>WISE USD</v>
      </c>
      <c r="C28" s="323" t="s">
        <v>2275</v>
      </c>
      <c r="D28" s="323" t="s">
        <v>2261</v>
      </c>
      <c r="E28" s="337"/>
      <c r="F28" s="337">
        <v>2000.0</v>
      </c>
      <c r="G28" s="327" t="s">
        <v>2262</v>
      </c>
      <c r="H28" s="328" t="s">
        <v>39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B12</f>
        <v>WISE USD</v>
      </c>
      <c r="C29" s="323" t="s">
        <v>2275</v>
      </c>
      <c r="D29" s="323" t="s">
        <v>1072</v>
      </c>
      <c r="E29" s="337"/>
      <c r="F29" s="337">
        <v>1.13</v>
      </c>
      <c r="G29" s="327" t="s">
        <v>1073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B12</f>
        <v>WISE USD</v>
      </c>
      <c r="C30" s="323" t="s">
        <v>2275</v>
      </c>
      <c r="D30" s="323" t="s">
        <v>2048</v>
      </c>
      <c r="E30" s="337"/>
      <c r="F30" s="337">
        <v>2499.75</v>
      </c>
      <c r="G30" s="327" t="s">
        <v>2049</v>
      </c>
      <c r="H30" s="328" t="s">
        <v>39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B12</f>
        <v>WISE USD</v>
      </c>
      <c r="C31" s="323" t="s">
        <v>2275</v>
      </c>
      <c r="D31" s="323" t="s">
        <v>1072</v>
      </c>
      <c r="E31" s="337"/>
      <c r="F31" s="337">
        <v>14.61</v>
      </c>
      <c r="G31" s="327" t="s">
        <v>1073</v>
      </c>
      <c r="H31" s="328" t="s">
        <v>33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B9</f>
        <v>기업 #019</v>
      </c>
      <c r="C32" s="323" t="s">
        <v>2276</v>
      </c>
      <c r="D32" s="323" t="s">
        <v>1829</v>
      </c>
      <c r="E32" s="337"/>
      <c r="F32" s="325">
        <v>825000.0</v>
      </c>
      <c r="G32" s="313" t="s">
        <v>1689</v>
      </c>
      <c r="H32" s="328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428" t="str">
        <f>B9</f>
        <v>기업 #019</v>
      </c>
      <c r="C33" s="323" t="s">
        <v>2276</v>
      </c>
      <c r="D33" s="323" t="s">
        <v>1552</v>
      </c>
      <c r="E33" s="337"/>
      <c r="F33" s="325">
        <v>286440.0</v>
      </c>
      <c r="G33" s="327" t="s">
        <v>1690</v>
      </c>
      <c r="H33" s="328" t="s">
        <v>33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B9</f>
        <v>기업 #019</v>
      </c>
      <c r="C34" s="323" t="s">
        <v>2276</v>
      </c>
      <c r="D34" s="323" t="s">
        <v>789</v>
      </c>
      <c r="E34" s="325"/>
      <c r="F34" s="325">
        <v>6336330.0</v>
      </c>
      <c r="G34" s="313" t="s">
        <v>1688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B9</f>
        <v>기업 #019</v>
      </c>
      <c r="C35" s="323" t="s">
        <v>2276</v>
      </c>
      <c r="D35" s="323" t="s">
        <v>1981</v>
      </c>
      <c r="E35" s="337"/>
      <c r="F35" s="325">
        <v>2.0E7</v>
      </c>
      <c r="G35" s="327" t="s">
        <v>1035</v>
      </c>
      <c r="H35" s="328" t="s">
        <v>556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B5</f>
        <v>신한 #672</v>
      </c>
      <c r="C36" s="323" t="s">
        <v>2276</v>
      </c>
      <c r="D36" s="323" t="s">
        <v>1981</v>
      </c>
      <c r="E36" s="325">
        <v>2.0E7</v>
      </c>
      <c r="F36" s="325"/>
      <c r="G36" s="327" t="s">
        <v>1035</v>
      </c>
      <c r="H36" s="328" t="s">
        <v>556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B5</f>
        <v>신한 #672</v>
      </c>
      <c r="C37" s="323" t="s">
        <v>2277</v>
      </c>
      <c r="D37" s="323" t="s">
        <v>2278</v>
      </c>
      <c r="E37" s="337"/>
      <c r="F37" s="325">
        <v>671130.0</v>
      </c>
      <c r="G37" s="327" t="s">
        <v>2278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tr">
        <f>B5</f>
        <v>신한 #672</v>
      </c>
      <c r="C38" s="323" t="s">
        <v>2277</v>
      </c>
      <c r="D38" s="323" t="s">
        <v>2279</v>
      </c>
      <c r="E38" s="337"/>
      <c r="F38" s="325">
        <v>8873840.0</v>
      </c>
      <c r="G38" s="313" t="s">
        <v>2279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B5</f>
        <v>신한 #672</v>
      </c>
      <c r="C39" s="323" t="s">
        <v>2277</v>
      </c>
      <c r="D39" s="323" t="s">
        <v>2280</v>
      </c>
      <c r="E39" s="337"/>
      <c r="F39" s="325">
        <v>1911290.0</v>
      </c>
      <c r="G39" s="313" t="s">
        <v>2280</v>
      </c>
      <c r="H39" s="328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B5</f>
        <v>신한 #672</v>
      </c>
      <c r="C40" s="323" t="s">
        <v>2277</v>
      </c>
      <c r="D40" s="323" t="s">
        <v>2281</v>
      </c>
      <c r="E40" s="337"/>
      <c r="F40" s="325">
        <v>8798500.0</v>
      </c>
      <c r="G40" s="327" t="s">
        <v>2281</v>
      </c>
      <c r="H40" s="328" t="s">
        <v>31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tr">
        <f t="shared" ref="B41:B42" si="9">B7</f>
        <v>하나 #304</v>
      </c>
      <c r="C41" s="323" t="s">
        <v>2282</v>
      </c>
      <c r="D41" s="413" t="s">
        <v>1115</v>
      </c>
      <c r="E41" s="424">
        <v>687.0</v>
      </c>
      <c r="F41" s="424"/>
      <c r="G41" s="415" t="s">
        <v>1837</v>
      </c>
      <c r="H41" s="412" t="s">
        <v>75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tr">
        <f t="shared" si="9"/>
        <v>하나 #138</v>
      </c>
      <c r="C42" s="323" t="s">
        <v>2282</v>
      </c>
      <c r="D42" s="413" t="s">
        <v>1115</v>
      </c>
      <c r="E42" s="403">
        <v>0.15</v>
      </c>
      <c r="F42" s="424"/>
      <c r="G42" s="415" t="s">
        <v>1837</v>
      </c>
      <c r="H42" s="412" t="s">
        <v>75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">
        <v>746</v>
      </c>
      <c r="C43" s="323" t="s">
        <v>2283</v>
      </c>
      <c r="D43" s="413" t="s">
        <v>2085</v>
      </c>
      <c r="E43" s="403">
        <v>845.77</v>
      </c>
      <c r="F43" s="424"/>
      <c r="G43" s="415" t="s">
        <v>2284</v>
      </c>
      <c r="H43" s="412" t="s">
        <v>2035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">
        <v>747</v>
      </c>
      <c r="C44" s="323" t="s">
        <v>2276</v>
      </c>
      <c r="D44" s="323" t="s">
        <v>1712</v>
      </c>
      <c r="E44" s="337">
        <v>150.3</v>
      </c>
      <c r="F44" s="337"/>
      <c r="G44" s="327" t="s">
        <v>2285</v>
      </c>
      <c r="H44" s="427" t="s">
        <v>31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">
        <v>747</v>
      </c>
      <c r="C45" s="323" t="s">
        <v>2276</v>
      </c>
      <c r="D45" s="323" t="s">
        <v>828</v>
      </c>
      <c r="E45" s="325"/>
      <c r="F45" s="404">
        <v>10.0</v>
      </c>
      <c r="G45" s="327" t="s">
        <v>1506</v>
      </c>
      <c r="H45" s="328" t="s">
        <v>33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B9</f>
        <v>기업 #019</v>
      </c>
      <c r="C46" s="323" t="s">
        <v>2286</v>
      </c>
      <c r="D46" s="374" t="s">
        <v>84</v>
      </c>
      <c r="E46" s="325"/>
      <c r="F46" s="414">
        <v>1427769.0</v>
      </c>
      <c r="G46" s="327" t="s">
        <v>1660</v>
      </c>
      <c r="H46" s="286" t="s">
        <v>1642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tr">
        <f>B9</f>
        <v>기업 #019</v>
      </c>
      <c r="C47" s="323" t="s">
        <v>2286</v>
      </c>
      <c r="D47" s="413" t="s">
        <v>2218</v>
      </c>
      <c r="E47" s="424">
        <v>1364.0</v>
      </c>
      <c r="F47" s="424"/>
      <c r="G47" s="327" t="s">
        <v>2218</v>
      </c>
      <c r="H47" s="328" t="s">
        <v>75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B13</f>
        <v>WISE SGD</v>
      </c>
      <c r="C48" s="323" t="s">
        <v>2287</v>
      </c>
      <c r="D48" s="323" t="s">
        <v>2068</v>
      </c>
      <c r="E48" s="337">
        <v>1294.16</v>
      </c>
      <c r="F48" s="325"/>
      <c r="G48" s="327" t="s">
        <v>2288</v>
      </c>
      <c r="H48" s="328" t="s">
        <v>2035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B9</f>
        <v>기업 #019</v>
      </c>
      <c r="C49" s="323" t="s">
        <v>2289</v>
      </c>
      <c r="D49" s="323" t="s">
        <v>2290</v>
      </c>
      <c r="E49" s="325">
        <v>2.0E8</v>
      </c>
      <c r="F49" s="404"/>
      <c r="G49" s="327" t="s">
        <v>2291</v>
      </c>
      <c r="H49" s="328" t="s">
        <v>945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B13</f>
        <v>WISE SGD</v>
      </c>
      <c r="C50" s="323" t="s">
        <v>2289</v>
      </c>
      <c r="D50" s="323" t="s">
        <v>1072</v>
      </c>
      <c r="E50" s="337"/>
      <c r="F50" s="337">
        <v>9288.0</v>
      </c>
      <c r="G50" s="327" t="s">
        <v>679</v>
      </c>
      <c r="H50" s="328" t="s">
        <v>556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B12</f>
        <v>WISE USD</v>
      </c>
      <c r="C51" s="323" t="s">
        <v>2289</v>
      </c>
      <c r="D51" s="323" t="s">
        <v>1072</v>
      </c>
      <c r="E51" s="337">
        <v>6959.24</v>
      </c>
      <c r="F51" s="337"/>
      <c r="G51" s="327" t="s">
        <v>679</v>
      </c>
      <c r="H51" s="328" t="s">
        <v>556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tr">
        <f>B12</f>
        <v>WISE USD</v>
      </c>
      <c r="C52" s="323" t="s">
        <v>2289</v>
      </c>
      <c r="D52" s="323" t="s">
        <v>740</v>
      </c>
      <c r="E52" s="337"/>
      <c r="F52" s="404">
        <v>5386.43</v>
      </c>
      <c r="G52" s="327" t="s">
        <v>2292</v>
      </c>
      <c r="H52" s="328" t="s">
        <v>41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B12</f>
        <v>WISE USD</v>
      </c>
      <c r="C53" s="323" t="s">
        <v>2289</v>
      </c>
      <c r="D53" s="323" t="s">
        <v>1072</v>
      </c>
      <c r="E53" s="337"/>
      <c r="F53" s="337">
        <v>1.13</v>
      </c>
      <c r="G53" s="327" t="s">
        <v>1119</v>
      </c>
      <c r="H53" s="328" t="s">
        <v>33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tr">
        <f>B15</f>
        <v>OCBC USD</v>
      </c>
      <c r="C54" s="323" t="s">
        <v>2289</v>
      </c>
      <c r="D54" s="323" t="s">
        <v>2238</v>
      </c>
      <c r="E54" s="337"/>
      <c r="F54" s="337">
        <v>10000.0</v>
      </c>
      <c r="G54" s="327" t="s">
        <v>2239</v>
      </c>
      <c r="H54" s="328" t="s">
        <v>930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tr">
        <f>B15</f>
        <v>OCBC USD</v>
      </c>
      <c r="C55" s="323" t="s">
        <v>2289</v>
      </c>
      <c r="D55" s="323" t="s">
        <v>828</v>
      </c>
      <c r="E55" s="325"/>
      <c r="F55" s="404">
        <v>15.0</v>
      </c>
      <c r="G55" s="327" t="s">
        <v>1565</v>
      </c>
      <c r="H55" s="328" t="s">
        <v>33</v>
      </c>
      <c r="I55" s="141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412" t="str">
        <f>B15</f>
        <v>OCBC USD</v>
      </c>
      <c r="C56" s="323" t="s">
        <v>2289</v>
      </c>
      <c r="D56" s="323" t="s">
        <v>828</v>
      </c>
      <c r="E56" s="325"/>
      <c r="F56" s="404">
        <v>22.73</v>
      </c>
      <c r="G56" s="327" t="s">
        <v>1565</v>
      </c>
      <c r="H56" s="328" t="s">
        <v>33</v>
      </c>
      <c r="I56" s="141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412" t="str">
        <f>B15</f>
        <v>OCBC USD</v>
      </c>
      <c r="C57" s="323" t="s">
        <v>2293</v>
      </c>
      <c r="D57" s="323" t="s">
        <v>740</v>
      </c>
      <c r="E57" s="337"/>
      <c r="F57" s="404">
        <v>4000.0</v>
      </c>
      <c r="G57" s="327" t="s">
        <v>2292</v>
      </c>
      <c r="H57" s="328" t="s">
        <v>41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412" t="str">
        <f>B15</f>
        <v>OCBC USD</v>
      </c>
      <c r="C58" s="323" t="s">
        <v>2293</v>
      </c>
      <c r="D58" s="323" t="s">
        <v>828</v>
      </c>
      <c r="E58" s="337"/>
      <c r="F58" s="404">
        <v>22.66</v>
      </c>
      <c r="G58" s="327" t="s">
        <v>1119</v>
      </c>
      <c r="H58" s="328" t="s">
        <v>33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412" t="str">
        <f>B9</f>
        <v>기업 #019</v>
      </c>
      <c r="C59" s="323" t="s">
        <v>2294</v>
      </c>
      <c r="D59" s="323" t="s">
        <v>1981</v>
      </c>
      <c r="E59" s="326"/>
      <c r="F59" s="326">
        <v>9000000.0</v>
      </c>
      <c r="G59" s="327" t="s">
        <v>1035</v>
      </c>
      <c r="H59" s="328" t="s">
        <v>556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412" t="str">
        <f>B7</f>
        <v>하나 #304</v>
      </c>
      <c r="C60" s="323" t="s">
        <v>2294</v>
      </c>
      <c r="D60" s="323" t="s">
        <v>1981</v>
      </c>
      <c r="E60" s="326">
        <v>9000000.0</v>
      </c>
      <c r="F60" s="326"/>
      <c r="G60" s="327" t="s">
        <v>1035</v>
      </c>
      <c r="H60" s="328" t="s">
        <v>556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412" t="str">
        <f>B5</f>
        <v>신한 #672</v>
      </c>
      <c r="C61" s="323" t="s">
        <v>2293</v>
      </c>
      <c r="D61" s="323" t="s">
        <v>1202</v>
      </c>
      <c r="E61" s="326"/>
      <c r="F61" s="326">
        <v>110000.0</v>
      </c>
      <c r="G61" s="327" t="s">
        <v>1202</v>
      </c>
      <c r="H61" s="286" t="s">
        <v>33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tr">
        <f>B5</f>
        <v>신한 #672</v>
      </c>
      <c r="C62" s="323" t="s">
        <v>2295</v>
      </c>
      <c r="D62" s="323" t="s">
        <v>1120</v>
      </c>
      <c r="E62" s="325">
        <v>1806.0</v>
      </c>
      <c r="F62" s="325"/>
      <c r="G62" s="327" t="s">
        <v>1837</v>
      </c>
      <c r="H62" s="328" t="s">
        <v>75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350" t="str">
        <f>B9</f>
        <v>기업 #019</v>
      </c>
      <c r="C63" s="323" t="s">
        <v>2296</v>
      </c>
      <c r="D63" s="323" t="s">
        <v>41</v>
      </c>
      <c r="E63" s="337"/>
      <c r="F63" s="325">
        <v>9.9874165E7</v>
      </c>
      <c r="G63" s="327" t="s">
        <v>2297</v>
      </c>
      <c r="H63" s="328" t="s">
        <v>41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 t="str">
        <f>B5</f>
        <v>신한 #672</v>
      </c>
      <c r="C64" s="323" t="s">
        <v>2296</v>
      </c>
      <c r="D64" s="323" t="s">
        <v>1633</v>
      </c>
      <c r="E64" s="325"/>
      <c r="F64" s="325">
        <v>1665572.0</v>
      </c>
      <c r="G64" s="327" t="s">
        <v>1634</v>
      </c>
      <c r="H64" s="328" t="s">
        <v>33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tr">
        <f>B7</f>
        <v>하나 #304</v>
      </c>
      <c r="C65" s="323" t="s">
        <v>2296</v>
      </c>
      <c r="D65" s="323" t="s">
        <v>721</v>
      </c>
      <c r="E65" s="325"/>
      <c r="F65" s="325">
        <f>7923922+1664506</f>
        <v>9588428</v>
      </c>
      <c r="G65" s="327" t="s">
        <v>1634</v>
      </c>
      <c r="H65" s="328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350" t="str">
        <f>B9</f>
        <v>기업 #019</v>
      </c>
      <c r="C66" s="323" t="s">
        <v>2296</v>
      </c>
      <c r="D66" s="323" t="s">
        <v>1669</v>
      </c>
      <c r="E66" s="325"/>
      <c r="F66" s="325">
        <v>2809983.0</v>
      </c>
      <c r="G66" s="327" t="s">
        <v>1634</v>
      </c>
      <c r="H66" s="328" t="s">
        <v>33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350" t="str">
        <f>B5</f>
        <v>신한 #672</v>
      </c>
      <c r="C67" s="323" t="s">
        <v>2296</v>
      </c>
      <c r="D67" s="323" t="s">
        <v>1950</v>
      </c>
      <c r="E67" s="337"/>
      <c r="F67" s="325">
        <v>55620.0</v>
      </c>
      <c r="G67" s="327" t="s">
        <v>1951</v>
      </c>
      <c r="H67" s="328" t="s">
        <v>27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350" t="str">
        <f>B5</f>
        <v>신한 #672</v>
      </c>
      <c r="C68" s="323" t="s">
        <v>2296</v>
      </c>
      <c r="D68" s="323" t="s">
        <v>497</v>
      </c>
      <c r="E68" s="337"/>
      <c r="F68" s="325">
        <v>330000.0</v>
      </c>
      <c r="G68" s="327" t="s">
        <v>1952</v>
      </c>
      <c r="H68" s="328" t="s">
        <v>33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 t="str">
        <f>B5</f>
        <v>신한 #672</v>
      </c>
      <c r="C69" s="323" t="s">
        <v>2296</v>
      </c>
      <c r="D69" s="323" t="s">
        <v>1953</v>
      </c>
      <c r="E69" s="337"/>
      <c r="F69" s="325">
        <v>37430.0</v>
      </c>
      <c r="G69" s="327" t="s">
        <v>1038</v>
      </c>
      <c r="H69" s="328" t="s">
        <v>4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tr">
        <f>B5</f>
        <v>신한 #672</v>
      </c>
      <c r="C70" s="323" t="s">
        <v>2296</v>
      </c>
      <c r="D70" s="323" t="s">
        <v>1953</v>
      </c>
      <c r="E70" s="337"/>
      <c r="F70" s="325">
        <v>37430.0</v>
      </c>
      <c r="G70" s="327" t="s">
        <v>1038</v>
      </c>
      <c r="H70" s="328" t="s">
        <v>4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412" t="str">
        <f>B5</f>
        <v>신한 #672</v>
      </c>
      <c r="C71" s="323" t="s">
        <v>2296</v>
      </c>
      <c r="D71" s="323" t="s">
        <v>1953</v>
      </c>
      <c r="E71" s="337"/>
      <c r="F71" s="325">
        <v>50250.0</v>
      </c>
      <c r="G71" s="327" t="s">
        <v>1040</v>
      </c>
      <c r="H71" s="328" t="s">
        <v>4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350" t="str">
        <f>B5</f>
        <v>신한 #672</v>
      </c>
      <c r="C72" s="323" t="s">
        <v>2296</v>
      </c>
      <c r="D72" s="323" t="s">
        <v>1953</v>
      </c>
      <c r="E72" s="337"/>
      <c r="F72" s="325">
        <v>20660.0</v>
      </c>
      <c r="G72" s="327" t="s">
        <v>1039</v>
      </c>
      <c r="H72" s="328" t="s">
        <v>4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350" t="str">
        <f>B5</f>
        <v>신한 #672</v>
      </c>
      <c r="C73" s="323" t="s">
        <v>2296</v>
      </c>
      <c r="D73" s="323" t="s">
        <v>1953</v>
      </c>
      <c r="E73" s="337"/>
      <c r="F73" s="325">
        <v>20660.0</v>
      </c>
      <c r="G73" s="327" t="s">
        <v>1039</v>
      </c>
      <c r="H73" s="328" t="s">
        <v>4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412" t="str">
        <f>B5</f>
        <v>신한 #672</v>
      </c>
      <c r="C74" s="323" t="s">
        <v>2296</v>
      </c>
      <c r="D74" s="323" t="s">
        <v>1954</v>
      </c>
      <c r="E74" s="337"/>
      <c r="F74" s="325">
        <v>98000.0</v>
      </c>
      <c r="G74" s="327" t="s">
        <v>1047</v>
      </c>
      <c r="H74" s="328" t="s">
        <v>4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350" t="str">
        <f>B12</f>
        <v>WISE USD</v>
      </c>
      <c r="C75" s="323" t="s">
        <v>2296</v>
      </c>
      <c r="D75" s="323" t="s">
        <v>2071</v>
      </c>
      <c r="E75" s="337"/>
      <c r="F75" s="337">
        <v>66.1</v>
      </c>
      <c r="G75" s="327" t="s">
        <v>1719</v>
      </c>
      <c r="H75" s="328" t="s">
        <v>33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391" t="s">
        <v>18</v>
      </c>
      <c r="C76" s="323" t="s">
        <v>2298</v>
      </c>
      <c r="D76" s="391" t="s">
        <v>2299</v>
      </c>
      <c r="F76" s="443">
        <v>220.0</v>
      </c>
      <c r="G76" s="327" t="s">
        <v>1719</v>
      </c>
      <c r="H76" s="328" t="s">
        <v>33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412" t="str">
        <f>B5</f>
        <v>신한 #672</v>
      </c>
      <c r="C77" s="323" t="s">
        <v>2300</v>
      </c>
      <c r="D77" s="429" t="s">
        <v>920</v>
      </c>
      <c r="E77" s="430"/>
      <c r="F77" s="424">
        <v>77000.0</v>
      </c>
      <c r="G77" s="415" t="s">
        <v>1006</v>
      </c>
      <c r="H77" s="412" t="s">
        <v>33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412" t="s">
        <v>746</v>
      </c>
      <c r="C78" s="323" t="s">
        <v>2300</v>
      </c>
      <c r="D78" s="323" t="s">
        <v>2060</v>
      </c>
      <c r="E78" s="337">
        <v>2654.19</v>
      </c>
      <c r="F78" s="337"/>
      <c r="G78" s="327" t="s">
        <v>2301</v>
      </c>
      <c r="H78" s="328" t="s">
        <v>2035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412" t="s">
        <v>746</v>
      </c>
      <c r="C79" s="323" t="s">
        <v>2300</v>
      </c>
      <c r="D79" s="323" t="s">
        <v>828</v>
      </c>
      <c r="E79" s="337"/>
      <c r="F79" s="337">
        <v>7.4</v>
      </c>
      <c r="G79" s="415" t="s">
        <v>1068</v>
      </c>
      <c r="H79" s="412" t="s">
        <v>33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412" t="s">
        <v>747</v>
      </c>
      <c r="C80" s="323" t="s">
        <v>2300</v>
      </c>
      <c r="D80" s="323" t="s">
        <v>2189</v>
      </c>
      <c r="E80" s="337"/>
      <c r="F80" s="337">
        <v>1254.92</v>
      </c>
      <c r="G80" s="327" t="s">
        <v>2302</v>
      </c>
      <c r="H80" s="328" t="s">
        <v>930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412" t="s">
        <v>747</v>
      </c>
      <c r="C81" s="323" t="s">
        <v>2300</v>
      </c>
      <c r="D81" s="323" t="s">
        <v>828</v>
      </c>
      <c r="E81" s="325"/>
      <c r="F81" s="404">
        <v>30.0</v>
      </c>
      <c r="G81" s="327" t="s">
        <v>1565</v>
      </c>
      <c r="H81" s="328" t="s">
        <v>33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412" t="s">
        <v>747</v>
      </c>
      <c r="C82" s="323" t="s">
        <v>2300</v>
      </c>
      <c r="D82" s="323" t="s">
        <v>828</v>
      </c>
      <c r="E82" s="325"/>
      <c r="F82" s="404">
        <v>20.31</v>
      </c>
      <c r="G82" s="327" t="s">
        <v>1565</v>
      </c>
      <c r="H82" s="328" t="s">
        <v>33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350" t="s">
        <v>18</v>
      </c>
      <c r="C83" s="323" t="s">
        <v>2300</v>
      </c>
      <c r="D83" s="444" t="s">
        <v>2187</v>
      </c>
      <c r="E83" s="443"/>
      <c r="F83" s="443">
        <v>1005.8</v>
      </c>
      <c r="G83" s="327" t="s">
        <v>2303</v>
      </c>
      <c r="H83" s="328" t="s">
        <v>930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316" t="str">
        <f>B12</f>
        <v>WISE USD</v>
      </c>
      <c r="C84" s="323" t="s">
        <v>2300</v>
      </c>
      <c r="D84" s="444" t="s">
        <v>1072</v>
      </c>
      <c r="F84" s="420">
        <v>31.42</v>
      </c>
      <c r="G84" s="327" t="s">
        <v>1565</v>
      </c>
      <c r="H84" s="328" t="s">
        <v>33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412" t="s">
        <v>747</v>
      </c>
      <c r="C85" s="323" t="s">
        <v>2300</v>
      </c>
      <c r="D85" s="444" t="s">
        <v>2176</v>
      </c>
      <c r="F85" s="445">
        <v>0.0</v>
      </c>
      <c r="G85" s="415" t="s">
        <v>2304</v>
      </c>
      <c r="H85" s="412" t="s">
        <v>31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412" t="s">
        <v>1962</v>
      </c>
      <c r="C86" s="413" t="s">
        <v>2300</v>
      </c>
      <c r="D86" s="413" t="s">
        <v>2305</v>
      </c>
      <c r="E86" s="404"/>
      <c r="F86" s="375">
        <v>1000.0</v>
      </c>
      <c r="G86" s="415" t="s">
        <v>2306</v>
      </c>
      <c r="H86" s="412" t="s">
        <v>39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/>
      <c r="C87" s="323"/>
      <c r="D87" s="413"/>
      <c r="G87" s="415"/>
      <c r="H87" s="412"/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323"/>
      <c r="D89" s="429"/>
      <c r="E89" s="337"/>
      <c r="F89" s="337"/>
      <c r="G89" s="327"/>
      <c r="H89" s="328"/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323"/>
      <c r="D90" s="429"/>
      <c r="E90" s="337"/>
      <c r="F90" s="337"/>
      <c r="G90" s="327"/>
      <c r="H90" s="328"/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323"/>
      <c r="D91" s="444"/>
      <c r="E91" s="337"/>
      <c r="F91" s="325"/>
      <c r="G91" s="327"/>
      <c r="H91" s="328"/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323"/>
      <c r="D92" s="444"/>
      <c r="E92" s="325"/>
      <c r="F92" s="414"/>
      <c r="G92" s="327"/>
      <c r="H92" s="328"/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323"/>
      <c r="D93" s="323"/>
      <c r="E93" s="325"/>
      <c r="F93" s="414"/>
      <c r="G93" s="327"/>
      <c r="H93" s="328"/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323"/>
      <c r="D94" s="323"/>
      <c r="E94" s="325"/>
      <c r="F94" s="414"/>
      <c r="G94" s="327"/>
      <c r="H94" s="328"/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350"/>
      <c r="C95" s="323"/>
      <c r="D95" s="323"/>
      <c r="E95" s="325"/>
      <c r="F95" s="414"/>
      <c r="G95" s="327"/>
      <c r="H95" s="328"/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350"/>
      <c r="C96" s="323"/>
      <c r="D96" s="323"/>
      <c r="E96" s="326"/>
      <c r="F96" s="424"/>
      <c r="G96" s="327"/>
      <c r="H96" s="328"/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350"/>
      <c r="C97" s="323"/>
      <c r="D97" s="323"/>
      <c r="E97" s="337"/>
      <c r="F97" s="325"/>
      <c r="G97" s="327"/>
      <c r="H97" s="328"/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350"/>
      <c r="C98" s="323"/>
      <c r="D98" s="323"/>
      <c r="E98" s="337"/>
      <c r="F98" s="325"/>
      <c r="G98" s="313"/>
      <c r="H98" s="328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350"/>
      <c r="C99" s="323"/>
      <c r="D99" s="323"/>
      <c r="E99" s="337"/>
      <c r="F99" s="325"/>
      <c r="G99" s="313"/>
      <c r="H99" s="328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/>
      <c r="C100" s="323"/>
      <c r="D100" s="323"/>
      <c r="E100" s="337"/>
      <c r="F100" s="325"/>
      <c r="G100" s="313"/>
      <c r="H100" s="328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350"/>
      <c r="C101" s="323"/>
      <c r="D101" s="323"/>
      <c r="E101" s="337"/>
      <c r="F101" s="325"/>
      <c r="G101" s="313"/>
      <c r="H101" s="328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350"/>
      <c r="C102" s="323"/>
      <c r="D102" s="374"/>
      <c r="E102" s="325"/>
      <c r="F102" s="414"/>
      <c r="G102" s="327"/>
      <c r="H102" s="286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350"/>
      <c r="C103" s="323"/>
      <c r="D103" s="374"/>
      <c r="E103" s="325"/>
      <c r="F103" s="414"/>
      <c r="G103" s="327"/>
      <c r="H103" s="286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350"/>
      <c r="C104" s="323"/>
      <c r="D104" s="374"/>
      <c r="E104" s="325"/>
      <c r="F104" s="414"/>
      <c r="G104" s="327"/>
      <c r="H104" s="286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350"/>
      <c r="C105" s="323"/>
      <c r="D105" s="374"/>
      <c r="E105" s="325"/>
      <c r="F105" s="414"/>
      <c r="G105" s="327"/>
      <c r="H105" s="286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/>
      <c r="C106" s="323"/>
      <c r="D106" s="374"/>
      <c r="E106" s="325"/>
      <c r="F106" s="414"/>
      <c r="G106" s="327"/>
      <c r="H106" s="286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350"/>
      <c r="C107" s="323"/>
      <c r="D107" s="323"/>
      <c r="E107" s="326"/>
      <c r="F107" s="326"/>
      <c r="G107" s="327"/>
      <c r="H107" s="286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350"/>
      <c r="C108" s="323"/>
      <c r="D108" s="323"/>
      <c r="E108" s="337"/>
      <c r="F108" s="325"/>
      <c r="G108" s="327"/>
      <c r="H108" s="328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350"/>
      <c r="C109" s="323"/>
      <c r="D109" s="323"/>
      <c r="E109" s="325"/>
      <c r="F109" s="325"/>
      <c r="G109" s="327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350"/>
      <c r="C110" s="323"/>
      <c r="D110" s="323"/>
      <c r="E110" s="325"/>
      <c r="F110" s="325"/>
      <c r="G110" s="327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412"/>
      <c r="C111" s="323"/>
      <c r="D111" s="323"/>
      <c r="E111" s="325"/>
      <c r="F111" s="325"/>
      <c r="G111" s="327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412"/>
      <c r="C112" s="323"/>
      <c r="D112" s="323"/>
      <c r="E112" s="337"/>
      <c r="F112" s="325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323"/>
      <c r="E113" s="337"/>
      <c r="F113" s="325"/>
      <c r="G113" s="327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323"/>
      <c r="E114" s="337"/>
      <c r="F114" s="325"/>
      <c r="G114" s="327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323"/>
      <c r="D115" s="323"/>
      <c r="E115" s="337"/>
      <c r="F115" s="325"/>
      <c r="G115" s="327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323"/>
      <c r="D116" s="323"/>
      <c r="E116" s="337"/>
      <c r="F116" s="325"/>
      <c r="G116" s="327"/>
      <c r="H116" s="328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323"/>
      <c r="D117" s="323"/>
      <c r="E117" s="337"/>
      <c r="F117" s="325"/>
      <c r="G117" s="327"/>
      <c r="H117" s="328"/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323"/>
      <c r="D118" s="323"/>
      <c r="E118" s="337"/>
      <c r="F118" s="325"/>
      <c r="G118" s="327"/>
      <c r="H118" s="328"/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323"/>
      <c r="D119" s="323"/>
      <c r="E119" s="337"/>
      <c r="F119" s="325"/>
      <c r="G119" s="327"/>
      <c r="H119" s="328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323"/>
      <c r="D120" s="429"/>
      <c r="E120" s="430"/>
      <c r="F120" s="424"/>
      <c r="G120" s="415"/>
      <c r="H120" s="412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323"/>
      <c r="D121" s="323"/>
      <c r="E121" s="337"/>
      <c r="F121" s="325"/>
      <c r="G121" s="327"/>
      <c r="H121" s="328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C122" s="323"/>
      <c r="D122" s="323"/>
      <c r="E122" s="337"/>
      <c r="F122" s="325"/>
      <c r="G122" s="327"/>
      <c r="H122" s="328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C123" s="323"/>
      <c r="D123" s="323"/>
      <c r="E123" s="337"/>
      <c r="F123" s="325"/>
      <c r="G123" s="327"/>
      <c r="H123" s="328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C124" s="323"/>
      <c r="D124" s="429"/>
      <c r="E124" s="430"/>
      <c r="F124" s="424"/>
      <c r="G124" s="415"/>
      <c r="H124" s="412"/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C125" s="323"/>
      <c r="D125" s="429"/>
      <c r="E125" s="430"/>
      <c r="F125" s="424"/>
      <c r="G125" s="415"/>
      <c r="H125" s="412"/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C126" s="323"/>
      <c r="D126" s="429"/>
      <c r="E126" s="430"/>
      <c r="F126" s="424"/>
      <c r="G126" s="415"/>
      <c r="H126" s="412"/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C127" s="323"/>
      <c r="D127" s="429"/>
      <c r="E127" s="430"/>
      <c r="F127" s="424"/>
      <c r="G127" s="415"/>
      <c r="H127" s="412"/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C128" s="323"/>
      <c r="D128" s="429"/>
      <c r="E128" s="430"/>
      <c r="F128" s="424"/>
      <c r="G128" s="415"/>
      <c r="H128" s="412"/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C129" s="323"/>
      <c r="D129" s="429"/>
      <c r="E129" s="430"/>
      <c r="F129" s="424"/>
      <c r="G129" s="415"/>
      <c r="H129" s="412"/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C130" s="323"/>
      <c r="D130" s="429"/>
      <c r="E130" s="430"/>
      <c r="F130" s="424"/>
      <c r="G130" s="415"/>
      <c r="H130" s="412"/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C131" s="323"/>
      <c r="D131" s="429"/>
      <c r="E131" s="430"/>
      <c r="F131" s="424"/>
      <c r="G131" s="415"/>
      <c r="H131" s="412"/>
      <c r="I131" s="107"/>
      <c r="J131" s="141"/>
      <c r="K131" s="138"/>
      <c r="L131" s="83"/>
      <c r="M131" s="8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C132" s="323"/>
      <c r="D132" s="323"/>
      <c r="E132" s="325"/>
      <c r="F132" s="404"/>
      <c r="G132" s="327"/>
      <c r="H132" s="328"/>
      <c r="I132" s="107"/>
      <c r="J132" s="141"/>
      <c r="K132" s="138"/>
      <c r="L132" s="83"/>
      <c r="M132" s="8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C133" s="323"/>
      <c r="D133" s="323"/>
      <c r="E133" s="325"/>
      <c r="F133" s="414"/>
      <c r="G133" s="327"/>
      <c r="H133" s="328"/>
      <c r="I133" s="107"/>
      <c r="J133" s="141"/>
      <c r="K133" s="138"/>
      <c r="L133" s="83"/>
      <c r="M133" s="8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C134" s="323"/>
      <c r="D134" s="323"/>
      <c r="E134" s="325"/>
      <c r="F134" s="414"/>
      <c r="G134" s="327"/>
      <c r="H134" s="328"/>
      <c r="I134" s="107"/>
      <c r="J134" s="141"/>
      <c r="K134" s="138"/>
      <c r="L134" s="83"/>
      <c r="M134" s="84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C135" s="323"/>
      <c r="D135" s="323"/>
      <c r="E135" s="325"/>
      <c r="F135" s="414"/>
      <c r="G135" s="327"/>
      <c r="H135" s="328"/>
      <c r="I135" s="107"/>
      <c r="J135" s="141"/>
      <c r="K135" s="138"/>
      <c r="L135" s="83"/>
      <c r="M135" s="8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C136" s="323"/>
      <c r="D136" s="323"/>
      <c r="E136" s="325"/>
      <c r="F136" s="414"/>
      <c r="G136" s="327"/>
      <c r="H136" s="328"/>
      <c r="I136" s="107"/>
      <c r="J136" s="141"/>
      <c r="K136" s="138"/>
      <c r="L136" s="83"/>
      <c r="M136" s="84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C137" s="323"/>
      <c r="D137" s="323"/>
      <c r="E137" s="325"/>
      <c r="F137" s="414"/>
      <c r="G137" s="327"/>
      <c r="H137" s="328"/>
      <c r="I137" s="107"/>
      <c r="J137" s="141"/>
      <c r="K137" s="138"/>
      <c r="L137" s="83"/>
      <c r="M137" s="84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C138" s="323"/>
      <c r="D138" s="323"/>
      <c r="E138" s="326"/>
      <c r="F138" s="424"/>
      <c r="G138" s="327"/>
      <c r="H138" s="328"/>
      <c r="I138" s="107"/>
      <c r="J138" s="141"/>
      <c r="K138" s="138"/>
      <c r="L138" s="83"/>
      <c r="M138" s="84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C139" s="323"/>
      <c r="D139" s="323"/>
      <c r="E139" s="337"/>
      <c r="F139" s="325"/>
      <c r="G139" s="327"/>
      <c r="H139" s="328"/>
      <c r="I139" s="107"/>
      <c r="J139" s="141"/>
      <c r="K139" s="138"/>
      <c r="L139" s="83"/>
      <c r="M139" s="84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C140" s="323"/>
      <c r="D140" s="323"/>
      <c r="E140" s="337"/>
      <c r="F140" s="325"/>
      <c r="G140" s="313"/>
      <c r="H140" s="328"/>
      <c r="I140" s="107"/>
      <c r="J140" s="141"/>
      <c r="K140" s="138"/>
      <c r="L140" s="83"/>
      <c r="M140" s="84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C141" s="323"/>
      <c r="D141" s="323"/>
      <c r="E141" s="337"/>
      <c r="F141" s="325"/>
      <c r="G141" s="313"/>
      <c r="H141" s="328"/>
      <c r="I141" s="107"/>
      <c r="J141" s="141"/>
      <c r="K141" s="138"/>
      <c r="L141" s="83"/>
      <c r="M141" s="84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C142" s="323"/>
      <c r="D142" s="323"/>
      <c r="E142" s="337"/>
      <c r="F142" s="325"/>
      <c r="G142" s="313"/>
      <c r="H142" s="328"/>
      <c r="I142" s="107"/>
      <c r="J142" s="141"/>
      <c r="K142" s="138"/>
      <c r="L142" s="83"/>
      <c r="M142" s="84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C143" s="323"/>
      <c r="D143" s="323"/>
      <c r="E143" s="325"/>
      <c r="F143" s="414"/>
      <c r="G143" s="327"/>
      <c r="H143" s="328"/>
      <c r="I143" s="107"/>
      <c r="J143" s="141"/>
      <c r="K143" s="138"/>
      <c r="L143" s="83"/>
      <c r="M143" s="84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C144" s="323"/>
      <c r="D144" s="323"/>
      <c r="E144" s="325"/>
      <c r="F144" s="414"/>
      <c r="G144" s="327"/>
      <c r="H144" s="328"/>
      <c r="I144" s="107"/>
      <c r="J144" s="141"/>
      <c r="K144" s="138"/>
      <c r="L144" s="83"/>
      <c r="M144" s="84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C145" s="323"/>
      <c r="D145" s="323"/>
      <c r="E145" s="325"/>
      <c r="F145" s="414"/>
      <c r="G145" s="327"/>
      <c r="H145" s="328"/>
      <c r="I145" s="107"/>
      <c r="J145" s="141"/>
      <c r="K145" s="138"/>
      <c r="L145" s="83"/>
      <c r="M145" s="84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C146" s="323"/>
      <c r="D146" s="323"/>
      <c r="E146" s="325"/>
      <c r="F146" s="414"/>
      <c r="G146" s="327"/>
      <c r="H146" s="328"/>
      <c r="I146" s="107"/>
      <c r="J146" s="141"/>
      <c r="K146" s="138"/>
      <c r="L146" s="83"/>
      <c r="M146" s="84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C147" s="323"/>
      <c r="D147" s="323"/>
      <c r="E147" s="325"/>
      <c r="F147" s="414"/>
      <c r="G147" s="327"/>
      <c r="H147" s="328"/>
      <c r="I147" s="107"/>
      <c r="J147" s="141"/>
      <c r="K147" s="138"/>
      <c r="L147" s="83"/>
      <c r="M147" s="84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C148" s="323"/>
      <c r="D148" s="323"/>
      <c r="E148" s="325"/>
      <c r="F148" s="414"/>
      <c r="G148" s="327"/>
      <c r="H148" s="328"/>
      <c r="I148" s="107"/>
      <c r="J148" s="141"/>
      <c r="K148" s="138"/>
      <c r="L148" s="83"/>
      <c r="M148" s="84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C149" s="323"/>
      <c r="D149" s="323"/>
      <c r="E149" s="325"/>
      <c r="F149" s="414"/>
      <c r="G149" s="327"/>
      <c r="H149" s="328"/>
      <c r="I149" s="107"/>
      <c r="J149" s="141"/>
      <c r="K149" s="138"/>
      <c r="L149" s="83"/>
      <c r="M149" s="84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C150" s="323"/>
      <c r="D150" s="323"/>
      <c r="E150" s="325"/>
      <c r="F150" s="414"/>
      <c r="G150" s="327"/>
      <c r="H150" s="328"/>
      <c r="I150" s="107"/>
      <c r="J150" s="141"/>
      <c r="K150" s="138"/>
      <c r="L150" s="83"/>
      <c r="M150" s="84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C151" s="323"/>
      <c r="D151" s="323"/>
      <c r="E151" s="325"/>
      <c r="F151" s="414"/>
      <c r="G151" s="327"/>
      <c r="H151" s="328"/>
      <c r="I151" s="107"/>
      <c r="J151" s="141"/>
      <c r="K151" s="138"/>
      <c r="L151" s="83"/>
      <c r="M151" s="84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C152" s="323"/>
      <c r="D152" s="323"/>
      <c r="E152" s="325"/>
      <c r="F152" s="414"/>
      <c r="G152" s="327"/>
      <c r="H152" s="328"/>
      <c r="I152" s="107"/>
      <c r="J152" s="141"/>
      <c r="K152" s="138"/>
      <c r="L152" s="83"/>
      <c r="M152" s="84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C153" s="323"/>
      <c r="D153" s="323"/>
      <c r="E153" s="325"/>
      <c r="F153" s="414"/>
      <c r="G153" s="327"/>
      <c r="H153" s="328"/>
      <c r="I153" s="107"/>
      <c r="J153" s="141"/>
      <c r="K153" s="138"/>
      <c r="L153" s="83"/>
      <c r="M153" s="84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C154" s="323"/>
      <c r="D154" s="429"/>
      <c r="E154" s="430"/>
      <c r="G154" s="415"/>
      <c r="H154" s="412"/>
      <c r="I154" s="107"/>
      <c r="J154" s="141"/>
      <c r="K154" s="138"/>
      <c r="L154" s="83"/>
      <c r="M154" s="84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C155" s="323"/>
      <c r="D155" s="323"/>
      <c r="E155" s="337"/>
      <c r="F155" s="325"/>
      <c r="G155" s="327"/>
      <c r="H155" s="328"/>
      <c r="I155" s="107"/>
      <c r="J155" s="141"/>
      <c r="K155" s="141"/>
      <c r="L155" s="83"/>
      <c r="M155" s="84"/>
      <c r="N155" s="141"/>
      <c r="O155" s="141"/>
      <c r="P155" s="141"/>
      <c r="Q155" s="141"/>
      <c r="R155" s="141"/>
      <c r="S155" s="141"/>
      <c r="T155" s="141"/>
      <c r="U155" s="141"/>
      <c r="V155" s="141"/>
      <c r="W155" s="141"/>
      <c r="X155" s="141"/>
      <c r="Y155" s="141"/>
    </row>
    <row r="156" ht="15.0" customHeight="1">
      <c r="A156" s="105"/>
      <c r="C156" s="323"/>
      <c r="D156" s="323"/>
      <c r="E156" s="337"/>
      <c r="F156" s="325"/>
      <c r="G156" s="327"/>
      <c r="H156" s="328"/>
      <c r="I156" s="107"/>
      <c r="J156" s="141"/>
      <c r="K156" s="141"/>
      <c r="L156" s="83"/>
      <c r="M156" s="84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</row>
    <row r="157" ht="15.0" customHeight="1">
      <c r="A157" s="105"/>
      <c r="C157" s="323"/>
      <c r="D157" s="323"/>
      <c r="E157" s="337"/>
      <c r="F157" s="325"/>
      <c r="G157" s="327"/>
      <c r="H157" s="328"/>
      <c r="I157" s="107"/>
      <c r="J157" s="141"/>
      <c r="K157" s="141"/>
      <c r="L157" s="83"/>
      <c r="M157" s="84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</row>
    <row r="158" ht="15.0" customHeight="1">
      <c r="A158" s="105"/>
      <c r="C158" s="323"/>
      <c r="D158" s="323"/>
      <c r="E158" s="337"/>
      <c r="F158" s="325"/>
      <c r="G158" s="327"/>
      <c r="H158" s="328"/>
      <c r="I158" s="107"/>
      <c r="J158" s="141"/>
      <c r="K158" s="141"/>
      <c r="L158" s="83"/>
      <c r="M158" s="84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</row>
    <row r="159" ht="15.0" customHeight="1">
      <c r="A159" s="105"/>
      <c r="C159" s="323"/>
      <c r="D159" s="323"/>
      <c r="E159" s="337"/>
      <c r="F159" s="325"/>
      <c r="G159" s="327"/>
      <c r="H159" s="328"/>
      <c r="I159" s="107"/>
      <c r="J159" s="141"/>
      <c r="K159" s="141"/>
      <c r="L159" s="83"/>
      <c r="M159" s="84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</row>
    <row r="160" ht="15.0" customHeight="1">
      <c r="A160" s="105"/>
      <c r="C160" s="323"/>
      <c r="D160" s="323"/>
      <c r="E160" s="337"/>
      <c r="F160" s="325"/>
      <c r="G160" s="327"/>
      <c r="H160" s="328"/>
      <c r="I160" s="107"/>
      <c r="J160" s="141"/>
      <c r="K160" s="141"/>
      <c r="L160" s="83"/>
      <c r="M160" s="84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</row>
    <row r="161" ht="15.0" customHeight="1">
      <c r="A161" s="105"/>
      <c r="C161" s="323"/>
      <c r="D161" s="323"/>
      <c r="E161" s="337"/>
      <c r="F161" s="325"/>
      <c r="G161" s="327"/>
      <c r="H161" s="328"/>
      <c r="I161" s="107"/>
      <c r="J161" s="141"/>
      <c r="K161" s="141"/>
      <c r="L161" s="83"/>
      <c r="M161" s="84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</row>
    <row r="162" ht="15.0" customHeight="1">
      <c r="A162" s="105"/>
      <c r="C162" s="323"/>
      <c r="D162" s="323"/>
      <c r="E162" s="325"/>
      <c r="F162" s="325"/>
      <c r="G162" s="327"/>
      <c r="H162" s="328"/>
      <c r="I162" s="107"/>
      <c r="J162" s="141"/>
      <c r="K162" s="141"/>
      <c r="L162" s="83"/>
      <c r="M162" s="84"/>
      <c r="N162" s="141"/>
      <c r="O162" s="141"/>
      <c r="P162" s="141"/>
      <c r="Q162" s="141"/>
      <c r="R162" s="141"/>
      <c r="S162" s="141"/>
      <c r="T162" s="141"/>
      <c r="U162" s="141"/>
      <c r="V162" s="141"/>
      <c r="W162" s="141"/>
      <c r="X162" s="141"/>
      <c r="Y162" s="141"/>
    </row>
    <row r="163" ht="15.0" customHeight="1">
      <c r="A163" s="105"/>
      <c r="C163" s="323"/>
      <c r="D163" s="323"/>
      <c r="E163" s="325"/>
      <c r="F163" s="325"/>
      <c r="G163" s="327"/>
      <c r="H163" s="328"/>
      <c r="I163" s="107"/>
      <c r="J163" s="141"/>
      <c r="K163" s="141"/>
      <c r="L163" s="83"/>
      <c r="M163" s="84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</row>
    <row r="164" ht="15.0" customHeight="1">
      <c r="A164" s="105"/>
      <c r="C164" s="323"/>
      <c r="D164" s="323"/>
      <c r="E164" s="325"/>
      <c r="F164" s="325"/>
      <c r="G164" s="327"/>
      <c r="H164" s="328"/>
      <c r="I164" s="107"/>
      <c r="J164" s="141"/>
      <c r="K164" s="141"/>
      <c r="L164" s="83"/>
      <c r="M164" s="84"/>
      <c r="N164" s="141"/>
      <c r="O164" s="141"/>
      <c r="P164" s="141"/>
      <c r="Q164" s="141"/>
      <c r="R164" s="141"/>
      <c r="S164" s="141"/>
      <c r="T164" s="141"/>
      <c r="U164" s="141"/>
      <c r="V164" s="141"/>
      <c r="W164" s="141"/>
      <c r="X164" s="141"/>
      <c r="Y164" s="141"/>
    </row>
    <row r="165" ht="15.0" customHeight="1">
      <c r="A165" s="105"/>
      <c r="C165" s="323"/>
      <c r="D165" s="323"/>
      <c r="E165" s="337"/>
      <c r="F165" s="325"/>
      <c r="G165" s="327"/>
      <c r="H165" s="328"/>
      <c r="I165" s="107"/>
      <c r="J165" s="141"/>
      <c r="K165" s="141"/>
      <c r="L165" s="83"/>
      <c r="M165" s="84"/>
      <c r="N165" s="141"/>
      <c r="O165" s="141"/>
      <c r="P165" s="141"/>
      <c r="Q165" s="141"/>
      <c r="R165" s="141"/>
      <c r="S165" s="141"/>
      <c r="T165" s="141"/>
      <c r="U165" s="141"/>
      <c r="V165" s="141"/>
      <c r="W165" s="141"/>
      <c r="X165" s="141"/>
      <c r="Y165" s="141"/>
    </row>
    <row r="166" ht="15.0" customHeight="1">
      <c r="A166" s="105"/>
      <c r="C166" s="323"/>
      <c r="D166" s="323"/>
      <c r="E166" s="337"/>
      <c r="F166" s="325"/>
      <c r="G166" s="327"/>
      <c r="H166" s="328"/>
      <c r="I166" s="107"/>
      <c r="J166" s="141"/>
      <c r="K166" s="141"/>
      <c r="L166" s="83"/>
      <c r="M166" s="84"/>
      <c r="N166" s="141"/>
      <c r="O166" s="141"/>
      <c r="P166" s="141"/>
      <c r="Q166" s="141"/>
      <c r="R166" s="141"/>
      <c r="S166" s="141"/>
      <c r="T166" s="141"/>
      <c r="U166" s="141"/>
      <c r="V166" s="141"/>
      <c r="W166" s="141"/>
      <c r="X166" s="141"/>
      <c r="Y166" s="141"/>
    </row>
    <row r="167">
      <c r="C167" s="323"/>
      <c r="D167" s="323"/>
      <c r="E167" s="337"/>
      <c r="F167" s="325"/>
      <c r="G167" s="327"/>
      <c r="H167" s="328"/>
    </row>
    <row r="168" ht="15.0" customHeight="1">
      <c r="A168" s="105"/>
      <c r="C168" s="323"/>
      <c r="D168" s="323"/>
      <c r="E168" s="337"/>
      <c r="F168" s="325"/>
      <c r="G168" s="327"/>
      <c r="H168" s="328"/>
      <c r="I168" s="107"/>
      <c r="J168" s="141"/>
      <c r="K168" s="141"/>
      <c r="L168" s="83"/>
      <c r="M168" s="84"/>
      <c r="N168" s="141"/>
      <c r="O168" s="141"/>
      <c r="P168" s="141"/>
      <c r="Q168" s="141"/>
      <c r="R168" s="141"/>
      <c r="S168" s="141"/>
      <c r="T168" s="141"/>
      <c r="U168" s="141"/>
      <c r="V168" s="141"/>
      <c r="W168" s="141"/>
      <c r="X168" s="141"/>
      <c r="Y168" s="141"/>
    </row>
    <row r="169" ht="15.0" customHeight="1">
      <c r="A169" s="105"/>
      <c r="C169" s="323"/>
      <c r="D169" s="323"/>
      <c r="E169" s="337"/>
      <c r="F169" s="325"/>
      <c r="G169" s="327"/>
      <c r="H169" s="328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C170" s="323"/>
      <c r="D170" s="323"/>
      <c r="E170" s="337"/>
      <c r="F170" s="325"/>
      <c r="G170" s="327"/>
      <c r="H170" s="328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C171" s="323"/>
      <c r="D171" s="323"/>
      <c r="E171" s="337"/>
      <c r="F171" s="325"/>
      <c r="G171" s="327"/>
      <c r="H171" s="328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C172" s="323"/>
      <c r="D172" s="323"/>
      <c r="E172" s="337"/>
      <c r="F172" s="325"/>
      <c r="G172" s="327"/>
      <c r="H172" s="328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C173" s="323"/>
      <c r="D173" s="323"/>
      <c r="E173" s="337"/>
      <c r="F173" s="325"/>
      <c r="G173" s="313"/>
      <c r="H173" s="328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>
      <c r="C174" s="323"/>
      <c r="D174" s="323"/>
      <c r="E174" s="337"/>
      <c r="F174" s="325"/>
      <c r="G174" s="327"/>
      <c r="H174" s="328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341"/>
      <c r="C175" s="323"/>
      <c r="D175" s="323"/>
      <c r="E175" s="325"/>
      <c r="F175" s="325"/>
      <c r="G175" s="313"/>
      <c r="H175" s="328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C176" s="323"/>
      <c r="D176" s="323"/>
      <c r="E176" s="337"/>
      <c r="F176" s="325"/>
      <c r="G176" s="327"/>
      <c r="H176" s="328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C177" s="323"/>
      <c r="D177" s="323"/>
      <c r="E177" s="337"/>
      <c r="F177" s="325"/>
      <c r="G177" s="313"/>
      <c r="H177" s="328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C178" s="323"/>
      <c r="D178" s="323"/>
      <c r="E178" s="337"/>
      <c r="F178" s="325"/>
      <c r="G178" s="313"/>
      <c r="H178" s="328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C179" s="323"/>
      <c r="D179" s="323"/>
      <c r="E179" s="337"/>
      <c r="F179" s="325"/>
      <c r="G179" s="327"/>
      <c r="H179" s="328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F182" s="432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  <row r="222" ht="15.0" customHeight="1">
      <c r="A222" s="105"/>
      <c r="I222" s="107"/>
      <c r="J222" s="141"/>
      <c r="K222" s="138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</row>
    <row r="223" ht="15.0" customHeight="1">
      <c r="A223" s="105"/>
      <c r="I223" s="107"/>
      <c r="J223" s="141"/>
      <c r="K223" s="138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</row>
    <row r="224" ht="15.0" customHeight="1">
      <c r="A224" s="105"/>
      <c r="I224" s="107"/>
      <c r="J224" s="141"/>
      <c r="K224" s="138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</row>
    <row r="225" ht="15.0" customHeight="1">
      <c r="A225" s="105"/>
      <c r="I225" s="107"/>
      <c r="J225" s="141"/>
      <c r="K225" s="138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</row>
    <row r="226" ht="15.0" customHeight="1">
      <c r="A226" s="105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 ht="15.0" customHeight="1">
      <c r="A231" s="105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</sheetData>
  <autoFilter ref="$B$24:$H$154">
    <sortState ref="B24:H154">
      <sortCondition ref="B24:B154"/>
    </sortState>
  </autoFilter>
  <customSheetViews>
    <customSheetView guid="{CD2BF927-9D79-47FC-BBA8-927062D6B3F5}" filter="1" showAutoFilter="1">
      <autoFilter ref="$B$24:$H$154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87 H89:H179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20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/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2307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'25.03월'!G5</f>
        <v>1592972</v>
      </c>
      <c r="E5" s="355">
        <f t="shared" ref="E5:E17" si="1">sumif($B$25:$B$173,B5,$E$25:$E$173)</f>
        <v>22002550</v>
      </c>
      <c r="F5" s="356">
        <f t="shared" ref="F5:F17" si="2">sumif($B$25:$B$173,B5,$F$25:$F$173)</f>
        <v>22875361</v>
      </c>
      <c r="G5" s="229">
        <f t="shared" ref="G5:G17" si="3">D5+E5-F5</f>
        <v>720161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'25.03월'!G6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'25.03월'!G7</f>
        <v>411597</v>
      </c>
      <c r="E7" s="359">
        <f t="shared" si="1"/>
        <v>64000000</v>
      </c>
      <c r="F7" s="360">
        <f t="shared" si="2"/>
        <v>63900724</v>
      </c>
      <c r="G7" s="239">
        <f t="shared" si="3"/>
        <v>510873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'25.03월'!G8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'25.03월'!G9</f>
        <v>89066777</v>
      </c>
      <c r="E9" s="359">
        <f t="shared" si="1"/>
        <v>214006375</v>
      </c>
      <c r="F9" s="360">
        <f t="shared" si="2"/>
        <v>230368977</v>
      </c>
      <c r="G9" s="239">
        <f t="shared" si="3"/>
        <v>72704175</v>
      </c>
      <c r="H9" s="439">
        <f>G5+G7+G9</f>
        <v>73935209</v>
      </c>
      <c r="I9" s="440">
        <f>(G5+G7+G9)/J3</f>
        <v>50202.99717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'25.03월'!G10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'25.03월'!G11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'25.03월'!G12</f>
        <v>1117.95</v>
      </c>
      <c r="E12" s="361">
        <f t="shared" si="1"/>
        <v>38981.67</v>
      </c>
      <c r="F12" s="362">
        <f t="shared" si="2"/>
        <v>33309.07</v>
      </c>
      <c r="G12" s="329">
        <f t="shared" si="3"/>
        <v>6790.55</v>
      </c>
      <c r="H12" s="422"/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'25.03월'!G13</f>
        <v>0</v>
      </c>
      <c r="E13" s="363">
        <f t="shared" si="1"/>
        <v>698.7</v>
      </c>
      <c r="F13" s="364">
        <f t="shared" si="2"/>
        <v>88</v>
      </c>
      <c r="G13" s="320">
        <f t="shared" si="3"/>
        <v>610.7</v>
      </c>
      <c r="H13" s="441"/>
      <c r="I13" s="421">
        <f>I11-I9</f>
        <v>-50202.99717</v>
      </c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'25.03월'!G14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'25.03월'!G15</f>
        <v>2659.66</v>
      </c>
      <c r="E15" s="361">
        <f t="shared" si="1"/>
        <v>375.26</v>
      </c>
      <c r="F15" s="358">
        <f t="shared" si="2"/>
        <v>2537.65</v>
      </c>
      <c r="G15" s="235">
        <f t="shared" si="3"/>
        <v>497.27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'25.03월'!G16</f>
        <v>1070.13</v>
      </c>
      <c r="E16" s="366">
        <f t="shared" si="1"/>
        <v>0</v>
      </c>
      <c r="F16" s="367">
        <f t="shared" si="2"/>
        <v>10</v>
      </c>
      <c r="G16" s="310">
        <f t="shared" si="3"/>
        <v>1060.13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'25.03월'!G17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91071351</v>
      </c>
      <c r="E18" s="262">
        <f t="shared" si="4"/>
        <v>300008925</v>
      </c>
      <c r="F18" s="263">
        <f t="shared" si="4"/>
        <v>317145062</v>
      </c>
      <c r="G18" s="345">
        <f t="shared" si="4"/>
        <v>73935214</v>
      </c>
      <c r="H18" s="353">
        <f>G18</f>
        <v>73935214</v>
      </c>
      <c r="I18" s="353">
        <f>D18</f>
        <v>91071351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3895.455998</v>
      </c>
      <c r="E19" s="269">
        <f t="shared" si="5"/>
        <v>39356.93</v>
      </c>
      <c r="F19" s="270">
        <f t="shared" si="5"/>
        <v>35846.72</v>
      </c>
      <c r="G19" s="346">
        <f t="shared" si="5"/>
        <v>7405.665998</v>
      </c>
      <c r="H19" s="265">
        <f>rounddown(G19*$J$3,0)</f>
        <v>10906509</v>
      </c>
      <c r="I19" s="265">
        <f>rounddown(D19*$J$3,0)</f>
        <v>5736935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1070.13</v>
      </c>
      <c r="E20" s="274">
        <f t="shared" si="6"/>
        <v>698.7</v>
      </c>
      <c r="F20" s="275">
        <f t="shared" si="6"/>
        <v>98</v>
      </c>
      <c r="G20" s="347">
        <f t="shared" si="6"/>
        <v>1670.83</v>
      </c>
      <c r="H20" s="277">
        <f>rounddown(G20*$J$4,0)</f>
        <v>1911237</v>
      </c>
      <c r="I20" s="277">
        <f>rounddown(D20*$J$4,0)</f>
        <v>1224105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86752960</v>
      </c>
      <c r="I21" s="279">
        <f t="shared" si="7"/>
        <v>98032391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-11279431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-7658.884721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>B9</f>
        <v>기업 #019</v>
      </c>
      <c r="C25" s="323" t="s">
        <v>2308</v>
      </c>
      <c r="D25" s="323" t="s">
        <v>1829</v>
      </c>
      <c r="E25" s="325"/>
      <c r="F25" s="414">
        <v>825000.0</v>
      </c>
      <c r="G25" s="327" t="s">
        <v>1731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>B9</f>
        <v>기업 #019</v>
      </c>
      <c r="C26" s="323" t="s">
        <v>2308</v>
      </c>
      <c r="D26" s="323" t="s">
        <v>1552</v>
      </c>
      <c r="E26" s="325"/>
      <c r="F26" s="414">
        <v>293040.0</v>
      </c>
      <c r="G26" s="327" t="s">
        <v>1732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B9</f>
        <v>기업 #019</v>
      </c>
      <c r="C27" s="323" t="s">
        <v>2308</v>
      </c>
      <c r="D27" s="323" t="s">
        <v>789</v>
      </c>
      <c r="E27" s="326"/>
      <c r="F27" s="424">
        <v>6501660.0</v>
      </c>
      <c r="G27" s="327" t="s">
        <v>1730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B12</f>
        <v>WISE USD</v>
      </c>
      <c r="C28" s="323" t="s">
        <v>2309</v>
      </c>
      <c r="D28" s="323" t="s">
        <v>1803</v>
      </c>
      <c r="E28" s="337"/>
      <c r="F28" s="337">
        <v>25.32</v>
      </c>
      <c r="G28" s="327" t="s">
        <v>1068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B12</f>
        <v>WISE USD</v>
      </c>
      <c r="C29" s="323" t="s">
        <v>2309</v>
      </c>
      <c r="D29" s="323" t="s">
        <v>2261</v>
      </c>
      <c r="E29" s="337"/>
      <c r="F29" s="337">
        <v>1000.0</v>
      </c>
      <c r="G29" s="327" t="s">
        <v>2262</v>
      </c>
      <c r="H29" s="328" t="s">
        <v>39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B12</f>
        <v>WISE USD</v>
      </c>
      <c r="C30" s="323" t="s">
        <v>2309</v>
      </c>
      <c r="D30" s="323" t="s">
        <v>1072</v>
      </c>
      <c r="E30" s="337"/>
      <c r="F30" s="337">
        <v>1.13</v>
      </c>
      <c r="G30" s="327" t="s">
        <v>1073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B16</f>
        <v>OCBC SGD</v>
      </c>
      <c r="C31" s="323" t="s">
        <v>2310</v>
      </c>
      <c r="D31" s="323" t="s">
        <v>828</v>
      </c>
      <c r="E31" s="337"/>
      <c r="F31" s="325">
        <v>10.0</v>
      </c>
      <c r="G31" s="327" t="s">
        <v>2311</v>
      </c>
      <c r="H31" s="328" t="s">
        <v>33</v>
      </c>
      <c r="I31" s="107"/>
      <c r="J31" s="141"/>
      <c r="K31" s="138"/>
      <c r="L31" s="83"/>
      <c r="M31" s="83"/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B15</f>
        <v>OCBC USD</v>
      </c>
      <c r="C32" s="323" t="s">
        <v>2310</v>
      </c>
      <c r="D32" s="413" t="s">
        <v>2085</v>
      </c>
      <c r="E32" s="337">
        <v>375.26</v>
      </c>
      <c r="F32" s="325"/>
      <c r="G32" s="415" t="s">
        <v>2312</v>
      </c>
      <c r="H32" s="412" t="s">
        <v>2035</v>
      </c>
      <c r="I32" s="107"/>
      <c r="J32" s="141"/>
      <c r="K32" s="138"/>
      <c r="L32" s="83"/>
      <c r="M32" s="83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B15</f>
        <v>OCBC USD</v>
      </c>
      <c r="C33" s="323" t="s">
        <v>2308</v>
      </c>
      <c r="D33" s="323" t="s">
        <v>2048</v>
      </c>
      <c r="E33" s="337"/>
      <c r="F33" s="337">
        <v>2500.0</v>
      </c>
      <c r="G33" s="327" t="s">
        <v>2049</v>
      </c>
      <c r="H33" s="328" t="s">
        <v>39</v>
      </c>
      <c r="I33" s="107"/>
      <c r="J33" s="141"/>
      <c r="K33" s="138"/>
      <c r="L33" s="83" t="s">
        <v>1207</v>
      </c>
      <c r="M33" s="83" t="s">
        <v>1207</v>
      </c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B15</f>
        <v>OCBC USD</v>
      </c>
      <c r="C34" s="323" t="s">
        <v>2308</v>
      </c>
      <c r="D34" s="323" t="s">
        <v>828</v>
      </c>
      <c r="E34" s="337"/>
      <c r="F34" s="337">
        <v>22.65</v>
      </c>
      <c r="G34" s="327" t="s">
        <v>1073</v>
      </c>
      <c r="H34" s="328" t="s">
        <v>33</v>
      </c>
      <c r="I34" s="107"/>
      <c r="J34" s="141"/>
      <c r="K34" s="138"/>
      <c r="L34" s="83" t="s">
        <v>1970</v>
      </c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B15</f>
        <v>OCBC USD</v>
      </c>
      <c r="C35" s="323" t="s">
        <v>2308</v>
      </c>
      <c r="D35" s="323" t="s">
        <v>828</v>
      </c>
      <c r="E35" s="337"/>
      <c r="F35" s="325">
        <v>15.0</v>
      </c>
      <c r="G35" s="327" t="s">
        <v>2311</v>
      </c>
      <c r="H35" s="328" t="s">
        <v>33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B9</f>
        <v>기업 #019</v>
      </c>
      <c r="C36" s="323" t="s">
        <v>2313</v>
      </c>
      <c r="D36" s="323" t="s">
        <v>2245</v>
      </c>
      <c r="E36" s="337"/>
      <c r="F36" s="325">
        <v>671130.0</v>
      </c>
      <c r="G36" s="327" t="s">
        <v>2245</v>
      </c>
      <c r="H36" s="328" t="s">
        <v>31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2313</v>
      </c>
      <c r="D37" s="323" t="s">
        <v>2246</v>
      </c>
      <c r="E37" s="337"/>
      <c r="F37" s="325">
        <v>8873840.0</v>
      </c>
      <c r="G37" s="313" t="s">
        <v>2246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412" t="str">
        <f>B9</f>
        <v>기업 #019</v>
      </c>
      <c r="C38" s="323" t="s">
        <v>2313</v>
      </c>
      <c r="D38" s="323" t="s">
        <v>2247</v>
      </c>
      <c r="E38" s="337"/>
      <c r="F38" s="325">
        <v>1911290.0</v>
      </c>
      <c r="G38" s="313" t="s">
        <v>2247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412" t="str">
        <f>B9</f>
        <v>기업 #019</v>
      </c>
      <c r="C39" s="323" t="s">
        <v>2313</v>
      </c>
      <c r="D39" s="323" t="s">
        <v>2248</v>
      </c>
      <c r="E39" s="337"/>
      <c r="F39" s="325">
        <v>8798500.0</v>
      </c>
      <c r="G39" s="313" t="s">
        <v>2248</v>
      </c>
      <c r="H39" s="328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412" t="str">
        <f>B9</f>
        <v>기업 #019</v>
      </c>
      <c r="C40" s="323" t="s">
        <v>2313</v>
      </c>
      <c r="D40" s="323" t="s">
        <v>116</v>
      </c>
      <c r="E40" s="337"/>
      <c r="F40" s="325">
        <v>9894898.0</v>
      </c>
      <c r="G40" s="313" t="s">
        <v>1825</v>
      </c>
      <c r="H40" s="328" t="s">
        <v>41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412" t="str">
        <f>B9</f>
        <v>기업 #019</v>
      </c>
      <c r="C41" s="323" t="s">
        <v>2313</v>
      </c>
      <c r="D41" s="323" t="s">
        <v>119</v>
      </c>
      <c r="E41" s="337"/>
      <c r="F41" s="325">
        <v>39936.0</v>
      </c>
      <c r="G41" s="313" t="s">
        <v>1859</v>
      </c>
      <c r="H41" s="328" t="s">
        <v>4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412" t="str">
        <f>B9</f>
        <v>기업 #019</v>
      </c>
      <c r="C42" s="323" t="s">
        <v>2313</v>
      </c>
      <c r="D42" s="323" t="s">
        <v>2200</v>
      </c>
      <c r="E42" s="337"/>
      <c r="F42" s="325">
        <v>30619.0</v>
      </c>
      <c r="G42" s="313" t="s">
        <v>1859</v>
      </c>
      <c r="H42" s="328" t="s">
        <v>4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412" t="str">
        <f>B9</f>
        <v>기업 #019</v>
      </c>
      <c r="C43" s="323" t="s">
        <v>2313</v>
      </c>
      <c r="D43" s="323" t="s">
        <v>497</v>
      </c>
      <c r="E43" s="337"/>
      <c r="F43" s="325">
        <v>2530000.0</v>
      </c>
      <c r="G43" s="313" t="s">
        <v>2314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412" t="str">
        <f>B9</f>
        <v>기업 #019</v>
      </c>
      <c r="C44" s="323" t="s">
        <v>2313</v>
      </c>
      <c r="D44" s="323" t="s">
        <v>122</v>
      </c>
      <c r="E44" s="326"/>
      <c r="F44" s="326">
        <v>1250000.0</v>
      </c>
      <c r="G44" s="327" t="s">
        <v>1891</v>
      </c>
      <c r="H44" s="328" t="s">
        <v>1327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412" t="str">
        <f>B9</f>
        <v>기업 #019</v>
      </c>
      <c r="C45" s="323" t="s">
        <v>2313</v>
      </c>
      <c r="D45" s="323" t="s">
        <v>1299</v>
      </c>
      <c r="E45" s="326"/>
      <c r="F45" s="326">
        <v>281010.0</v>
      </c>
      <c r="G45" s="327" t="s">
        <v>2315</v>
      </c>
      <c r="H45" s="328" t="s">
        <v>31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B9</f>
        <v>기업 #019</v>
      </c>
      <c r="C46" s="323" t="s">
        <v>2316</v>
      </c>
      <c r="D46" s="374" t="s">
        <v>2317</v>
      </c>
      <c r="E46" s="325"/>
      <c r="F46" s="414">
        <v>7806256.0</v>
      </c>
      <c r="G46" s="327" t="s">
        <v>2318</v>
      </c>
      <c r="H46" s="286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B5</f>
        <v>신한 #672</v>
      </c>
      <c r="C47" s="323" t="s">
        <v>2313</v>
      </c>
      <c r="D47" s="374" t="s">
        <v>1008</v>
      </c>
      <c r="E47" s="325">
        <v>2550.0</v>
      </c>
      <c r="F47" s="414"/>
      <c r="G47" s="327" t="s">
        <v>2319</v>
      </c>
      <c r="H47" s="286" t="s">
        <v>36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B9</f>
        <v>기업 #019</v>
      </c>
      <c r="C48" s="323" t="s">
        <v>2320</v>
      </c>
      <c r="D48" s="374" t="s">
        <v>84</v>
      </c>
      <c r="E48" s="325"/>
      <c r="F48" s="414">
        <v>1580745.0</v>
      </c>
      <c r="G48" s="327" t="s">
        <v>1660</v>
      </c>
      <c r="H48" s="286" t="s">
        <v>1642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B9</f>
        <v>기업 #019</v>
      </c>
      <c r="C49" s="323" t="s">
        <v>2320</v>
      </c>
      <c r="D49" s="413" t="s">
        <v>2218</v>
      </c>
      <c r="E49" s="424"/>
      <c r="F49" s="424"/>
      <c r="G49" s="327" t="s">
        <v>2218</v>
      </c>
      <c r="H49" s="328" t="s">
        <v>75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B9</f>
        <v>기업 #019</v>
      </c>
      <c r="C50" s="323" t="s">
        <v>2321</v>
      </c>
      <c r="D50" s="323" t="s">
        <v>1981</v>
      </c>
      <c r="E50" s="326"/>
      <c r="F50" s="424">
        <v>1.9E7</v>
      </c>
      <c r="G50" s="327" t="s">
        <v>1035</v>
      </c>
      <c r="H50" s="328" t="s">
        <v>556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B5</f>
        <v>신한 #672</v>
      </c>
      <c r="C51" s="323" t="s">
        <v>2321</v>
      </c>
      <c r="D51" s="323" t="s">
        <v>1981</v>
      </c>
      <c r="E51" s="326">
        <v>1.9E7</v>
      </c>
      <c r="F51" s="424"/>
      <c r="G51" s="327" t="s">
        <v>1035</v>
      </c>
      <c r="H51" s="328" t="s">
        <v>556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B5</f>
        <v>신한 #672</v>
      </c>
      <c r="C52" s="323" t="s">
        <v>2321</v>
      </c>
      <c r="D52" s="323" t="s">
        <v>1981</v>
      </c>
      <c r="E52" s="326"/>
      <c r="F52" s="424">
        <v>1.9E7</v>
      </c>
      <c r="G52" s="327" t="s">
        <v>1035</v>
      </c>
      <c r="H52" s="328" t="s">
        <v>556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B5</f>
        <v>신한 #672</v>
      </c>
      <c r="C53" s="323" t="s">
        <v>2321</v>
      </c>
      <c r="D53" s="413" t="s">
        <v>1120</v>
      </c>
      <c r="E53" s="424"/>
      <c r="F53" s="424">
        <v>500.0</v>
      </c>
      <c r="G53" s="327" t="s">
        <v>1119</v>
      </c>
      <c r="H53" s="328" t="s">
        <v>33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B7</f>
        <v>하나 #304</v>
      </c>
      <c r="C54" s="323" t="s">
        <v>2321</v>
      </c>
      <c r="D54" s="323" t="s">
        <v>1981</v>
      </c>
      <c r="E54" s="326">
        <v>1.9E7</v>
      </c>
      <c r="F54" s="424"/>
      <c r="G54" s="327" t="s">
        <v>1035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2321</v>
      </c>
      <c r="D55" s="323" t="s">
        <v>1110</v>
      </c>
      <c r="E55" s="326"/>
      <c r="F55" s="424">
        <v>1.850667E7</v>
      </c>
      <c r="G55" s="327" t="s">
        <v>1035</v>
      </c>
      <c r="H55" s="328" t="s">
        <v>930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B7</f>
        <v>하나 #304</v>
      </c>
      <c r="C56" s="323" t="s">
        <v>2321</v>
      </c>
      <c r="D56" s="323" t="s">
        <v>1115</v>
      </c>
      <c r="E56" s="326"/>
      <c r="F56" s="424">
        <v>56722.0</v>
      </c>
      <c r="G56" s="327" t="s">
        <v>1119</v>
      </c>
      <c r="H56" s="328" t="s">
        <v>33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446" t="str">
        <f>B9</f>
        <v>기업 #019</v>
      </c>
      <c r="C57" s="417" t="s">
        <v>2321</v>
      </c>
      <c r="D57" s="417" t="s">
        <v>2317</v>
      </c>
      <c r="E57" s="447"/>
      <c r="F57" s="447">
        <v>2287709.0</v>
      </c>
      <c r="G57" s="419" t="s">
        <v>2318</v>
      </c>
      <c r="H57" s="416" t="s">
        <v>33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B13</f>
        <v>WISE SGD</v>
      </c>
      <c r="C58" s="323" t="s">
        <v>2321</v>
      </c>
      <c r="D58" s="323" t="s">
        <v>2068</v>
      </c>
      <c r="E58" s="337">
        <v>698.7</v>
      </c>
      <c r="F58" s="325"/>
      <c r="G58" s="327" t="s">
        <v>2322</v>
      </c>
      <c r="H58" s="328" t="s">
        <v>2035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 t="shared" ref="B59:B60" si="8">B12</f>
        <v>WISE USD</v>
      </c>
      <c r="C59" s="323" t="s">
        <v>2323</v>
      </c>
      <c r="D59" s="323" t="s">
        <v>1981</v>
      </c>
      <c r="E59" s="371">
        <v>12993.89</v>
      </c>
      <c r="F59" s="424"/>
      <c r="G59" s="327" t="s">
        <v>1035</v>
      </c>
      <c r="H59" s="328" t="s">
        <v>930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 t="shared" si="8"/>
        <v>WISE SGD</v>
      </c>
      <c r="C60" s="323" t="s">
        <v>2324</v>
      </c>
      <c r="D60" s="323" t="s">
        <v>2325</v>
      </c>
      <c r="E60" s="326"/>
      <c r="F60" s="371">
        <v>88.0</v>
      </c>
      <c r="G60" s="327" t="s">
        <v>1719</v>
      </c>
      <c r="H60" s="328" t="s">
        <v>33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B9</f>
        <v>기업 #019</v>
      </c>
      <c r="C61" s="323" t="s">
        <v>2324</v>
      </c>
      <c r="D61" s="323" t="s">
        <v>2218</v>
      </c>
      <c r="E61" s="326">
        <v>6375.0</v>
      </c>
      <c r="F61" s="424"/>
      <c r="G61" s="327" t="s">
        <v>2218</v>
      </c>
      <c r="H61" s="328" t="s">
        <v>75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B5</f>
        <v>신한 #672</v>
      </c>
      <c r="C62" s="323" t="s">
        <v>2324</v>
      </c>
      <c r="D62" s="323" t="s">
        <v>1202</v>
      </c>
      <c r="E62" s="326"/>
      <c r="F62" s="326">
        <v>110000.0</v>
      </c>
      <c r="G62" s="327" t="s">
        <v>1202</v>
      </c>
      <c r="H62" s="286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B12</f>
        <v>WISE USD</v>
      </c>
      <c r="C63" s="323" t="s">
        <v>2324</v>
      </c>
      <c r="D63" s="323" t="s">
        <v>2326</v>
      </c>
      <c r="E63" s="326"/>
      <c r="F63" s="403">
        <v>1000.0</v>
      </c>
      <c r="G63" s="327" t="s">
        <v>2327</v>
      </c>
      <c r="H63" s="286" t="s">
        <v>33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B12</f>
        <v>WISE USD</v>
      </c>
      <c r="C64" s="323" t="s">
        <v>2324</v>
      </c>
      <c r="D64" s="323" t="s">
        <v>1072</v>
      </c>
      <c r="E64" s="326"/>
      <c r="F64" s="403">
        <v>12.43</v>
      </c>
      <c r="G64" s="327" t="s">
        <v>1073</v>
      </c>
      <c r="H64" s="286" t="s">
        <v>33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B9</f>
        <v>기업 #019</v>
      </c>
      <c r="C65" s="323" t="s">
        <v>2328</v>
      </c>
      <c r="D65" s="323" t="s">
        <v>1981</v>
      </c>
      <c r="E65" s="326"/>
      <c r="F65" s="424">
        <v>1.4E7</v>
      </c>
      <c r="G65" s="327" t="s">
        <v>1035</v>
      </c>
      <c r="H65" s="328" t="s">
        <v>556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B7</f>
        <v>하나 #304</v>
      </c>
      <c r="C66" s="323" t="s">
        <v>2328</v>
      </c>
      <c r="D66" s="323" t="s">
        <v>1981</v>
      </c>
      <c r="E66" s="326">
        <v>1.4E7</v>
      </c>
      <c r="F66" s="424"/>
      <c r="G66" s="327" t="s">
        <v>1035</v>
      </c>
      <c r="H66" s="328" t="s">
        <v>556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B7</f>
        <v>하나 #304</v>
      </c>
      <c r="C67" s="323" t="s">
        <v>2328</v>
      </c>
      <c r="D67" s="323" t="s">
        <v>1110</v>
      </c>
      <c r="E67" s="326"/>
      <c r="F67" s="424">
        <v>1.42569E7</v>
      </c>
      <c r="G67" s="327" t="s">
        <v>1035</v>
      </c>
      <c r="H67" s="328" t="s">
        <v>930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B7</f>
        <v>하나 #304</v>
      </c>
      <c r="C68" s="323" t="s">
        <v>2328</v>
      </c>
      <c r="D68" s="323" t="s">
        <v>1115</v>
      </c>
      <c r="E68" s="326"/>
      <c r="F68" s="424">
        <v>56764.0</v>
      </c>
      <c r="G68" s="327" t="s">
        <v>1119</v>
      </c>
      <c r="H68" s="328" t="s">
        <v>33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B12</f>
        <v>WISE USD</v>
      </c>
      <c r="C69" s="323" t="s">
        <v>2328</v>
      </c>
      <c r="D69" s="323" t="s">
        <v>1981</v>
      </c>
      <c r="E69" s="371">
        <v>9993.89</v>
      </c>
      <c r="F69" s="424"/>
      <c r="G69" s="327" t="s">
        <v>1035</v>
      </c>
      <c r="H69" s="328" t="s">
        <v>930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B12</f>
        <v>WISE USD</v>
      </c>
      <c r="C70" s="323" t="s">
        <v>2328</v>
      </c>
      <c r="D70" s="323"/>
      <c r="E70" s="326"/>
      <c r="F70" s="403">
        <v>10578.0</v>
      </c>
      <c r="G70" s="327" t="s">
        <v>2329</v>
      </c>
      <c r="H70" s="328" t="s">
        <v>930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B9</f>
        <v>기업 #019</v>
      </c>
      <c r="C71" s="323" t="s">
        <v>2330</v>
      </c>
      <c r="D71" s="323" t="s">
        <v>2290</v>
      </c>
      <c r="E71" s="326">
        <v>2.14E8</v>
      </c>
      <c r="F71" s="424"/>
      <c r="G71" s="327" t="s">
        <v>2331</v>
      </c>
      <c r="H71" s="328" t="s">
        <v>77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B9</f>
        <v>기업 #019</v>
      </c>
      <c r="C72" s="323" t="s">
        <v>2330</v>
      </c>
      <c r="D72" s="323" t="s">
        <v>41</v>
      </c>
      <c r="E72" s="337"/>
      <c r="F72" s="325">
        <v>9.6129391E7</v>
      </c>
      <c r="G72" s="327" t="s">
        <v>2332</v>
      </c>
      <c r="H72" s="328" t="s">
        <v>41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B9</f>
        <v>기업 #019</v>
      </c>
      <c r="C73" s="323" t="s">
        <v>2330</v>
      </c>
      <c r="D73" s="323" t="s">
        <v>1981</v>
      </c>
      <c r="E73" s="326"/>
      <c r="F73" s="424">
        <v>8000000.0</v>
      </c>
      <c r="G73" s="327" t="s">
        <v>1035</v>
      </c>
      <c r="H73" s="328" t="s">
        <v>556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B9</f>
        <v>기업 #019</v>
      </c>
      <c r="C74" s="323" t="s">
        <v>2330</v>
      </c>
      <c r="D74" s="323" t="s">
        <v>1981</v>
      </c>
      <c r="E74" s="326"/>
      <c r="F74" s="424">
        <v>3000000.0</v>
      </c>
      <c r="G74" s="327" t="s">
        <v>1035</v>
      </c>
      <c r="H74" s="328" t="s">
        <v>556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B9</f>
        <v>기업 #019</v>
      </c>
      <c r="C75" s="323" t="s">
        <v>2330</v>
      </c>
      <c r="D75" s="323" t="s">
        <v>1669</v>
      </c>
      <c r="E75" s="325"/>
      <c r="F75" s="325">
        <v>2231271.0</v>
      </c>
      <c r="G75" s="327" t="s">
        <v>1634</v>
      </c>
      <c r="H75" s="328" t="s">
        <v>33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B7</f>
        <v>하나 #304</v>
      </c>
      <c r="C76" s="323" t="s">
        <v>2330</v>
      </c>
      <c r="D76" s="323" t="s">
        <v>1981</v>
      </c>
      <c r="E76" s="424">
        <v>8000000.0</v>
      </c>
      <c r="F76" s="424"/>
      <c r="G76" s="327" t="s">
        <v>1035</v>
      </c>
      <c r="H76" s="328" t="s">
        <v>556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B5</f>
        <v>신한 #672</v>
      </c>
      <c r="C77" s="323" t="s">
        <v>2330</v>
      </c>
      <c r="D77" s="323" t="s">
        <v>1981</v>
      </c>
      <c r="E77" s="424">
        <v>3000000.0</v>
      </c>
      <c r="F77" s="424"/>
      <c r="G77" s="327" t="s">
        <v>1035</v>
      </c>
      <c r="H77" s="328" t="s">
        <v>556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B5</f>
        <v>신한 #672</v>
      </c>
      <c r="C78" s="323" t="s">
        <v>2330</v>
      </c>
      <c r="D78" s="323" t="s">
        <v>1633</v>
      </c>
      <c r="E78" s="325"/>
      <c r="F78" s="325">
        <v>3037881.0</v>
      </c>
      <c r="G78" s="327" t="s">
        <v>1634</v>
      </c>
      <c r="H78" s="328" t="s">
        <v>33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B7</f>
        <v>하나 #304</v>
      </c>
      <c r="C79" s="323" t="s">
        <v>2330</v>
      </c>
      <c r="D79" s="323" t="s">
        <v>721</v>
      </c>
      <c r="E79" s="325"/>
      <c r="F79" s="325">
        <f>7753944+164500</f>
        <v>7918444</v>
      </c>
      <c r="G79" s="327" t="s">
        <v>1634</v>
      </c>
      <c r="H79" s="328" t="s">
        <v>33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B5</f>
        <v>신한 #672</v>
      </c>
      <c r="C80" s="323" t="s">
        <v>2330</v>
      </c>
      <c r="D80" s="323" t="s">
        <v>1950</v>
      </c>
      <c r="E80" s="337"/>
      <c r="F80" s="325">
        <v>55550.0</v>
      </c>
      <c r="G80" s="327" t="s">
        <v>1951</v>
      </c>
      <c r="H80" s="328" t="s">
        <v>27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B5</f>
        <v>신한 #672</v>
      </c>
      <c r="C81" s="323" t="s">
        <v>2330</v>
      </c>
      <c r="D81" s="323" t="s">
        <v>497</v>
      </c>
      <c r="E81" s="337"/>
      <c r="F81" s="325">
        <v>330000.0</v>
      </c>
      <c r="G81" s="327" t="s">
        <v>1952</v>
      </c>
      <c r="H81" s="328" t="s">
        <v>33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B5</f>
        <v>신한 #672</v>
      </c>
      <c r="C82" s="323" t="s">
        <v>2330</v>
      </c>
      <c r="D82" s="323" t="s">
        <v>1953</v>
      </c>
      <c r="E82" s="337"/>
      <c r="F82" s="325">
        <v>37430.0</v>
      </c>
      <c r="G82" s="327" t="s">
        <v>1038</v>
      </c>
      <c r="H82" s="328" t="s">
        <v>4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B5</f>
        <v>신한 #672</v>
      </c>
      <c r="C83" s="323" t="s">
        <v>2330</v>
      </c>
      <c r="D83" s="323" t="s">
        <v>1953</v>
      </c>
      <c r="E83" s="337"/>
      <c r="F83" s="325">
        <v>37430.0</v>
      </c>
      <c r="G83" s="327" t="s">
        <v>1038</v>
      </c>
      <c r="H83" s="328" t="s">
        <v>4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323" t="s">
        <v>2330</v>
      </c>
      <c r="D84" s="323" t="s">
        <v>1953</v>
      </c>
      <c r="E84" s="337"/>
      <c r="F84" s="325">
        <v>50250.0</v>
      </c>
      <c r="G84" s="327" t="s">
        <v>1040</v>
      </c>
      <c r="H84" s="328" t="s">
        <v>4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323" t="s">
        <v>2330</v>
      </c>
      <c r="D85" s="323" t="s">
        <v>1953</v>
      </c>
      <c r="E85" s="337"/>
      <c r="F85" s="325">
        <v>20660.0</v>
      </c>
      <c r="G85" s="327" t="s">
        <v>1039</v>
      </c>
      <c r="H85" s="328" t="s">
        <v>4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2330</v>
      </c>
      <c r="D86" s="323" t="s">
        <v>1953</v>
      </c>
      <c r="E86" s="337"/>
      <c r="F86" s="325">
        <v>20660.0</v>
      </c>
      <c r="G86" s="327" t="s">
        <v>1039</v>
      </c>
      <c r="H86" s="328" t="s">
        <v>4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2330</v>
      </c>
      <c r="D87" s="323" t="s">
        <v>1954</v>
      </c>
      <c r="E87" s="337"/>
      <c r="F87" s="325">
        <v>98000.0</v>
      </c>
      <c r="G87" s="327" t="s">
        <v>1047</v>
      </c>
      <c r="H87" s="328" t="s">
        <v>4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B12</f>
        <v>WISE USD</v>
      </c>
      <c r="C88" s="323" t="s">
        <v>2330</v>
      </c>
      <c r="D88" s="323" t="s">
        <v>740</v>
      </c>
      <c r="E88" s="337"/>
      <c r="F88" s="404">
        <v>9386.43</v>
      </c>
      <c r="G88" s="327" t="s">
        <v>2333</v>
      </c>
      <c r="H88" s="328" t="s">
        <v>41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B12</f>
        <v>WISE USD</v>
      </c>
      <c r="C89" s="323" t="s">
        <v>2330</v>
      </c>
      <c r="D89" s="323" t="s">
        <v>1072</v>
      </c>
      <c r="E89" s="325"/>
      <c r="F89" s="404">
        <v>1.13</v>
      </c>
      <c r="G89" s="327" t="s">
        <v>1565</v>
      </c>
      <c r="H89" s="328" t="s">
        <v>33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B9</f>
        <v>기업 #019</v>
      </c>
      <c r="C90" s="323" t="s">
        <v>2330</v>
      </c>
      <c r="D90" s="323" t="s">
        <v>2334</v>
      </c>
      <c r="E90" s="448"/>
      <c r="F90" s="325">
        <v>140800.0</v>
      </c>
      <c r="G90" s="327" t="s">
        <v>2335</v>
      </c>
      <c r="H90" s="328" t="s">
        <v>33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91" t="s">
        <v>18</v>
      </c>
      <c r="C91" s="323" t="s">
        <v>2336</v>
      </c>
      <c r="D91" s="391" t="s">
        <v>2299</v>
      </c>
      <c r="F91" s="443">
        <v>220.0</v>
      </c>
      <c r="G91" s="327" t="s">
        <v>1719</v>
      </c>
      <c r="H91" s="328" t="s">
        <v>33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B9</f>
        <v>기업 #019</v>
      </c>
      <c r="C92" s="323" t="s">
        <v>2337</v>
      </c>
      <c r="D92" s="323" t="s">
        <v>1991</v>
      </c>
      <c r="E92" s="325"/>
      <c r="F92" s="414">
        <v>1.1291882E7</v>
      </c>
      <c r="G92" s="327" t="s">
        <v>2338</v>
      </c>
      <c r="H92" s="328" t="s">
        <v>33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B9</f>
        <v>기업 #019</v>
      </c>
      <c r="C93" s="323" t="s">
        <v>2337</v>
      </c>
      <c r="D93" s="323" t="s">
        <v>1981</v>
      </c>
      <c r="E93" s="326"/>
      <c r="F93" s="424">
        <v>2.3E7</v>
      </c>
      <c r="G93" s="327" t="s">
        <v>1035</v>
      </c>
      <c r="H93" s="328" t="s">
        <v>556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B7</f>
        <v>하나 #304</v>
      </c>
      <c r="C94" s="323" t="s">
        <v>2337</v>
      </c>
      <c r="D94" s="323" t="s">
        <v>1981</v>
      </c>
      <c r="E94" s="424">
        <v>2.3E7</v>
      </c>
      <c r="F94" s="424"/>
      <c r="G94" s="327" t="s">
        <v>1035</v>
      </c>
      <c r="H94" s="328" t="s">
        <v>556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B7</f>
        <v>하나 #304</v>
      </c>
      <c r="C95" s="323" t="s">
        <v>2337</v>
      </c>
      <c r="D95" s="323" t="s">
        <v>1110</v>
      </c>
      <c r="E95" s="326"/>
      <c r="F95" s="424">
        <v>2.304816E7</v>
      </c>
      <c r="G95" s="327" t="s">
        <v>1035</v>
      </c>
      <c r="H95" s="328" t="s">
        <v>930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B7</f>
        <v>하나 #304</v>
      </c>
      <c r="C96" s="323" t="s">
        <v>2337</v>
      </c>
      <c r="D96" s="323" t="s">
        <v>1115</v>
      </c>
      <c r="E96" s="326"/>
      <c r="F96" s="424">
        <v>57064.0</v>
      </c>
      <c r="G96" s="327" t="s">
        <v>1119</v>
      </c>
      <c r="H96" s="328" t="s">
        <v>33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B12</f>
        <v>WISE USD</v>
      </c>
      <c r="C97" s="323" t="s">
        <v>2339</v>
      </c>
      <c r="D97" s="323" t="s">
        <v>2340</v>
      </c>
      <c r="E97" s="337">
        <v>15993.89</v>
      </c>
      <c r="F97" s="337"/>
      <c r="G97" s="327" t="s">
        <v>2239</v>
      </c>
      <c r="H97" s="328" t="s">
        <v>930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B12</f>
        <v>WISE USD</v>
      </c>
      <c r="C98" s="323" t="s">
        <v>2339</v>
      </c>
      <c r="D98" s="323" t="s">
        <v>2340</v>
      </c>
      <c r="E98" s="337"/>
      <c r="F98" s="337">
        <v>10000.0</v>
      </c>
      <c r="G98" s="327" t="s">
        <v>2239</v>
      </c>
      <c r="H98" s="328" t="s">
        <v>930</v>
      </c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B12</f>
        <v>WISE USD</v>
      </c>
      <c r="C99" s="323" t="s">
        <v>2339</v>
      </c>
      <c r="D99" s="323" t="s">
        <v>1072</v>
      </c>
      <c r="E99" s="337"/>
      <c r="F99" s="404">
        <v>1.13</v>
      </c>
      <c r="G99" s="327" t="s">
        <v>1565</v>
      </c>
      <c r="H99" s="328" t="s">
        <v>33</v>
      </c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B12</f>
        <v>WISE USD</v>
      </c>
      <c r="C100" s="323" t="s">
        <v>2339</v>
      </c>
      <c r="D100" s="323" t="s">
        <v>2189</v>
      </c>
      <c r="E100" s="337"/>
      <c r="F100" s="337">
        <v>543.33</v>
      </c>
      <c r="G100" s="415" t="s">
        <v>2341</v>
      </c>
      <c r="H100" s="328" t="s">
        <v>930</v>
      </c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B12</f>
        <v>WISE USD</v>
      </c>
      <c r="C101" s="323" t="s">
        <v>2339</v>
      </c>
      <c r="D101" s="323" t="s">
        <v>1072</v>
      </c>
      <c r="E101" s="337"/>
      <c r="F101" s="404">
        <v>31.42</v>
      </c>
      <c r="G101" s="327" t="s">
        <v>1565</v>
      </c>
      <c r="H101" s="328" t="s">
        <v>33</v>
      </c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B12</f>
        <v>WISE USD</v>
      </c>
      <c r="C102" s="323" t="s">
        <v>2339</v>
      </c>
      <c r="D102" s="444" t="s">
        <v>2187</v>
      </c>
      <c r="E102" s="337"/>
      <c r="F102" s="337">
        <v>496.32</v>
      </c>
      <c r="G102" s="415" t="s">
        <v>2342</v>
      </c>
      <c r="H102" s="328" t="s">
        <v>930</v>
      </c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B12</f>
        <v>WISE USD</v>
      </c>
      <c r="C103" s="323" t="s">
        <v>2339</v>
      </c>
      <c r="D103" s="323" t="s">
        <v>1072</v>
      </c>
      <c r="E103" s="337"/>
      <c r="F103" s="404">
        <v>12.43</v>
      </c>
      <c r="G103" s="327" t="s">
        <v>1565</v>
      </c>
      <c r="H103" s="328" t="s">
        <v>33</v>
      </c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B5</f>
        <v>신한 #672</v>
      </c>
      <c r="C104" s="323" t="s">
        <v>2343</v>
      </c>
      <c r="D104" s="429" t="s">
        <v>920</v>
      </c>
      <c r="E104" s="430"/>
      <c r="F104" s="424">
        <v>77000.0</v>
      </c>
      <c r="G104" s="415" t="s">
        <v>1006</v>
      </c>
      <c r="H104" s="412" t="s">
        <v>33</v>
      </c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350"/>
      <c r="C105" s="323"/>
      <c r="D105" s="429"/>
      <c r="E105" s="449"/>
      <c r="F105" s="325"/>
      <c r="G105" s="415"/>
      <c r="H105" s="328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/>
      <c r="C106" s="323"/>
      <c r="D106" s="429"/>
      <c r="E106" s="449"/>
      <c r="F106" s="325"/>
      <c r="G106" s="415"/>
      <c r="H106" s="328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350"/>
      <c r="C107" s="323"/>
      <c r="D107" s="429"/>
      <c r="E107" s="449"/>
      <c r="F107" s="325"/>
      <c r="G107" s="415"/>
      <c r="H107" s="328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350"/>
      <c r="C108" s="323"/>
      <c r="D108" s="429"/>
      <c r="E108" s="449"/>
      <c r="F108" s="325"/>
      <c r="G108" s="415"/>
      <c r="H108" s="328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350"/>
      <c r="C109" s="323"/>
      <c r="D109" s="429"/>
      <c r="E109" s="449"/>
      <c r="F109" s="325"/>
      <c r="G109" s="415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350"/>
      <c r="C110" s="323"/>
      <c r="D110" s="429"/>
      <c r="E110" s="449"/>
      <c r="F110" s="325"/>
      <c r="G110" s="415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350"/>
      <c r="C111" s="323"/>
      <c r="D111" s="429"/>
      <c r="E111" s="449"/>
      <c r="F111" s="325"/>
      <c r="G111" s="415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350"/>
      <c r="C112" s="323"/>
      <c r="D112" s="429"/>
      <c r="E112" s="449"/>
      <c r="F112" s="325"/>
      <c r="G112" s="415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350"/>
      <c r="C113" s="323"/>
      <c r="D113" s="429"/>
      <c r="E113" s="449"/>
      <c r="F113" s="325"/>
      <c r="G113" s="415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350"/>
      <c r="C114" s="323"/>
      <c r="D114" s="429"/>
      <c r="E114" s="449"/>
      <c r="F114" s="325"/>
      <c r="G114" s="415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350"/>
      <c r="C115" s="323"/>
      <c r="D115" s="429"/>
      <c r="E115" s="449"/>
      <c r="F115" s="325"/>
      <c r="G115" s="415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350"/>
      <c r="C116" s="323"/>
      <c r="D116" s="429"/>
      <c r="E116" s="449"/>
      <c r="F116" s="325"/>
      <c r="G116" s="415"/>
      <c r="H116" s="328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350"/>
      <c r="C117" s="323"/>
      <c r="D117" s="429"/>
      <c r="E117" s="449"/>
      <c r="F117" s="325"/>
      <c r="G117" s="415"/>
      <c r="H117" s="328"/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350"/>
      <c r="C118" s="323"/>
      <c r="D118" s="429"/>
      <c r="E118" s="449"/>
      <c r="F118" s="325"/>
      <c r="G118" s="415"/>
      <c r="H118" s="328"/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350"/>
      <c r="C119" s="323"/>
      <c r="D119" s="429"/>
      <c r="E119" s="449"/>
      <c r="F119" s="325"/>
      <c r="G119" s="415"/>
      <c r="H119" s="328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350"/>
      <c r="C120" s="323"/>
      <c r="D120" s="429"/>
      <c r="E120" s="449"/>
      <c r="F120" s="325"/>
      <c r="G120" s="415"/>
      <c r="H120" s="328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350"/>
      <c r="C121" s="323"/>
      <c r="D121" s="429"/>
      <c r="E121" s="449"/>
      <c r="F121" s="325"/>
      <c r="G121" s="415"/>
      <c r="H121" s="328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350"/>
      <c r="C122" s="323"/>
      <c r="D122" s="429"/>
      <c r="E122" s="449"/>
      <c r="F122" s="325"/>
      <c r="G122" s="415"/>
      <c r="H122" s="328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B123" s="350"/>
      <c r="C123" s="323"/>
      <c r="D123" s="429"/>
      <c r="E123" s="449"/>
      <c r="F123" s="325"/>
      <c r="G123" s="415"/>
      <c r="H123" s="328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B124" s="350"/>
      <c r="C124" s="323"/>
      <c r="D124" s="429"/>
      <c r="E124" s="449"/>
      <c r="F124" s="325"/>
      <c r="G124" s="415"/>
      <c r="H124" s="328"/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B125" s="350"/>
      <c r="C125" s="323"/>
      <c r="D125" s="429"/>
      <c r="E125" s="449"/>
      <c r="F125" s="325"/>
      <c r="G125" s="415"/>
      <c r="H125" s="328"/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B126" s="350"/>
      <c r="C126" s="323"/>
      <c r="D126" s="429"/>
      <c r="E126" s="449"/>
      <c r="F126" s="325"/>
      <c r="G126" s="415"/>
      <c r="H126" s="328"/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B127" s="350"/>
      <c r="C127" s="323"/>
      <c r="D127" s="429"/>
      <c r="E127" s="449"/>
      <c r="F127" s="325"/>
      <c r="G127" s="415"/>
      <c r="H127" s="328"/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B128" s="350"/>
      <c r="C128" s="323"/>
      <c r="D128" s="429"/>
      <c r="E128" s="449"/>
      <c r="F128" s="325"/>
      <c r="G128" s="415"/>
      <c r="H128" s="328"/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B129" s="350"/>
      <c r="C129" s="323"/>
      <c r="D129" s="429"/>
      <c r="E129" s="449"/>
      <c r="F129" s="325"/>
      <c r="G129" s="415"/>
      <c r="H129" s="328"/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B130" s="350"/>
      <c r="C130" s="323"/>
      <c r="D130" s="429"/>
      <c r="E130" s="449"/>
      <c r="F130" s="325"/>
      <c r="G130" s="415"/>
      <c r="H130" s="328"/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B131" s="350"/>
      <c r="C131" s="323"/>
      <c r="D131" s="429"/>
      <c r="E131" s="449"/>
      <c r="F131" s="325"/>
      <c r="G131" s="415"/>
      <c r="H131" s="328"/>
      <c r="I131" s="107"/>
      <c r="J131" s="141"/>
      <c r="K131" s="138"/>
      <c r="L131" s="83"/>
      <c r="M131" s="8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B132" s="350"/>
      <c r="C132" s="323"/>
      <c r="D132" s="429"/>
      <c r="E132" s="449"/>
      <c r="F132" s="325"/>
      <c r="G132" s="415"/>
      <c r="H132" s="328"/>
      <c r="I132" s="107"/>
      <c r="J132" s="141"/>
      <c r="K132" s="138"/>
      <c r="L132" s="83"/>
      <c r="M132" s="8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B133" s="350"/>
      <c r="C133" s="323"/>
      <c r="D133" s="429"/>
      <c r="E133" s="449"/>
      <c r="F133" s="325"/>
      <c r="G133" s="415"/>
      <c r="H133" s="328"/>
      <c r="I133" s="107"/>
      <c r="J133" s="141"/>
      <c r="K133" s="138"/>
      <c r="L133" s="83"/>
      <c r="M133" s="8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B134" s="350"/>
      <c r="C134" s="323"/>
      <c r="D134" s="429"/>
      <c r="E134" s="449"/>
      <c r="F134" s="325"/>
      <c r="G134" s="415"/>
      <c r="H134" s="328"/>
      <c r="I134" s="107"/>
      <c r="J134" s="141"/>
      <c r="K134" s="141"/>
      <c r="L134" s="83"/>
      <c r="M134" s="84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</row>
    <row r="135" ht="15.0" customHeight="1">
      <c r="A135" s="105"/>
      <c r="B135" s="350"/>
      <c r="C135" s="323"/>
      <c r="D135" s="429"/>
      <c r="E135" s="449"/>
      <c r="F135" s="325"/>
      <c r="G135" s="415"/>
      <c r="H135" s="328"/>
      <c r="I135" s="107"/>
      <c r="J135" s="141"/>
      <c r="K135" s="141"/>
      <c r="L135" s="83"/>
      <c r="M135" s="84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</row>
    <row r="136" ht="15.0" customHeight="1">
      <c r="A136" s="105"/>
      <c r="B136" s="350"/>
      <c r="C136" s="323"/>
      <c r="D136" s="429"/>
      <c r="E136" s="449"/>
      <c r="F136" s="325"/>
      <c r="G136" s="415"/>
      <c r="H136" s="328"/>
      <c r="I136" s="107"/>
      <c r="J136" s="141"/>
      <c r="K136" s="141"/>
      <c r="L136" s="83"/>
      <c r="M136" s="84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</row>
    <row r="137" ht="15.0" customHeight="1">
      <c r="A137" s="105"/>
      <c r="B137" s="350"/>
      <c r="C137" s="323"/>
      <c r="D137" s="429"/>
      <c r="E137" s="449"/>
      <c r="F137" s="325"/>
      <c r="G137" s="415"/>
      <c r="H137" s="328"/>
      <c r="I137" s="107"/>
      <c r="J137" s="141"/>
      <c r="K137" s="141"/>
      <c r="L137" s="83"/>
      <c r="M137" s="84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</row>
    <row r="138" ht="15.0" customHeight="1">
      <c r="A138" s="105"/>
      <c r="B138" s="350"/>
      <c r="C138" s="323"/>
      <c r="D138" s="429"/>
      <c r="E138" s="449"/>
      <c r="F138" s="325"/>
      <c r="G138" s="415"/>
      <c r="H138" s="328"/>
      <c r="I138" s="107"/>
      <c r="J138" s="141"/>
      <c r="K138" s="141"/>
      <c r="L138" s="83"/>
      <c r="M138" s="84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</row>
    <row r="139" ht="15.0" customHeight="1">
      <c r="A139" s="105"/>
      <c r="B139" s="350"/>
      <c r="C139" s="323"/>
      <c r="D139" s="429"/>
      <c r="E139" s="449"/>
      <c r="F139" s="325"/>
      <c r="G139" s="415"/>
      <c r="H139" s="328"/>
      <c r="I139" s="107"/>
      <c r="J139" s="141"/>
      <c r="K139" s="141"/>
      <c r="L139" s="83"/>
      <c r="M139" s="84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</row>
    <row r="140" ht="15.0" customHeight="1">
      <c r="A140" s="105"/>
      <c r="B140" s="350"/>
      <c r="C140" s="323"/>
      <c r="D140" s="429"/>
      <c r="E140" s="449"/>
      <c r="F140" s="325"/>
      <c r="G140" s="415"/>
      <c r="H140" s="328"/>
      <c r="I140" s="107"/>
      <c r="J140" s="141"/>
      <c r="K140" s="141"/>
      <c r="L140" s="83"/>
      <c r="M140" s="84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</row>
    <row r="141" ht="15.0" customHeight="1">
      <c r="A141" s="105"/>
      <c r="B141" s="350"/>
      <c r="C141" s="323"/>
      <c r="D141" s="429"/>
      <c r="E141" s="449"/>
      <c r="F141" s="325"/>
      <c r="G141" s="415"/>
      <c r="H141" s="328"/>
      <c r="I141" s="107"/>
      <c r="J141" s="141"/>
      <c r="K141" s="141"/>
      <c r="L141" s="83"/>
      <c r="M141" s="84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</row>
    <row r="142" ht="15.0" customHeight="1">
      <c r="A142" s="105"/>
      <c r="B142" s="350"/>
      <c r="C142" s="323"/>
      <c r="D142" s="429"/>
      <c r="E142" s="449"/>
      <c r="F142" s="325"/>
      <c r="G142" s="415"/>
      <c r="H142" s="328"/>
      <c r="I142" s="107"/>
      <c r="J142" s="141"/>
      <c r="K142" s="141"/>
      <c r="L142" s="83"/>
      <c r="M142" s="84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</row>
    <row r="143" ht="15.0" customHeight="1">
      <c r="A143" s="105"/>
      <c r="B143" s="350"/>
      <c r="C143" s="323"/>
      <c r="D143" s="429"/>
      <c r="E143" s="449"/>
      <c r="F143" s="325"/>
      <c r="G143" s="415"/>
      <c r="H143" s="328"/>
      <c r="I143" s="107"/>
      <c r="J143" s="141"/>
      <c r="K143" s="141"/>
      <c r="L143" s="83"/>
      <c r="M143" s="84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</row>
    <row r="144" ht="15.0" customHeight="1">
      <c r="A144" s="105"/>
      <c r="B144" s="350"/>
      <c r="C144" s="323"/>
      <c r="D144" s="429"/>
      <c r="E144" s="449"/>
      <c r="F144" s="325"/>
      <c r="G144" s="415"/>
      <c r="H144" s="328"/>
      <c r="I144" s="107"/>
      <c r="J144" s="141"/>
      <c r="K144" s="141"/>
      <c r="L144" s="83"/>
      <c r="M144" s="84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</row>
    <row r="145" ht="15.0" customHeight="1">
      <c r="A145" s="105"/>
      <c r="B145" s="350"/>
      <c r="C145" s="323"/>
      <c r="D145" s="429"/>
      <c r="E145" s="449"/>
      <c r="F145" s="325"/>
      <c r="G145" s="415"/>
      <c r="H145" s="328"/>
      <c r="I145" s="107"/>
      <c r="J145" s="141"/>
      <c r="K145" s="141"/>
      <c r="L145" s="83"/>
      <c r="M145" s="84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</row>
    <row r="146">
      <c r="B146" s="350"/>
      <c r="C146" s="323"/>
      <c r="D146" s="429"/>
      <c r="E146" s="449"/>
      <c r="F146" s="325"/>
      <c r="G146" s="415"/>
      <c r="H146" s="328"/>
    </row>
    <row r="147" ht="15.0" customHeight="1">
      <c r="A147" s="105"/>
      <c r="C147" s="323"/>
      <c r="D147" s="323"/>
      <c r="E147" s="337"/>
      <c r="F147" s="325"/>
      <c r="G147" s="327"/>
      <c r="H147" s="328"/>
      <c r="I147" s="107"/>
      <c r="J147" s="141"/>
      <c r="K147" s="141"/>
      <c r="L147" s="83"/>
      <c r="M147" s="84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</row>
    <row r="148" ht="15.0" customHeight="1">
      <c r="A148" s="105"/>
      <c r="C148" s="323"/>
      <c r="D148" s="323"/>
      <c r="E148" s="337"/>
      <c r="F148" s="325"/>
      <c r="G148" s="327"/>
      <c r="H148" s="328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C149" s="323"/>
      <c r="D149" s="323"/>
      <c r="E149" s="337"/>
      <c r="F149" s="325"/>
      <c r="G149" s="327"/>
      <c r="H149" s="328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C150" s="323"/>
      <c r="D150" s="323"/>
      <c r="E150" s="337"/>
      <c r="F150" s="325"/>
      <c r="G150" s="327"/>
      <c r="H150" s="328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C151" s="323"/>
      <c r="D151" s="323"/>
      <c r="E151" s="337"/>
      <c r="F151" s="325"/>
      <c r="G151" s="327"/>
      <c r="H151" s="328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C152" s="323"/>
      <c r="D152" s="323"/>
      <c r="E152" s="337"/>
      <c r="F152" s="325"/>
      <c r="G152" s="327"/>
      <c r="H152" s="328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>
      <c r="C153" s="323"/>
      <c r="D153" s="323"/>
      <c r="E153" s="337"/>
      <c r="F153" s="325"/>
      <c r="G153" s="327"/>
      <c r="H153" s="328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341"/>
      <c r="C154" s="323"/>
      <c r="D154" s="323"/>
      <c r="E154" s="337"/>
      <c r="F154" s="325"/>
      <c r="G154" s="313"/>
      <c r="H154" s="328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C155" s="323"/>
      <c r="D155" s="323"/>
      <c r="E155" s="337"/>
      <c r="F155" s="325"/>
      <c r="G155" s="327"/>
      <c r="H155" s="328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C156" s="323"/>
      <c r="D156" s="323"/>
      <c r="E156" s="325"/>
      <c r="F156" s="325"/>
      <c r="G156" s="313"/>
      <c r="H156" s="328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C157" s="323"/>
      <c r="D157" s="323"/>
      <c r="E157" s="337"/>
      <c r="F157" s="325"/>
      <c r="G157" s="327"/>
      <c r="H157" s="328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C158" s="323"/>
      <c r="D158" s="323"/>
      <c r="E158" s="337"/>
      <c r="F158" s="325"/>
      <c r="G158" s="313"/>
      <c r="H158" s="328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C159" s="323"/>
      <c r="D159" s="323"/>
      <c r="E159" s="337"/>
      <c r="F159" s="325"/>
      <c r="G159" s="313"/>
      <c r="H159" s="328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C160" s="323"/>
      <c r="D160" s="323"/>
      <c r="E160" s="337"/>
      <c r="F160" s="325"/>
      <c r="G160" s="327"/>
      <c r="H160" s="328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F163" s="432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</sheetData>
  <autoFilter ref="$B$24:$H$146">
    <sortState ref="B24:H146">
      <sortCondition ref="B24:B146"/>
    </sortState>
  </autoFilter>
  <customSheetViews>
    <customSheetView guid="{CD2BF927-9D79-47FC-BBA8-927062D6B3F5}" filter="1" showAutoFilter="1">
      <autoFilter ref="$B$24:$H$146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60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2344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'25.04월'!G5</f>
        <v>720161</v>
      </c>
      <c r="E5" s="355">
        <f t="shared" ref="E5:E17" si="1">sumif($B$25:$B$134,B5,$E$25:$E$134)</f>
        <v>5000000</v>
      </c>
      <c r="F5" s="356">
        <f t="shared" ref="F5:F17" si="2">sumif($B$25:$B$134,B5,$F$25:$F$134)</f>
        <v>3530870</v>
      </c>
      <c r="G5" s="229">
        <f t="shared" ref="G5:G17" si="3">D5+E5-F5</f>
        <v>2189291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'25.04월'!G6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'25.04월'!G7</f>
        <v>510873</v>
      </c>
      <c r="E7" s="359">
        <f t="shared" si="1"/>
        <v>71000000</v>
      </c>
      <c r="F7" s="360">
        <f t="shared" si="2"/>
        <v>67249638</v>
      </c>
      <c r="G7" s="239">
        <f t="shared" si="3"/>
        <v>4261235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'25.04월'!G8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'25.04월'!G9</f>
        <v>72704175</v>
      </c>
      <c r="E9" s="359">
        <f t="shared" si="1"/>
        <v>200004121</v>
      </c>
      <c r="F9" s="360">
        <f t="shared" si="2"/>
        <v>212129963</v>
      </c>
      <c r="G9" s="239">
        <f t="shared" si="3"/>
        <v>60578333</v>
      </c>
      <c r="H9" s="439">
        <f>G5+G7+G9</f>
        <v>67028859</v>
      </c>
      <c r="I9" s="440">
        <f>(G5+G7+G9)/J3</f>
        <v>45513.49301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'25.04월'!G10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'25.04월'!G11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'25.04월'!G12</f>
        <v>6790.55</v>
      </c>
      <c r="E12" s="361">
        <f t="shared" si="1"/>
        <v>42045.56</v>
      </c>
      <c r="F12" s="362">
        <f t="shared" si="2"/>
        <v>34984.73</v>
      </c>
      <c r="G12" s="329">
        <f t="shared" si="3"/>
        <v>13851.38</v>
      </c>
      <c r="H12" s="422">
        <f>G12*J3</f>
        <v>20399273.61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'25.04월'!G13</f>
        <v>610.7</v>
      </c>
      <c r="E13" s="363">
        <f t="shared" si="1"/>
        <v>639.97</v>
      </c>
      <c r="F13" s="364">
        <f t="shared" si="2"/>
        <v>698.7</v>
      </c>
      <c r="G13" s="320">
        <f t="shared" si="3"/>
        <v>551.97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'25.04월'!G14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'25.04월'!G15</f>
        <v>497.27</v>
      </c>
      <c r="E15" s="361">
        <f t="shared" si="1"/>
        <v>262.53</v>
      </c>
      <c r="F15" s="358">
        <f t="shared" si="2"/>
        <v>0</v>
      </c>
      <c r="G15" s="235">
        <f t="shared" si="3"/>
        <v>759.8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'25.04월'!G16</f>
        <v>1060.13</v>
      </c>
      <c r="E16" s="366">
        <f t="shared" si="1"/>
        <v>0</v>
      </c>
      <c r="F16" s="367">
        <f t="shared" si="2"/>
        <v>10</v>
      </c>
      <c r="G16" s="310">
        <f t="shared" si="3"/>
        <v>1050.13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'25.04월'!G17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73935214</v>
      </c>
      <c r="E18" s="262">
        <f t="shared" si="4"/>
        <v>276004121</v>
      </c>
      <c r="F18" s="263">
        <f t="shared" si="4"/>
        <v>282910471</v>
      </c>
      <c r="G18" s="345">
        <f t="shared" si="4"/>
        <v>67028864</v>
      </c>
      <c r="H18" s="353">
        <f>G18</f>
        <v>67028864</v>
      </c>
      <c r="I18" s="353">
        <f>D18</f>
        <v>73935214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7405.665998</v>
      </c>
      <c r="E19" s="269">
        <f t="shared" si="5"/>
        <v>42308.09</v>
      </c>
      <c r="F19" s="270">
        <f t="shared" si="5"/>
        <v>34984.73</v>
      </c>
      <c r="G19" s="346">
        <f t="shared" si="5"/>
        <v>14729.026</v>
      </c>
      <c r="H19" s="265">
        <f>rounddown(G19*$J$3,0)</f>
        <v>21691804</v>
      </c>
      <c r="I19" s="265">
        <f>rounddown(D19*$J$3,0)</f>
        <v>10906509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1670.83</v>
      </c>
      <c r="E20" s="274">
        <f t="shared" si="6"/>
        <v>639.97</v>
      </c>
      <c r="F20" s="275">
        <f t="shared" si="6"/>
        <v>708.7</v>
      </c>
      <c r="G20" s="347">
        <f t="shared" si="6"/>
        <v>1602.1</v>
      </c>
      <c r="H20" s="277">
        <f>rounddown(G20*$J$4,0)</f>
        <v>1832618</v>
      </c>
      <c r="I20" s="277">
        <f>rounddown(D20*$J$4,0)</f>
        <v>1911237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90553286</v>
      </c>
      <c r="I21" s="279">
        <f t="shared" si="7"/>
        <v>86752960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3800326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2580.472254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>B9</f>
        <v>기업 #019</v>
      </c>
      <c r="C25" s="323" t="s">
        <v>2345</v>
      </c>
      <c r="D25" s="323" t="s">
        <v>1829</v>
      </c>
      <c r="E25" s="325"/>
      <c r="F25" s="414">
        <v>825000.0</v>
      </c>
      <c r="G25" s="327" t="s">
        <v>1731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>B9</f>
        <v>기업 #019</v>
      </c>
      <c r="C26" s="323" t="s">
        <v>2345</v>
      </c>
      <c r="D26" s="323" t="s">
        <v>1552</v>
      </c>
      <c r="E26" s="325"/>
      <c r="F26" s="414">
        <v>253800.0</v>
      </c>
      <c r="G26" s="327" t="s">
        <v>1732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B9</f>
        <v>기업 #019</v>
      </c>
      <c r="C27" s="323" t="s">
        <v>2345</v>
      </c>
      <c r="D27" s="323" t="s">
        <v>789</v>
      </c>
      <c r="E27" s="326"/>
      <c r="F27" s="424">
        <v>6230730.0</v>
      </c>
      <c r="G27" s="327" t="s">
        <v>1730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B12</f>
        <v>WISE USD</v>
      </c>
      <c r="C28" s="323" t="s">
        <v>2345</v>
      </c>
      <c r="D28" s="323" t="s">
        <v>1803</v>
      </c>
      <c r="E28" s="337"/>
      <c r="F28" s="337">
        <v>25.47</v>
      </c>
      <c r="G28" s="327" t="s">
        <v>1068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B12</f>
        <v>WISE USD</v>
      </c>
      <c r="C29" s="323" t="s">
        <v>2346</v>
      </c>
      <c r="D29" s="323" t="s">
        <v>2261</v>
      </c>
      <c r="E29" s="337"/>
      <c r="F29" s="337">
        <v>2000.0</v>
      </c>
      <c r="G29" s="327" t="s">
        <v>2262</v>
      </c>
      <c r="H29" s="328" t="s">
        <v>39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B12</f>
        <v>WISE USD</v>
      </c>
      <c r="C30" s="323" t="s">
        <v>2346</v>
      </c>
      <c r="D30" s="323" t="s">
        <v>1072</v>
      </c>
      <c r="E30" s="337"/>
      <c r="F30" s="337">
        <v>1.13</v>
      </c>
      <c r="G30" s="327" t="s">
        <v>1073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B12</f>
        <v>WISE USD</v>
      </c>
      <c r="C31" s="323" t="s">
        <v>2346</v>
      </c>
      <c r="D31" s="323" t="s">
        <v>2048</v>
      </c>
      <c r="E31" s="337"/>
      <c r="F31" s="337">
        <v>2500.0</v>
      </c>
      <c r="G31" s="327" t="s">
        <v>2049</v>
      </c>
      <c r="H31" s="328" t="s">
        <v>39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B12</f>
        <v>WISE USD</v>
      </c>
      <c r="C32" s="323" t="s">
        <v>2346</v>
      </c>
      <c r="D32" s="323" t="s">
        <v>1072</v>
      </c>
      <c r="E32" s="337"/>
      <c r="F32" s="337">
        <v>14.39</v>
      </c>
      <c r="G32" s="327" t="s">
        <v>1073</v>
      </c>
      <c r="H32" s="328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 t="shared" ref="B33:B34" si="8">B12</f>
        <v>WISE USD</v>
      </c>
      <c r="C33" s="323" t="s">
        <v>2346</v>
      </c>
      <c r="D33" s="323" t="s">
        <v>2347</v>
      </c>
      <c r="E33" s="337"/>
      <c r="F33" s="337">
        <v>405.03</v>
      </c>
      <c r="G33" s="327" t="s">
        <v>1068</v>
      </c>
      <c r="H33" s="328" t="s">
        <v>33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 t="shared" si="8"/>
        <v>WISE SGD</v>
      </c>
      <c r="C34" s="323" t="s">
        <v>2346</v>
      </c>
      <c r="D34" s="323" t="s">
        <v>2347</v>
      </c>
      <c r="E34" s="337"/>
      <c r="F34" s="337">
        <v>610.7</v>
      </c>
      <c r="G34" s="327" t="s">
        <v>1068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 t="shared" ref="B35:B36" si="9">B15</f>
        <v>OCBC USD</v>
      </c>
      <c r="C35" s="323" t="s">
        <v>2348</v>
      </c>
      <c r="D35" s="413" t="s">
        <v>2085</v>
      </c>
      <c r="E35" s="337">
        <v>262.53</v>
      </c>
      <c r="F35" s="325"/>
      <c r="G35" s="415" t="s">
        <v>2349</v>
      </c>
      <c r="H35" s="412" t="s">
        <v>2035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 t="shared" si="9"/>
        <v>OCBC SGD</v>
      </c>
      <c r="C36" s="323" t="s">
        <v>2350</v>
      </c>
      <c r="D36" s="323" t="s">
        <v>828</v>
      </c>
      <c r="E36" s="337"/>
      <c r="F36" s="337">
        <v>10.0</v>
      </c>
      <c r="G36" s="327" t="s">
        <v>1073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2351</v>
      </c>
      <c r="D37" s="323" t="s">
        <v>2352</v>
      </c>
      <c r="E37" s="325"/>
      <c r="F37" s="325">
        <v>3559660.0</v>
      </c>
      <c r="G37" s="327" t="s">
        <v>865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412" t="str">
        <f>B9</f>
        <v>기업 #019</v>
      </c>
      <c r="C38" s="323" t="s">
        <v>2351</v>
      </c>
      <c r="D38" s="323" t="s">
        <v>2353</v>
      </c>
      <c r="E38" s="325"/>
      <c r="F38" s="325">
        <v>356650.0</v>
      </c>
      <c r="G38" s="313" t="s">
        <v>2354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412" t="str">
        <f>B9</f>
        <v>기업 #019</v>
      </c>
      <c r="C39" s="323" t="s">
        <v>2351</v>
      </c>
      <c r="D39" s="323" t="s">
        <v>119</v>
      </c>
      <c r="E39" s="325"/>
      <c r="F39" s="325">
        <v>172100.0</v>
      </c>
      <c r="G39" s="313" t="s">
        <v>1859</v>
      </c>
      <c r="H39" s="328" t="s">
        <v>4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412" t="str">
        <f>B9</f>
        <v>기업 #019</v>
      </c>
      <c r="C40" s="323" t="s">
        <v>2351</v>
      </c>
      <c r="D40" s="323" t="s">
        <v>2200</v>
      </c>
      <c r="E40" s="325"/>
      <c r="F40" s="325">
        <v>141586.0</v>
      </c>
      <c r="G40" s="313" t="s">
        <v>1859</v>
      </c>
      <c r="H40" s="328" t="s">
        <v>4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412" t="str">
        <f>B9</f>
        <v>기업 #019</v>
      </c>
      <c r="C41" s="323" t="s">
        <v>2351</v>
      </c>
      <c r="D41" s="323" t="s">
        <v>993</v>
      </c>
      <c r="E41" s="325"/>
      <c r="F41" s="325">
        <v>15009.0</v>
      </c>
      <c r="G41" s="313" t="s">
        <v>1859</v>
      </c>
      <c r="H41" s="328" t="s">
        <v>4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412" t="str">
        <f>B9</f>
        <v>기업 #019</v>
      </c>
      <c r="C42" s="323" t="s">
        <v>2351</v>
      </c>
      <c r="D42" s="323" t="s">
        <v>1858</v>
      </c>
      <c r="E42" s="325"/>
      <c r="F42" s="325">
        <v>205143.0</v>
      </c>
      <c r="G42" s="313" t="s">
        <v>2355</v>
      </c>
      <c r="H42" s="328" t="s">
        <v>4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412" t="str">
        <f>B9</f>
        <v>기업 #019</v>
      </c>
      <c r="C43" s="323" t="s">
        <v>2351</v>
      </c>
      <c r="D43" s="323" t="s">
        <v>1214</v>
      </c>
      <c r="E43" s="326"/>
      <c r="F43" s="326">
        <v>75000.0</v>
      </c>
      <c r="G43" s="327" t="s">
        <v>1667</v>
      </c>
      <c r="H43" s="328" t="s">
        <v>4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412" t="str">
        <f>B9</f>
        <v>기업 #019</v>
      </c>
      <c r="C44" s="323" t="s">
        <v>2351</v>
      </c>
      <c r="D44" s="323" t="s">
        <v>113</v>
      </c>
      <c r="E44" s="326"/>
      <c r="F44" s="326">
        <v>15000.0</v>
      </c>
      <c r="G44" s="327" t="s">
        <v>1859</v>
      </c>
      <c r="H44" s="328" t="s">
        <v>4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B9</f>
        <v>기업 #019</v>
      </c>
      <c r="C45" s="323" t="s">
        <v>2356</v>
      </c>
      <c r="D45" s="374" t="s">
        <v>992</v>
      </c>
      <c r="E45" s="325"/>
      <c r="F45" s="414">
        <v>300000.0</v>
      </c>
      <c r="G45" s="327" t="s">
        <v>2357</v>
      </c>
      <c r="H45" s="328" t="s">
        <v>4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B9</f>
        <v>기업 #019</v>
      </c>
      <c r="C46" s="323" t="s">
        <v>2358</v>
      </c>
      <c r="D46" s="323" t="s">
        <v>2359</v>
      </c>
      <c r="E46" s="337"/>
      <c r="F46" s="325">
        <v>890670.0</v>
      </c>
      <c r="G46" s="354" t="s">
        <v>2359</v>
      </c>
      <c r="H46" s="328" t="s">
        <v>31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B9</f>
        <v>기업 #019</v>
      </c>
      <c r="C47" s="323" t="s">
        <v>2358</v>
      </c>
      <c r="D47" s="323" t="s">
        <v>2360</v>
      </c>
      <c r="E47" s="337"/>
      <c r="F47" s="325">
        <v>8873840.0</v>
      </c>
      <c r="G47" s="426" t="s">
        <v>2360</v>
      </c>
      <c r="H47" s="328" t="s">
        <v>31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tr">
        <f>B9</f>
        <v>기업 #019</v>
      </c>
      <c r="C48" s="323" t="s">
        <v>2358</v>
      </c>
      <c r="D48" s="323" t="s">
        <v>2361</v>
      </c>
      <c r="E48" s="337"/>
      <c r="F48" s="325">
        <v>2583200.0</v>
      </c>
      <c r="G48" s="426" t="s">
        <v>2361</v>
      </c>
      <c r="H48" s="328" t="s">
        <v>31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tr">
        <f>B9</f>
        <v>기업 #019</v>
      </c>
      <c r="C49" s="323" t="s">
        <v>2358</v>
      </c>
      <c r="D49" s="323" t="s">
        <v>2362</v>
      </c>
      <c r="E49" s="337"/>
      <c r="F49" s="325">
        <v>9212220.0</v>
      </c>
      <c r="G49" s="426" t="s">
        <v>2362</v>
      </c>
      <c r="H49" s="328" t="s">
        <v>31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tr">
        <f>B12</f>
        <v>WISE USD</v>
      </c>
      <c r="C50" s="323" t="s">
        <v>2363</v>
      </c>
      <c r="D50" s="323" t="s">
        <v>1679</v>
      </c>
      <c r="E50" s="371"/>
      <c r="F50" s="403">
        <v>126.94</v>
      </c>
      <c r="G50" s="327" t="s">
        <v>2364</v>
      </c>
      <c r="H50" s="328" t="s">
        <v>33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tr">
        <f>B12</f>
        <v>WISE USD</v>
      </c>
      <c r="C51" s="323" t="s">
        <v>2365</v>
      </c>
      <c r="D51" s="323" t="s">
        <v>1408</v>
      </c>
      <c r="E51" s="371">
        <v>20.0</v>
      </c>
      <c r="F51" s="403"/>
      <c r="G51" s="327" t="s">
        <v>2366</v>
      </c>
      <c r="H51" s="328" t="s">
        <v>1207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B9</f>
        <v>기업 #019</v>
      </c>
      <c r="C52" s="323" t="s">
        <v>2367</v>
      </c>
      <c r="D52" s="323" t="s">
        <v>2317</v>
      </c>
      <c r="E52" s="326"/>
      <c r="F52" s="424">
        <v>1812691.0</v>
      </c>
      <c r="G52" s="327" t="s">
        <v>2368</v>
      </c>
      <c r="H52" s="328" t="s">
        <v>33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B9</f>
        <v>기업 #019</v>
      </c>
      <c r="C53" s="323" t="s">
        <v>2369</v>
      </c>
      <c r="D53" s="323" t="s">
        <v>1981</v>
      </c>
      <c r="E53" s="326"/>
      <c r="F53" s="424">
        <v>1.4E7</v>
      </c>
      <c r="G53" s="327" t="s">
        <v>1035</v>
      </c>
      <c r="H53" s="328" t="s">
        <v>556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B7</f>
        <v>하나 #304</v>
      </c>
      <c r="C54" s="323" t="s">
        <v>2369</v>
      </c>
      <c r="D54" s="323" t="s">
        <v>1981</v>
      </c>
      <c r="E54" s="326">
        <v>1.4E7</v>
      </c>
      <c r="F54" s="424"/>
      <c r="G54" s="327" t="s">
        <v>1035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2369</v>
      </c>
      <c r="D55" s="323" t="s">
        <v>1110</v>
      </c>
      <c r="E55" s="326"/>
      <c r="F55" s="424">
        <v>1.39426E7</v>
      </c>
      <c r="G55" s="327" t="s">
        <v>1035</v>
      </c>
      <c r="H55" s="328" t="s">
        <v>930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B7</f>
        <v>하나 #304</v>
      </c>
      <c r="C56" s="323" t="s">
        <v>2369</v>
      </c>
      <c r="D56" s="323" t="s">
        <v>1115</v>
      </c>
      <c r="E56" s="326"/>
      <c r="F56" s="424">
        <v>56130.0</v>
      </c>
      <c r="G56" s="327" t="s">
        <v>1119</v>
      </c>
      <c r="H56" s="328" t="s">
        <v>33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B12</f>
        <v>WISE USD</v>
      </c>
      <c r="C57" s="323" t="s">
        <v>2369</v>
      </c>
      <c r="D57" s="413" t="s">
        <v>2370</v>
      </c>
      <c r="E57" s="403">
        <v>43.89</v>
      </c>
      <c r="F57" s="424"/>
      <c r="G57" s="327" t="s">
        <v>2366</v>
      </c>
      <c r="H57" s="328" t="s">
        <v>556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B12</f>
        <v>WISE USD</v>
      </c>
      <c r="C58" s="323" t="s">
        <v>2369</v>
      </c>
      <c r="D58" s="413" t="s">
        <v>1981</v>
      </c>
      <c r="E58" s="403">
        <v>9993.89</v>
      </c>
      <c r="F58" s="424"/>
      <c r="G58" s="327" t="s">
        <v>1035</v>
      </c>
      <c r="H58" s="328" t="s">
        <v>930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B12</f>
        <v>WISE USD</v>
      </c>
      <c r="C59" s="323" t="s">
        <v>2371</v>
      </c>
      <c r="D59" s="413" t="s">
        <v>2372</v>
      </c>
      <c r="E59" s="424"/>
      <c r="F59" s="403">
        <v>1542.96</v>
      </c>
      <c r="G59" s="327" t="s">
        <v>2373</v>
      </c>
      <c r="H59" s="328" t="s">
        <v>33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B12</f>
        <v>WISE USD</v>
      </c>
      <c r="C60" s="323" t="s">
        <v>2374</v>
      </c>
      <c r="D60" s="413" t="s">
        <v>2062</v>
      </c>
      <c r="E60" s="424"/>
      <c r="F60" s="403">
        <v>3080.95</v>
      </c>
      <c r="G60" s="327" t="s">
        <v>2375</v>
      </c>
      <c r="H60" s="328" t="s">
        <v>33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B12</f>
        <v>WISE USD</v>
      </c>
      <c r="C61" s="323" t="s">
        <v>2374</v>
      </c>
      <c r="D61" s="413" t="s">
        <v>1072</v>
      </c>
      <c r="E61" s="424"/>
      <c r="F61" s="403">
        <v>10.41</v>
      </c>
      <c r="G61" s="327" t="s">
        <v>1119</v>
      </c>
      <c r="H61" s="328" t="s">
        <v>33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B12</f>
        <v>WISE USD</v>
      </c>
      <c r="C62" s="323" t="s">
        <v>2374</v>
      </c>
      <c r="D62" s="413" t="s">
        <v>2326</v>
      </c>
      <c r="E62" s="424"/>
      <c r="F62" s="403">
        <v>4000.0</v>
      </c>
      <c r="G62" s="327" t="s">
        <v>2376</v>
      </c>
      <c r="H62" s="328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 t="shared" ref="B63:B64" si="10">B12</f>
        <v>WISE USD</v>
      </c>
      <c r="C63" s="323" t="s">
        <v>2374</v>
      </c>
      <c r="D63" s="413" t="s">
        <v>1072</v>
      </c>
      <c r="E63" s="424"/>
      <c r="F63" s="403">
        <v>12.43</v>
      </c>
      <c r="G63" s="327" t="s">
        <v>1119</v>
      </c>
      <c r="H63" s="328" t="s">
        <v>33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 t="shared" si="10"/>
        <v>WISE SGD</v>
      </c>
      <c r="C64" s="323" t="s">
        <v>2374</v>
      </c>
      <c r="D64" s="323" t="s">
        <v>2068</v>
      </c>
      <c r="E64" s="337">
        <v>639.97</v>
      </c>
      <c r="F64" s="325"/>
      <c r="G64" s="327" t="s">
        <v>2377</v>
      </c>
      <c r="H64" s="328" t="s">
        <v>2035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B5</f>
        <v>신한 #672</v>
      </c>
      <c r="C65" s="323" t="s">
        <v>2378</v>
      </c>
      <c r="D65" s="413" t="s">
        <v>1120</v>
      </c>
      <c r="E65" s="424"/>
      <c r="F65" s="424">
        <v>4400.0</v>
      </c>
      <c r="G65" s="327" t="s">
        <v>2379</v>
      </c>
      <c r="H65" s="328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B9</f>
        <v>기업 #019</v>
      </c>
      <c r="C66" s="323" t="s">
        <v>2374</v>
      </c>
      <c r="D66" s="323" t="s">
        <v>2218</v>
      </c>
      <c r="E66" s="326">
        <v>4121.0</v>
      </c>
      <c r="F66" s="424"/>
      <c r="G66" s="327" t="s">
        <v>2218</v>
      </c>
      <c r="H66" s="328" t="s">
        <v>75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B9</f>
        <v>기업 #019</v>
      </c>
      <c r="C67" s="323" t="s">
        <v>2374</v>
      </c>
      <c r="D67" s="374" t="s">
        <v>84</v>
      </c>
      <c r="E67" s="325"/>
      <c r="F67" s="414">
        <v>1424547.0</v>
      </c>
      <c r="G67" s="327" t="s">
        <v>1660</v>
      </c>
      <c r="H67" s="328" t="s">
        <v>1642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B5</f>
        <v>신한 #672</v>
      </c>
      <c r="C68" s="323" t="s">
        <v>2380</v>
      </c>
      <c r="D68" s="323" t="s">
        <v>1202</v>
      </c>
      <c r="E68" s="326"/>
      <c r="F68" s="326">
        <v>110000.0</v>
      </c>
      <c r="G68" s="327" t="s">
        <v>1202</v>
      </c>
      <c r="H68" s="286" t="s">
        <v>33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B9</f>
        <v>기업 #019</v>
      </c>
      <c r="C69" s="323" t="s">
        <v>2381</v>
      </c>
      <c r="D69" s="323" t="s">
        <v>2382</v>
      </c>
      <c r="E69" s="326">
        <v>2.0E8</v>
      </c>
      <c r="F69" s="424"/>
      <c r="G69" s="327" t="s">
        <v>2291</v>
      </c>
      <c r="H69" s="328" t="s">
        <v>945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B9</f>
        <v>기업 #019</v>
      </c>
      <c r="C70" s="323" t="s">
        <v>2381</v>
      </c>
      <c r="D70" s="323" t="s">
        <v>41</v>
      </c>
      <c r="E70" s="326"/>
      <c r="F70" s="424">
        <v>9.7169621E7</v>
      </c>
      <c r="G70" s="327" t="s">
        <v>1271</v>
      </c>
      <c r="H70" s="328" t="s">
        <v>41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B9</f>
        <v>기업 #019</v>
      </c>
      <c r="C71" s="323" t="s">
        <v>2381</v>
      </c>
      <c r="D71" s="323" t="s">
        <v>1981</v>
      </c>
      <c r="E71" s="326"/>
      <c r="F71" s="326">
        <v>3.0E7</v>
      </c>
      <c r="G71" s="327" t="s">
        <v>1035</v>
      </c>
      <c r="H71" s="328" t="s">
        <v>556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B9</f>
        <v>기업 #019</v>
      </c>
      <c r="C72" s="323" t="s">
        <v>2383</v>
      </c>
      <c r="D72" s="323" t="s">
        <v>1669</v>
      </c>
      <c r="E72" s="325"/>
      <c r="F72" s="325">
        <v>2013496.0</v>
      </c>
      <c r="G72" s="327" t="s">
        <v>1634</v>
      </c>
      <c r="H72" s="328" t="s">
        <v>33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B7</f>
        <v>하나 #304</v>
      </c>
      <c r="C73" s="323" t="s">
        <v>2381</v>
      </c>
      <c r="D73" s="323" t="s">
        <v>1981</v>
      </c>
      <c r="E73" s="326">
        <v>3.0E7</v>
      </c>
      <c r="F73" s="326"/>
      <c r="G73" s="327" t="s">
        <v>1035</v>
      </c>
      <c r="H73" s="328" t="s">
        <v>556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B7</f>
        <v>하나 #304</v>
      </c>
      <c r="C74" s="323" t="s">
        <v>2381</v>
      </c>
      <c r="D74" s="323" t="s">
        <v>1110</v>
      </c>
      <c r="E74" s="326"/>
      <c r="F74" s="424">
        <v>2.75248E7</v>
      </c>
      <c r="G74" s="327" t="s">
        <v>1035</v>
      </c>
      <c r="H74" s="328" t="s">
        <v>930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B7</f>
        <v>하나 #304</v>
      </c>
      <c r="C75" s="323" t="s">
        <v>2381</v>
      </c>
      <c r="D75" s="323" t="s">
        <v>1115</v>
      </c>
      <c r="E75" s="326"/>
      <c r="F75" s="424">
        <v>55766.0</v>
      </c>
      <c r="G75" s="327" t="s">
        <v>1119</v>
      </c>
      <c r="H75" s="328" t="s">
        <v>33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B7</f>
        <v>하나 #304</v>
      </c>
      <c r="C76" s="323" t="s">
        <v>2383</v>
      </c>
      <c r="D76" s="323" t="s">
        <v>721</v>
      </c>
      <c r="E76" s="325"/>
      <c r="F76" s="325">
        <v>2111077.0</v>
      </c>
      <c r="G76" s="327" t="s">
        <v>1634</v>
      </c>
      <c r="H76" s="328" t="s">
        <v>33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B7</f>
        <v>하나 #304</v>
      </c>
      <c r="C77" s="323" t="s">
        <v>2383</v>
      </c>
      <c r="D77" s="323" t="s">
        <v>721</v>
      </c>
      <c r="E77" s="325"/>
      <c r="F77" s="325">
        <v>820500.0</v>
      </c>
      <c r="G77" s="327" t="s">
        <v>1634</v>
      </c>
      <c r="H77" s="328" t="s">
        <v>33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B7</f>
        <v>하나 #304</v>
      </c>
      <c r="C78" s="323" t="s">
        <v>2383</v>
      </c>
      <c r="D78" s="323" t="s">
        <v>1981</v>
      </c>
      <c r="E78" s="326">
        <v>1.0E7</v>
      </c>
      <c r="F78" s="326"/>
      <c r="G78" s="327" t="s">
        <v>1035</v>
      </c>
      <c r="H78" s="328" t="s">
        <v>556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B9</f>
        <v>기업 #019</v>
      </c>
      <c r="C79" s="323" t="s">
        <v>2383</v>
      </c>
      <c r="D79" s="323" t="s">
        <v>1981</v>
      </c>
      <c r="E79" s="326"/>
      <c r="F79" s="326">
        <v>1.0E7</v>
      </c>
      <c r="G79" s="327" t="s">
        <v>1035</v>
      </c>
      <c r="H79" s="328" t="s">
        <v>556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B9</f>
        <v>기업 #019</v>
      </c>
      <c r="C80" s="323" t="s">
        <v>2383</v>
      </c>
      <c r="D80" s="323" t="s">
        <v>1981</v>
      </c>
      <c r="E80" s="326"/>
      <c r="F80" s="326">
        <v>5000000.0</v>
      </c>
      <c r="G80" s="327" t="s">
        <v>1035</v>
      </c>
      <c r="H80" s="328" t="s">
        <v>556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B5</f>
        <v>신한 #672</v>
      </c>
      <c r="C81" s="323" t="s">
        <v>2383</v>
      </c>
      <c r="D81" s="323" t="s">
        <v>1981</v>
      </c>
      <c r="E81" s="326">
        <v>5000000.0</v>
      </c>
      <c r="F81" s="326"/>
      <c r="G81" s="327" t="s">
        <v>1035</v>
      </c>
      <c r="H81" s="328" t="s">
        <v>556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B5</f>
        <v>신한 #672</v>
      </c>
      <c r="C82" s="323" t="s">
        <v>2383</v>
      </c>
      <c r="D82" s="323" t="s">
        <v>1633</v>
      </c>
      <c r="E82" s="325"/>
      <c r="F82" s="325">
        <v>2689050.0</v>
      </c>
      <c r="G82" s="327" t="s">
        <v>1634</v>
      </c>
      <c r="H82" s="328" t="s">
        <v>33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B5</f>
        <v>신한 #672</v>
      </c>
      <c r="C83" s="323" t="s">
        <v>2383</v>
      </c>
      <c r="D83" s="323" t="s">
        <v>1950</v>
      </c>
      <c r="E83" s="337"/>
      <c r="F83" s="325">
        <v>55990.0</v>
      </c>
      <c r="G83" s="327" t="s">
        <v>1951</v>
      </c>
      <c r="H83" s="328" t="s">
        <v>4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323" t="s">
        <v>2383</v>
      </c>
      <c r="D84" s="323" t="s">
        <v>497</v>
      </c>
      <c r="E84" s="337"/>
      <c r="F84" s="325">
        <v>330000.0</v>
      </c>
      <c r="G84" s="327" t="s">
        <v>1952</v>
      </c>
      <c r="H84" s="328" t="s">
        <v>4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323" t="s">
        <v>2383</v>
      </c>
      <c r="D85" s="323" t="s">
        <v>1953</v>
      </c>
      <c r="E85" s="337"/>
      <c r="F85" s="325">
        <v>37430.0</v>
      </c>
      <c r="G85" s="327" t="s">
        <v>1038</v>
      </c>
      <c r="H85" s="328" t="s">
        <v>4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2383</v>
      </c>
      <c r="D86" s="323" t="s">
        <v>1953</v>
      </c>
      <c r="E86" s="337"/>
      <c r="F86" s="325">
        <v>37430.0</v>
      </c>
      <c r="G86" s="327" t="s">
        <v>1038</v>
      </c>
      <c r="H86" s="328" t="s">
        <v>4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2383</v>
      </c>
      <c r="D87" s="323" t="s">
        <v>1953</v>
      </c>
      <c r="E87" s="337"/>
      <c r="F87" s="325">
        <v>50250.0</v>
      </c>
      <c r="G87" s="327" t="s">
        <v>1040</v>
      </c>
      <c r="H87" s="328" t="s">
        <v>4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B5</f>
        <v>신한 #672</v>
      </c>
      <c r="C88" s="323" t="s">
        <v>2383</v>
      </c>
      <c r="D88" s="323" t="s">
        <v>1953</v>
      </c>
      <c r="E88" s="337"/>
      <c r="F88" s="325">
        <v>20660.0</v>
      </c>
      <c r="G88" s="327" t="s">
        <v>1039</v>
      </c>
      <c r="H88" s="328" t="s">
        <v>4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B5</f>
        <v>신한 #672</v>
      </c>
      <c r="C89" s="323" t="s">
        <v>2383</v>
      </c>
      <c r="D89" s="323" t="s">
        <v>1953</v>
      </c>
      <c r="E89" s="337"/>
      <c r="F89" s="325">
        <v>20660.0</v>
      </c>
      <c r="G89" s="327" t="s">
        <v>1039</v>
      </c>
      <c r="H89" s="328" t="s">
        <v>4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B5</f>
        <v>신한 #672</v>
      </c>
      <c r="C90" s="323" t="s">
        <v>2383</v>
      </c>
      <c r="D90" s="323" t="s">
        <v>1954</v>
      </c>
      <c r="E90" s="337"/>
      <c r="F90" s="325">
        <v>98000.0</v>
      </c>
      <c r="G90" s="327" t="s">
        <v>1047</v>
      </c>
      <c r="H90" s="328" t="s">
        <v>4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B13</f>
        <v>WISE SGD</v>
      </c>
      <c r="C91" s="323" t="s">
        <v>2380</v>
      </c>
      <c r="D91" s="323" t="s">
        <v>2325</v>
      </c>
      <c r="E91" s="326"/>
      <c r="F91" s="371">
        <v>88.0</v>
      </c>
      <c r="G91" s="327" t="s">
        <v>1719</v>
      </c>
      <c r="H91" s="328" t="s">
        <v>33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B12</f>
        <v>WISE USD</v>
      </c>
      <c r="C92" s="323" t="s">
        <v>2381</v>
      </c>
      <c r="D92" s="323" t="s">
        <v>1981</v>
      </c>
      <c r="E92" s="371">
        <v>19993.89</v>
      </c>
      <c r="F92" s="424"/>
      <c r="G92" s="327" t="s">
        <v>1035</v>
      </c>
      <c r="H92" s="328" t="s">
        <v>930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B12</f>
        <v>WISE USD</v>
      </c>
      <c r="C93" s="323" t="s">
        <v>2381</v>
      </c>
      <c r="D93" s="323" t="s">
        <v>740</v>
      </c>
      <c r="E93" s="337"/>
      <c r="F93" s="404">
        <v>9386.43</v>
      </c>
      <c r="G93" s="327" t="s">
        <v>2384</v>
      </c>
      <c r="H93" s="328" t="s">
        <v>41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B12</f>
        <v>WISE USD</v>
      </c>
      <c r="C94" s="323" t="s">
        <v>2381</v>
      </c>
      <c r="D94" s="323" t="s">
        <v>1072</v>
      </c>
      <c r="E94" s="325"/>
      <c r="F94" s="404">
        <v>1.13</v>
      </c>
      <c r="G94" s="327" t="s">
        <v>1565</v>
      </c>
      <c r="H94" s="328" t="s">
        <v>33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B7</f>
        <v>하나 #304</v>
      </c>
      <c r="C95" s="323" t="s">
        <v>2383</v>
      </c>
      <c r="D95" s="323" t="s">
        <v>721</v>
      </c>
      <c r="E95" s="325"/>
      <c r="F95" s="325">
        <v>6235431.0</v>
      </c>
      <c r="G95" s="327" t="s">
        <v>1634</v>
      </c>
      <c r="H95" s="328" t="s">
        <v>33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B9</f>
        <v>기업 #019</v>
      </c>
      <c r="C96" s="323" t="s">
        <v>2385</v>
      </c>
      <c r="D96" s="323" t="s">
        <v>1981</v>
      </c>
      <c r="E96" s="326"/>
      <c r="F96" s="326">
        <v>1.7E7</v>
      </c>
      <c r="G96" s="327" t="s">
        <v>1035</v>
      </c>
      <c r="H96" s="328" t="s">
        <v>556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B7</f>
        <v>하나 #304</v>
      </c>
      <c r="C97" s="323" t="s">
        <v>2385</v>
      </c>
      <c r="D97" s="323" t="s">
        <v>1981</v>
      </c>
      <c r="E97" s="326">
        <v>1.7E7</v>
      </c>
      <c r="F97" s="326"/>
      <c r="G97" s="327" t="s">
        <v>1035</v>
      </c>
      <c r="H97" s="328" t="s">
        <v>556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B7</f>
        <v>하나 #304</v>
      </c>
      <c r="C98" s="323" t="s">
        <v>2385</v>
      </c>
      <c r="D98" s="323" t="s">
        <v>1110</v>
      </c>
      <c r="E98" s="326"/>
      <c r="F98" s="424">
        <v>1.644768E7</v>
      </c>
      <c r="G98" s="327" t="s">
        <v>1035</v>
      </c>
      <c r="H98" s="328" t="s">
        <v>930</v>
      </c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B7</f>
        <v>하나 #304</v>
      </c>
      <c r="C99" s="323" t="s">
        <v>2385</v>
      </c>
      <c r="D99" s="323" t="s">
        <v>1115</v>
      </c>
      <c r="E99" s="326"/>
      <c r="F99" s="424">
        <v>55654.0</v>
      </c>
      <c r="G99" s="327" t="s">
        <v>1119</v>
      </c>
      <c r="H99" s="328" t="s">
        <v>33</v>
      </c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B12</f>
        <v>WISE USD</v>
      </c>
      <c r="C100" s="323" t="s">
        <v>2385</v>
      </c>
      <c r="D100" s="323" t="s">
        <v>1981</v>
      </c>
      <c r="E100" s="371">
        <v>11993.89</v>
      </c>
      <c r="F100" s="424"/>
      <c r="G100" s="327" t="s">
        <v>1035</v>
      </c>
      <c r="H100" s="328" t="s">
        <v>930</v>
      </c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B5</f>
        <v>신한 #672</v>
      </c>
      <c r="C101" s="323" t="s">
        <v>2386</v>
      </c>
      <c r="D101" s="429" t="s">
        <v>920</v>
      </c>
      <c r="E101" s="430"/>
      <c r="F101" s="424">
        <v>77000.0</v>
      </c>
      <c r="G101" s="415" t="s">
        <v>1006</v>
      </c>
      <c r="H101" s="412" t="s">
        <v>33</v>
      </c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B12</f>
        <v>WISE USD</v>
      </c>
      <c r="C102" s="323" t="s">
        <v>2387</v>
      </c>
      <c r="D102" s="391" t="s">
        <v>2299</v>
      </c>
      <c r="F102" s="443">
        <v>220.0</v>
      </c>
      <c r="G102" s="327" t="s">
        <v>1719</v>
      </c>
      <c r="H102" s="328" t="s">
        <v>33</v>
      </c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B12</f>
        <v>WISE USD</v>
      </c>
      <c r="C103" s="323" t="s">
        <v>2386</v>
      </c>
      <c r="D103" s="323" t="s">
        <v>2340</v>
      </c>
      <c r="E103" s="337"/>
      <c r="F103" s="337">
        <v>10000.0</v>
      </c>
      <c r="G103" s="327" t="s">
        <v>2239</v>
      </c>
      <c r="H103" s="328" t="s">
        <v>930</v>
      </c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B12</f>
        <v>WISE USD</v>
      </c>
      <c r="C104" s="323" t="s">
        <v>2386</v>
      </c>
      <c r="D104" s="323" t="s">
        <v>1072</v>
      </c>
      <c r="E104" s="337"/>
      <c r="F104" s="404">
        <v>1.13</v>
      </c>
      <c r="G104" s="327" t="s">
        <v>1565</v>
      </c>
      <c r="H104" s="328" t="s">
        <v>33</v>
      </c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B12</f>
        <v>WISE USD</v>
      </c>
      <c r="C105" s="323" t="s">
        <v>2386</v>
      </c>
      <c r="D105" s="323" t="s">
        <v>2189</v>
      </c>
      <c r="E105" s="337"/>
      <c r="F105" s="337">
        <v>758.34</v>
      </c>
      <c r="G105" s="415" t="s">
        <v>2341</v>
      </c>
      <c r="H105" s="328" t="s">
        <v>930</v>
      </c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>B12</f>
        <v>WISE USD</v>
      </c>
      <c r="C106" s="323" t="s">
        <v>2386</v>
      </c>
      <c r="D106" s="323" t="s">
        <v>1072</v>
      </c>
      <c r="E106" s="337"/>
      <c r="F106" s="404">
        <v>31.42</v>
      </c>
      <c r="G106" s="327" t="s">
        <v>1565</v>
      </c>
      <c r="H106" s="328" t="s">
        <v>33</v>
      </c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>B12</f>
        <v>WISE USD</v>
      </c>
      <c r="C107" s="323" t="s">
        <v>2386</v>
      </c>
      <c r="D107" s="444" t="s">
        <v>2187</v>
      </c>
      <c r="E107" s="337"/>
      <c r="F107" s="337">
        <v>854.14</v>
      </c>
      <c r="G107" s="415" t="s">
        <v>2342</v>
      </c>
      <c r="H107" s="328" t="s">
        <v>930</v>
      </c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>B12</f>
        <v>WISE USD</v>
      </c>
      <c r="C108" s="323" t="s">
        <v>2386</v>
      </c>
      <c r="D108" s="323" t="s">
        <v>1072</v>
      </c>
      <c r="E108" s="337"/>
      <c r="F108" s="404">
        <v>12.43</v>
      </c>
      <c r="G108" s="327" t="s">
        <v>1565</v>
      </c>
      <c r="H108" s="328" t="s">
        <v>33</v>
      </c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C109" s="323"/>
      <c r="D109" s="323"/>
      <c r="E109" s="337"/>
      <c r="F109" s="325"/>
      <c r="G109" s="327"/>
      <c r="H109" s="328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C110" s="323"/>
      <c r="D110" s="323"/>
      <c r="E110" s="337"/>
      <c r="F110" s="325"/>
      <c r="G110" s="327"/>
      <c r="H110" s="328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C111" s="323"/>
      <c r="D111" s="323"/>
      <c r="E111" s="337"/>
      <c r="F111" s="325"/>
      <c r="G111" s="327"/>
      <c r="H111" s="328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C112" s="323"/>
      <c r="D112" s="323"/>
      <c r="E112" s="337"/>
      <c r="F112" s="325"/>
      <c r="G112" s="327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C113" s="323"/>
      <c r="D113" s="323"/>
      <c r="E113" s="337"/>
      <c r="F113" s="325"/>
      <c r="G113" s="327"/>
      <c r="H113" s="328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>
      <c r="C114" s="323"/>
      <c r="D114" s="323"/>
      <c r="E114" s="337"/>
      <c r="F114" s="325"/>
      <c r="G114" s="327"/>
      <c r="H114" s="328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341"/>
      <c r="C115" s="323"/>
      <c r="D115" s="323"/>
      <c r="E115" s="337"/>
      <c r="F115" s="325"/>
      <c r="G115" s="327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C116" s="323"/>
      <c r="D116" s="323"/>
      <c r="E116" s="337"/>
      <c r="F116" s="325"/>
      <c r="G116" s="327"/>
      <c r="H116" s="328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C117" s="323"/>
      <c r="D117" s="323"/>
      <c r="E117" s="325"/>
      <c r="F117" s="325"/>
      <c r="G117" s="313"/>
      <c r="H117" s="328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C118" s="323"/>
      <c r="D118" s="323"/>
      <c r="E118" s="337"/>
      <c r="F118" s="325"/>
      <c r="G118" s="327"/>
      <c r="H118" s="328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C119" s="323"/>
      <c r="D119" s="323"/>
      <c r="E119" s="337"/>
      <c r="F119" s="325"/>
      <c r="G119" s="313"/>
      <c r="H119" s="328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C120" s="323"/>
      <c r="D120" s="323"/>
      <c r="E120" s="337"/>
      <c r="F120" s="325"/>
      <c r="G120" s="313"/>
      <c r="H120" s="328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C121" s="323"/>
      <c r="D121" s="323"/>
      <c r="E121" s="337"/>
      <c r="F121" s="325"/>
      <c r="G121" s="327"/>
      <c r="H121" s="328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F124" s="432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</sheetData>
  <autoFilter ref="$B$24:$H$108">
    <sortState ref="B24:H108">
      <sortCondition ref="B24:B108"/>
    </sortState>
  </autoFilter>
  <customSheetViews>
    <customSheetView guid="{CD2BF927-9D79-47FC-BBA8-927062D6B3F5}" filter="1" showAutoFilter="1">
      <autoFilter ref="$B$24:$H$108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21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2388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'25.05월'!G5</f>
        <v>2189291</v>
      </c>
      <c r="E5" s="355">
        <f t="shared" ref="E5:E17" si="1">sumif($B$25:$B$113,B5,$E$25:$E$113)</f>
        <v>3000385</v>
      </c>
      <c r="F5" s="356">
        <f t="shared" ref="F5:F17" si="2">sumif($B$25:$B$113,B5,$F$25:$F$113)</f>
        <v>4317243</v>
      </c>
      <c r="G5" s="229">
        <f t="shared" ref="G5:G17" si="3">D5+E5-F5</f>
        <v>872433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'25.05월'!G6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'25.05월'!G7</f>
        <v>4261235</v>
      </c>
      <c r="E7" s="359">
        <f t="shared" si="1"/>
        <v>45000403</v>
      </c>
      <c r="F7" s="360">
        <f t="shared" si="2"/>
        <v>46101838</v>
      </c>
      <c r="G7" s="239">
        <f t="shared" si="3"/>
        <v>3159800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'25.05월'!G8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'25.05월'!G9</f>
        <v>60578333</v>
      </c>
      <c r="E9" s="359">
        <f t="shared" si="1"/>
        <v>510835648</v>
      </c>
      <c r="F9" s="360">
        <f t="shared" si="2"/>
        <v>209302196</v>
      </c>
      <c r="G9" s="239">
        <f t="shared" si="3"/>
        <v>362111785</v>
      </c>
      <c r="H9" s="439">
        <f>G5+G7+G9</f>
        <v>366144018</v>
      </c>
      <c r="I9" s="440">
        <f>(G5+G7+G9)/J3</f>
        <v>248616.6922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'25.05월'!G10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'25.05월'!G11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'25.05월'!G12</f>
        <v>13851.38</v>
      </c>
      <c r="E12" s="361">
        <f t="shared" si="1"/>
        <v>24375.13</v>
      </c>
      <c r="F12" s="362">
        <f t="shared" si="2"/>
        <v>35100.75</v>
      </c>
      <c r="G12" s="329">
        <f t="shared" si="3"/>
        <v>3125.76</v>
      </c>
      <c r="H12" s="422">
        <f t="shared" ref="H12:H13" si="4">G12*J3</f>
        <v>4603384.896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'25.05월'!G13</f>
        <v>551.97</v>
      </c>
      <c r="E13" s="363">
        <f t="shared" si="1"/>
        <v>942.5</v>
      </c>
      <c r="F13" s="364">
        <f t="shared" si="2"/>
        <v>639.97</v>
      </c>
      <c r="G13" s="320">
        <f t="shared" si="3"/>
        <v>854.5</v>
      </c>
      <c r="H13" s="422">
        <f t="shared" si="4"/>
        <v>977449.7325</v>
      </c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'25.05월'!G14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'25.05월'!G15</f>
        <v>759.8</v>
      </c>
      <c r="E15" s="361">
        <f t="shared" si="1"/>
        <v>400</v>
      </c>
      <c r="F15" s="358">
        <f t="shared" si="2"/>
        <v>1138.47</v>
      </c>
      <c r="G15" s="235">
        <f t="shared" si="3"/>
        <v>21.33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'25.05월'!G16</f>
        <v>1050.13</v>
      </c>
      <c r="E16" s="366">
        <f t="shared" si="1"/>
        <v>17.84</v>
      </c>
      <c r="F16" s="367">
        <f t="shared" si="2"/>
        <v>885.15</v>
      </c>
      <c r="G16" s="310">
        <f t="shared" si="3"/>
        <v>182.82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'25.05월'!G17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5">D5+D7+D14+D9+D10</f>
        <v>67028864</v>
      </c>
      <c r="E18" s="262">
        <f t="shared" si="5"/>
        <v>558836436</v>
      </c>
      <c r="F18" s="263">
        <f t="shared" si="5"/>
        <v>259721277</v>
      </c>
      <c r="G18" s="345">
        <f t="shared" si="5"/>
        <v>366144023</v>
      </c>
      <c r="H18" s="353">
        <f>G18</f>
        <v>366144023</v>
      </c>
      <c r="I18" s="353">
        <f>D18</f>
        <v>67028864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6">D6+D8+D12+D15+D11+D17</f>
        <v>14729.026</v>
      </c>
      <c r="E19" s="269">
        <f t="shared" si="6"/>
        <v>24775.13</v>
      </c>
      <c r="F19" s="270">
        <f t="shared" si="6"/>
        <v>36239.22</v>
      </c>
      <c r="G19" s="346">
        <f t="shared" si="6"/>
        <v>3264.935998</v>
      </c>
      <c r="H19" s="265">
        <f>rounddown(G19*$J$3,0)</f>
        <v>4808352</v>
      </c>
      <c r="I19" s="265">
        <f>rounddown(D19*$J$3,0)</f>
        <v>21691804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7">D13+D16</f>
        <v>1602.1</v>
      </c>
      <c r="E20" s="274">
        <f t="shared" si="7"/>
        <v>960.34</v>
      </c>
      <c r="F20" s="275">
        <f t="shared" si="7"/>
        <v>1525.12</v>
      </c>
      <c r="G20" s="347">
        <f t="shared" si="7"/>
        <v>1037.32</v>
      </c>
      <c r="H20" s="277">
        <f>rounddown(G20*$J$4,0)</f>
        <v>1186574</v>
      </c>
      <c r="I20" s="277">
        <f>rounddown(D20*$J$4,0)</f>
        <v>1832618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8">SUM(H18:H20)</f>
        <v>372138949</v>
      </c>
      <c r="I21" s="279">
        <f t="shared" si="8"/>
        <v>90553286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281585663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191200.4366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>B12</f>
        <v>WISE USD</v>
      </c>
      <c r="C25" s="323" t="s">
        <v>2389</v>
      </c>
      <c r="D25" s="323" t="s">
        <v>1803</v>
      </c>
      <c r="E25" s="337"/>
      <c r="F25" s="337">
        <v>25.47</v>
      </c>
      <c r="G25" s="327" t="s">
        <v>1068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 t="shared" ref="B26:B27" si="9">B12</f>
        <v>WISE USD</v>
      </c>
      <c r="C26" s="323" t="s">
        <v>2390</v>
      </c>
      <c r="D26" s="323" t="s">
        <v>2347</v>
      </c>
      <c r="E26" s="337"/>
      <c r="F26" s="337">
        <v>348.74</v>
      </c>
      <c r="G26" s="327" t="s">
        <v>1068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 t="shared" si="9"/>
        <v>WISE SGD</v>
      </c>
      <c r="C27" s="323" t="s">
        <v>2390</v>
      </c>
      <c r="D27" s="323" t="s">
        <v>2347</v>
      </c>
      <c r="E27" s="337"/>
      <c r="F27" s="337">
        <v>551.97</v>
      </c>
      <c r="G27" s="327" t="s">
        <v>1068</v>
      </c>
      <c r="H27" s="328" t="s">
        <v>33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B9</f>
        <v>기업 #019</v>
      </c>
      <c r="C28" s="323" t="s">
        <v>2391</v>
      </c>
      <c r="D28" s="323" t="s">
        <v>1829</v>
      </c>
      <c r="E28" s="337"/>
      <c r="F28" s="337">
        <v>825000.0</v>
      </c>
      <c r="G28" s="327" t="s">
        <v>1830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B9</f>
        <v>기업 #019</v>
      </c>
      <c r="C29" s="323" t="s">
        <v>2391</v>
      </c>
      <c r="D29" s="323" t="s">
        <v>1552</v>
      </c>
      <c r="E29" s="337"/>
      <c r="F29" s="337">
        <v>275880.0</v>
      </c>
      <c r="G29" s="327" t="s">
        <v>1828</v>
      </c>
      <c r="H29" s="328" t="s">
        <v>33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B9</f>
        <v>기업 #019</v>
      </c>
      <c r="C30" s="323" t="s">
        <v>2391</v>
      </c>
      <c r="D30" s="323" t="s">
        <v>789</v>
      </c>
      <c r="E30" s="337"/>
      <c r="F30" s="337">
        <v>6103570.0</v>
      </c>
      <c r="G30" s="327" t="s">
        <v>1293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B9</f>
        <v>기업 #019</v>
      </c>
      <c r="C31" s="323" t="s">
        <v>2391</v>
      </c>
      <c r="D31" s="323" t="s">
        <v>115</v>
      </c>
      <c r="E31" s="337"/>
      <c r="F31" s="337">
        <v>16450.0</v>
      </c>
      <c r="G31" s="327" t="s">
        <v>1859</v>
      </c>
      <c r="H31" s="328" t="s">
        <v>4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B9</f>
        <v>기업 #019</v>
      </c>
      <c r="C32" s="323" t="s">
        <v>2391</v>
      </c>
      <c r="D32" s="323" t="s">
        <v>119</v>
      </c>
      <c r="E32" s="337"/>
      <c r="F32" s="337">
        <v>28482.0</v>
      </c>
      <c r="G32" s="327" t="s">
        <v>2392</v>
      </c>
      <c r="H32" s="328" t="s">
        <v>4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B9</f>
        <v>기업 #019</v>
      </c>
      <c r="C33" s="323" t="s">
        <v>2391</v>
      </c>
      <c r="D33" s="323" t="s">
        <v>2200</v>
      </c>
      <c r="E33" s="337"/>
      <c r="F33" s="337">
        <v>29400.0</v>
      </c>
      <c r="G33" s="327" t="s">
        <v>2392</v>
      </c>
      <c r="H33" s="328" t="s">
        <v>4</v>
      </c>
      <c r="I33" s="107"/>
      <c r="J33" s="141"/>
      <c r="K33" s="138"/>
      <c r="L33" s="83"/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B9</f>
        <v>기업 #019</v>
      </c>
      <c r="C34" s="323" t="s">
        <v>2391</v>
      </c>
      <c r="D34" s="323" t="s">
        <v>113</v>
      </c>
      <c r="E34" s="337"/>
      <c r="F34" s="337">
        <v>15000.0</v>
      </c>
      <c r="G34" s="327" t="s">
        <v>2392</v>
      </c>
      <c r="H34" s="328" t="s">
        <v>4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B9</f>
        <v>기업 #019</v>
      </c>
      <c r="C35" s="323" t="s">
        <v>2391</v>
      </c>
      <c r="D35" s="323" t="s">
        <v>1858</v>
      </c>
      <c r="E35" s="325"/>
      <c r="F35" s="325">
        <v>29724.0</v>
      </c>
      <c r="G35" s="327" t="s">
        <v>2392</v>
      </c>
      <c r="H35" s="328" t="s">
        <v>4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B12</f>
        <v>WISE USD</v>
      </c>
      <c r="C36" s="323" t="s">
        <v>2391</v>
      </c>
      <c r="D36" s="413" t="s">
        <v>2085</v>
      </c>
      <c r="E36" s="337">
        <v>287.35</v>
      </c>
      <c r="F36" s="325"/>
      <c r="G36" s="415" t="s">
        <v>2393</v>
      </c>
      <c r="H36" s="412" t="s">
        <v>2035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B12</f>
        <v>WISE USD</v>
      </c>
      <c r="C37" s="323" t="s">
        <v>2394</v>
      </c>
      <c r="D37" s="323" t="s">
        <v>2261</v>
      </c>
      <c r="E37" s="337"/>
      <c r="F37" s="337">
        <v>2000.0</v>
      </c>
      <c r="G37" s="327" t="s">
        <v>2262</v>
      </c>
      <c r="H37" s="328" t="s">
        <v>39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tr">
        <f>B12</f>
        <v>WISE USD</v>
      </c>
      <c r="C38" s="323" t="s">
        <v>2394</v>
      </c>
      <c r="D38" s="323" t="s">
        <v>1072</v>
      </c>
      <c r="E38" s="337"/>
      <c r="F38" s="337">
        <v>1.13</v>
      </c>
      <c r="G38" s="327" t="s">
        <v>1073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tr">
        <f>B12</f>
        <v>WISE USD</v>
      </c>
      <c r="C39" s="323" t="s">
        <v>2394</v>
      </c>
      <c r="D39" s="323" t="s">
        <v>2048</v>
      </c>
      <c r="E39" s="337"/>
      <c r="F39" s="337">
        <v>2500.0</v>
      </c>
      <c r="G39" s="327" t="s">
        <v>2049</v>
      </c>
      <c r="H39" s="328" t="s">
        <v>39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B12</f>
        <v>WISE USD</v>
      </c>
      <c r="C40" s="323" t="s">
        <v>2394</v>
      </c>
      <c r="D40" s="323" t="s">
        <v>1072</v>
      </c>
      <c r="E40" s="337"/>
      <c r="F40" s="337">
        <v>14.41</v>
      </c>
      <c r="G40" s="327" t="s">
        <v>1073</v>
      </c>
      <c r="H40" s="328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tr">
        <f>B12</f>
        <v>WISE USD</v>
      </c>
      <c r="C41" s="323" t="s">
        <v>2394</v>
      </c>
      <c r="D41" s="323" t="s">
        <v>740</v>
      </c>
      <c r="E41" s="337"/>
      <c r="F41" s="404">
        <v>9386.43</v>
      </c>
      <c r="G41" s="327" t="s">
        <v>2384</v>
      </c>
      <c r="H41" s="328" t="s">
        <v>41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tr">
        <f>B12</f>
        <v>WISE USD</v>
      </c>
      <c r="C42" s="323" t="s">
        <v>2394</v>
      </c>
      <c r="D42" s="323" t="s">
        <v>1072</v>
      </c>
      <c r="E42" s="325"/>
      <c r="F42" s="404">
        <v>1.13</v>
      </c>
      <c r="G42" s="327" t="s">
        <v>1565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tr">
        <f>B12</f>
        <v>WISE USD</v>
      </c>
      <c r="C43" s="323" t="s">
        <v>2394</v>
      </c>
      <c r="D43" s="374" t="s">
        <v>1110</v>
      </c>
      <c r="E43" s="337">
        <v>1093.89</v>
      </c>
      <c r="F43" s="414"/>
      <c r="G43" s="327" t="s">
        <v>2395</v>
      </c>
      <c r="H43" s="328" t="s">
        <v>556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tr">
        <f>B15</f>
        <v>OCBC USD</v>
      </c>
      <c r="C44" s="323" t="s">
        <v>2394</v>
      </c>
      <c r="D44" s="374" t="s">
        <v>1110</v>
      </c>
      <c r="E44" s="337"/>
      <c r="F44" s="404">
        <v>1100.0</v>
      </c>
      <c r="G44" s="327" t="s">
        <v>2395</v>
      </c>
      <c r="H44" s="328" t="s">
        <v>556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B15</f>
        <v>OCBC USD</v>
      </c>
      <c r="C45" s="323" t="s">
        <v>2390</v>
      </c>
      <c r="D45" s="374" t="s">
        <v>1110</v>
      </c>
      <c r="E45" s="337">
        <v>400.0</v>
      </c>
      <c r="F45" s="404"/>
      <c r="G45" s="327"/>
      <c r="H45" s="328"/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B15</f>
        <v>OCBC USD</v>
      </c>
      <c r="C46" s="323" t="s">
        <v>2394</v>
      </c>
      <c r="D46" s="374" t="s">
        <v>1110</v>
      </c>
      <c r="E46" s="337"/>
      <c r="F46" s="404">
        <v>23.47</v>
      </c>
      <c r="G46" s="327" t="s">
        <v>1565</v>
      </c>
      <c r="H46" s="328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 t="shared" ref="B47:B48" si="10">B15</f>
        <v>OCBC USD</v>
      </c>
      <c r="C47" s="323" t="s">
        <v>2394</v>
      </c>
      <c r="D47" s="374" t="s">
        <v>1110</v>
      </c>
      <c r="E47" s="337"/>
      <c r="F47" s="404">
        <v>15.0</v>
      </c>
      <c r="G47" s="327" t="s">
        <v>2395</v>
      </c>
      <c r="H47" s="328" t="s">
        <v>556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 t="shared" si="10"/>
        <v>OCBC SGD</v>
      </c>
      <c r="C48" s="323" t="s">
        <v>2394</v>
      </c>
      <c r="D48" s="374" t="s">
        <v>1110</v>
      </c>
      <c r="E48" s="337"/>
      <c r="F48" s="404">
        <v>518.2</v>
      </c>
      <c r="G48" s="327" t="s">
        <v>2395</v>
      </c>
      <c r="H48" s="328" t="s">
        <v>556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B16</f>
        <v>OCBC SGD</v>
      </c>
      <c r="C49" s="323" t="s">
        <v>2394</v>
      </c>
      <c r="D49" s="374" t="s">
        <v>2396</v>
      </c>
      <c r="E49" s="337"/>
      <c r="F49" s="404">
        <v>10.0</v>
      </c>
      <c r="G49" s="327"/>
      <c r="H49" s="328" t="s">
        <v>33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B9</f>
        <v>기업 #019</v>
      </c>
      <c r="C50" s="323" t="s">
        <v>2397</v>
      </c>
      <c r="D50" s="323" t="s">
        <v>2398</v>
      </c>
      <c r="E50" s="337"/>
      <c r="F50" s="325">
        <v>630140.0</v>
      </c>
      <c r="G50" s="327" t="s">
        <v>2398</v>
      </c>
      <c r="H50" s="328" t="s">
        <v>31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B9</f>
        <v>기업 #019</v>
      </c>
      <c r="C51" s="323" t="s">
        <v>2397</v>
      </c>
      <c r="D51" s="323" t="s">
        <v>2399</v>
      </c>
      <c r="E51" s="337"/>
      <c r="F51" s="325">
        <v>8300970.0</v>
      </c>
      <c r="G51" s="313" t="s">
        <v>2399</v>
      </c>
      <c r="H51" s="328" t="s">
        <v>31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B9</f>
        <v>기업 #019</v>
      </c>
      <c r="C52" s="323" t="s">
        <v>2397</v>
      </c>
      <c r="D52" s="323" t="s">
        <v>2400</v>
      </c>
      <c r="E52" s="337"/>
      <c r="F52" s="325">
        <v>1794620.0</v>
      </c>
      <c r="G52" s="313" t="s">
        <v>2400</v>
      </c>
      <c r="H52" s="328" t="s">
        <v>31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B9</f>
        <v>기업 #019</v>
      </c>
      <c r="C53" s="323" t="s">
        <v>2397</v>
      </c>
      <c r="D53" s="323" t="s">
        <v>2401</v>
      </c>
      <c r="E53" s="337"/>
      <c r="F53" s="325">
        <v>8156000.0</v>
      </c>
      <c r="G53" s="313" t="s">
        <v>2401</v>
      </c>
      <c r="H53" s="328" t="s">
        <v>31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B9</f>
        <v>기업 #019</v>
      </c>
      <c r="C54" s="323" t="s">
        <v>2397</v>
      </c>
      <c r="D54" s="323" t="s">
        <v>1297</v>
      </c>
      <c r="E54" s="326"/>
      <c r="F54" s="424">
        <v>6088350.0</v>
      </c>
      <c r="G54" s="327" t="s">
        <v>1298</v>
      </c>
      <c r="H54" s="328" t="s">
        <v>31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B9</f>
        <v>기업 #019</v>
      </c>
      <c r="C55" s="323" t="s">
        <v>2397</v>
      </c>
      <c r="D55" s="323" t="s">
        <v>1299</v>
      </c>
      <c r="E55" s="326"/>
      <c r="F55" s="424">
        <v>608730.0</v>
      </c>
      <c r="G55" s="327" t="s">
        <v>1832</v>
      </c>
      <c r="H55" s="328" t="s">
        <v>31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기업 #019</v>
      </c>
      <c r="C56" s="323" t="s">
        <v>2397</v>
      </c>
      <c r="D56" s="323" t="s">
        <v>119</v>
      </c>
      <c r="E56" s="326"/>
      <c r="F56" s="424">
        <v>54400.0</v>
      </c>
      <c r="G56" s="327" t="s">
        <v>1667</v>
      </c>
      <c r="H56" s="328" t="s">
        <v>4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B9</f>
        <v>기업 #019</v>
      </c>
      <c r="C57" s="323" t="s">
        <v>2397</v>
      </c>
      <c r="D57" s="413" t="s">
        <v>2078</v>
      </c>
      <c r="E57" s="403"/>
      <c r="F57" s="424">
        <v>41600.0</v>
      </c>
      <c r="G57" s="327" t="s">
        <v>1667</v>
      </c>
      <c r="H57" s="328" t="s">
        <v>4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B9</f>
        <v>기업 #019</v>
      </c>
      <c r="C58" s="323" t="s">
        <v>2397</v>
      </c>
      <c r="D58" s="413" t="s">
        <v>122</v>
      </c>
      <c r="E58" s="403"/>
      <c r="F58" s="424">
        <v>1000000.0</v>
      </c>
      <c r="G58" s="327" t="s">
        <v>1891</v>
      </c>
      <c r="H58" s="328" t="s">
        <v>1327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B7</f>
        <v>하나 #304</v>
      </c>
      <c r="C59" s="323" t="s">
        <v>2402</v>
      </c>
      <c r="D59" s="413" t="s">
        <v>721</v>
      </c>
      <c r="E59" s="424"/>
      <c r="F59" s="424">
        <v>2924291.0</v>
      </c>
      <c r="G59" s="327" t="s">
        <v>1798</v>
      </c>
      <c r="H59" s="328" t="s">
        <v>33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B9</f>
        <v>기업 #019</v>
      </c>
      <c r="C60" s="323" t="s">
        <v>2403</v>
      </c>
      <c r="D60" s="323" t="s">
        <v>2218</v>
      </c>
      <c r="E60" s="326">
        <v>3888.0</v>
      </c>
      <c r="F60" s="424"/>
      <c r="G60" s="327" t="s">
        <v>2218</v>
      </c>
      <c r="H60" s="328" t="s">
        <v>75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B9</f>
        <v>기업 #019</v>
      </c>
      <c r="C61" s="323" t="s">
        <v>2404</v>
      </c>
      <c r="D61" s="374" t="s">
        <v>84</v>
      </c>
      <c r="E61" s="325"/>
      <c r="F61" s="414">
        <v>1472032.0</v>
      </c>
      <c r="G61" s="327" t="s">
        <v>1660</v>
      </c>
      <c r="H61" s="328" t="s">
        <v>1642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B9</f>
        <v>기업 #019</v>
      </c>
      <c r="C62" s="323" t="s">
        <v>2405</v>
      </c>
      <c r="D62" s="413" t="s">
        <v>2382</v>
      </c>
      <c r="E62" s="424"/>
      <c r="F62" s="414">
        <v>3024657.0</v>
      </c>
      <c r="G62" s="327" t="s">
        <v>1660</v>
      </c>
      <c r="H62" s="328" t="s">
        <v>1642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B9</f>
        <v>기업 #019</v>
      </c>
      <c r="C63" s="323" t="s">
        <v>2405</v>
      </c>
      <c r="D63" s="413" t="s">
        <v>2406</v>
      </c>
      <c r="E63" s="424"/>
      <c r="F63" s="414">
        <v>364700.0</v>
      </c>
      <c r="G63" s="327" t="s">
        <v>2407</v>
      </c>
      <c r="H63" s="328" t="s">
        <v>1327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B13</f>
        <v>WISE SGD</v>
      </c>
      <c r="C64" s="323" t="s">
        <v>2404</v>
      </c>
      <c r="D64" s="323" t="s">
        <v>2068</v>
      </c>
      <c r="E64" s="337">
        <v>942.5</v>
      </c>
      <c r="F64" s="325"/>
      <c r="G64" s="327" t="s">
        <v>2408</v>
      </c>
      <c r="H64" s="328" t="s">
        <v>2035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B13</f>
        <v>WISE SGD</v>
      </c>
      <c r="C65" s="323" t="s">
        <v>2405</v>
      </c>
      <c r="D65" s="323" t="s">
        <v>2325</v>
      </c>
      <c r="E65" s="326"/>
      <c r="F65" s="371">
        <v>88.0</v>
      </c>
      <c r="G65" s="327" t="s">
        <v>1719</v>
      </c>
      <c r="H65" s="328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B7</f>
        <v>하나 #304</v>
      </c>
      <c r="C66" s="323" t="s">
        <v>2409</v>
      </c>
      <c r="D66" s="323" t="s">
        <v>906</v>
      </c>
      <c r="E66" s="326">
        <v>403.0</v>
      </c>
      <c r="F66" s="424"/>
      <c r="G66" s="327" t="s">
        <v>2218</v>
      </c>
      <c r="H66" s="328" t="s">
        <v>75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B5</f>
        <v>신한 #672</v>
      </c>
      <c r="C67" s="323" t="s">
        <v>2410</v>
      </c>
      <c r="D67" s="323" t="s">
        <v>1202</v>
      </c>
      <c r="E67" s="326"/>
      <c r="F67" s="326">
        <v>110000.0</v>
      </c>
      <c r="G67" s="327" t="s">
        <v>1202</v>
      </c>
      <c r="H67" s="286" t="s">
        <v>33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B9</f>
        <v>기업 #019</v>
      </c>
      <c r="C68" s="323" t="s">
        <v>2411</v>
      </c>
      <c r="D68" s="323" t="s">
        <v>2382</v>
      </c>
      <c r="E68" s="326">
        <v>5.1E8</v>
      </c>
      <c r="F68" s="424"/>
      <c r="G68" s="327" t="s">
        <v>2291</v>
      </c>
      <c r="H68" s="328" t="s">
        <v>945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B9</f>
        <v>기업 #019</v>
      </c>
      <c r="C69" s="323" t="s">
        <v>2411</v>
      </c>
      <c r="D69" s="323" t="s">
        <v>2382</v>
      </c>
      <c r="E69" s="326">
        <v>831760.0</v>
      </c>
      <c r="F69" s="424"/>
      <c r="G69" s="327" t="s">
        <v>2412</v>
      </c>
      <c r="H69" s="328" t="s">
        <v>31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B9</f>
        <v>기업 #019</v>
      </c>
      <c r="C70" s="323" t="s">
        <v>2411</v>
      </c>
      <c r="D70" s="323" t="s">
        <v>41</v>
      </c>
      <c r="E70" s="326"/>
      <c r="F70" s="424">
        <v>9.7169621E7</v>
      </c>
      <c r="G70" s="327" t="s">
        <v>1271</v>
      </c>
      <c r="H70" s="328" t="s">
        <v>41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B9</f>
        <v>기업 #019</v>
      </c>
      <c r="C71" s="323" t="s">
        <v>2411</v>
      </c>
      <c r="D71" s="323" t="s">
        <v>1981</v>
      </c>
      <c r="E71" s="326"/>
      <c r="F71" s="326">
        <v>3000000.0</v>
      </c>
      <c r="G71" s="327" t="s">
        <v>1035</v>
      </c>
      <c r="H71" s="328" t="s">
        <v>556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B9</f>
        <v>기업 #019</v>
      </c>
      <c r="C72" s="323" t="s">
        <v>2411</v>
      </c>
      <c r="D72" s="323" t="s">
        <v>1669</v>
      </c>
      <c r="E72" s="325"/>
      <c r="F72" s="325">
        <v>2672551.0</v>
      </c>
      <c r="G72" s="327" t="s">
        <v>1634</v>
      </c>
      <c r="H72" s="328" t="s">
        <v>33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B9</f>
        <v>기업 #019</v>
      </c>
      <c r="C73" s="323" t="s">
        <v>2411</v>
      </c>
      <c r="D73" s="323" t="s">
        <v>1991</v>
      </c>
      <c r="E73" s="326"/>
      <c r="F73" s="326">
        <v>2.2332379E7</v>
      </c>
      <c r="G73" s="327" t="s">
        <v>2413</v>
      </c>
      <c r="H73" s="328" t="s">
        <v>33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B9</f>
        <v>기업 #019</v>
      </c>
      <c r="C74" s="323" t="s">
        <v>2411</v>
      </c>
      <c r="D74" s="323" t="s">
        <v>792</v>
      </c>
      <c r="E74" s="326"/>
      <c r="F74" s="326">
        <v>267940.0</v>
      </c>
      <c r="G74" s="327" t="s">
        <v>2414</v>
      </c>
      <c r="H74" s="328" t="s">
        <v>33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B5</f>
        <v>신한 #672</v>
      </c>
      <c r="C75" s="323" t="s">
        <v>2409</v>
      </c>
      <c r="D75" s="323" t="s">
        <v>906</v>
      </c>
      <c r="E75" s="326">
        <v>385.0</v>
      </c>
      <c r="F75" s="424"/>
      <c r="G75" s="327" t="s">
        <v>2218</v>
      </c>
      <c r="H75" s="328" t="s">
        <v>75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B5</f>
        <v>신한 #672</v>
      </c>
      <c r="C76" s="323" t="s">
        <v>2411</v>
      </c>
      <c r="D76" s="323" t="s">
        <v>1981</v>
      </c>
      <c r="E76" s="326">
        <v>3000000.0</v>
      </c>
      <c r="F76" s="326"/>
      <c r="G76" s="327" t="s">
        <v>1035</v>
      </c>
      <c r="H76" s="328" t="s">
        <v>556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B9</f>
        <v>기업 #019</v>
      </c>
      <c r="C77" s="323" t="s">
        <v>2411</v>
      </c>
      <c r="D77" s="323" t="s">
        <v>1981</v>
      </c>
      <c r="E77" s="326"/>
      <c r="F77" s="326">
        <v>4.5E7</v>
      </c>
      <c r="G77" s="327" t="s">
        <v>1035</v>
      </c>
      <c r="H77" s="328" t="s">
        <v>556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B7</f>
        <v>하나 #304</v>
      </c>
      <c r="C78" s="323" t="s">
        <v>2411</v>
      </c>
      <c r="D78" s="323" t="s">
        <v>1981</v>
      </c>
      <c r="E78" s="326">
        <v>4.5E7</v>
      </c>
      <c r="F78" s="424"/>
      <c r="G78" s="327" t="s">
        <v>1035</v>
      </c>
      <c r="H78" s="328" t="s">
        <v>930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B7</f>
        <v>하나 #304</v>
      </c>
      <c r="C79" s="323" t="s">
        <v>2411</v>
      </c>
      <c r="D79" s="323" t="s">
        <v>1110</v>
      </c>
      <c r="E79" s="326"/>
      <c r="F79" s="424">
        <v>3.140788E7</v>
      </c>
      <c r="G79" s="327" t="s">
        <v>1035</v>
      </c>
      <c r="H79" s="328" t="s">
        <v>930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B7</f>
        <v>하나 #304</v>
      </c>
      <c r="C80" s="323" t="s">
        <v>2411</v>
      </c>
      <c r="D80" s="323" t="s">
        <v>1115</v>
      </c>
      <c r="E80" s="326"/>
      <c r="F80" s="424">
        <v>60524.0</v>
      </c>
      <c r="G80" s="327" t="s">
        <v>1119</v>
      </c>
      <c r="H80" s="328" t="s">
        <v>33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B7</f>
        <v>하나 #304</v>
      </c>
      <c r="C81" s="323" t="s">
        <v>2411</v>
      </c>
      <c r="D81" s="323" t="s">
        <v>721</v>
      </c>
      <c r="E81" s="325"/>
      <c r="F81" s="325">
        <v>1337347.0</v>
      </c>
      <c r="G81" s="327" t="s">
        <v>1634</v>
      </c>
      <c r="H81" s="328" t="s">
        <v>33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B7</f>
        <v>하나 #304</v>
      </c>
      <c r="C82" s="323" t="s">
        <v>2411</v>
      </c>
      <c r="D82" s="323" t="s">
        <v>721</v>
      </c>
      <c r="E82" s="325"/>
      <c r="F82" s="325">
        <v>9744496.0</v>
      </c>
      <c r="G82" s="327" t="s">
        <v>1634</v>
      </c>
      <c r="H82" s="328" t="s">
        <v>33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B7</f>
        <v>하나 #304</v>
      </c>
      <c r="C83" s="323" t="s">
        <v>2411</v>
      </c>
      <c r="D83" s="323" t="s">
        <v>721</v>
      </c>
      <c r="E83" s="325"/>
      <c r="F83" s="325">
        <v>627300.0</v>
      </c>
      <c r="G83" s="327" t="s">
        <v>1634</v>
      </c>
      <c r="H83" s="328" t="s">
        <v>33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B5</f>
        <v>신한 #672</v>
      </c>
      <c r="C84" s="323" t="s">
        <v>2411</v>
      </c>
      <c r="D84" s="323" t="s">
        <v>1633</v>
      </c>
      <c r="E84" s="325"/>
      <c r="F84" s="325">
        <v>3479493.0</v>
      </c>
      <c r="G84" s="327" t="s">
        <v>1634</v>
      </c>
      <c r="H84" s="328" t="s">
        <v>33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B5</f>
        <v>신한 #672</v>
      </c>
      <c r="C85" s="323" t="s">
        <v>2411</v>
      </c>
      <c r="D85" s="323" t="s">
        <v>1950</v>
      </c>
      <c r="E85" s="337"/>
      <c r="F85" s="325">
        <v>56320.0</v>
      </c>
      <c r="G85" s="327" t="s">
        <v>1951</v>
      </c>
      <c r="H85" s="328" t="s">
        <v>4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2411</v>
      </c>
      <c r="D86" s="323" t="s">
        <v>497</v>
      </c>
      <c r="E86" s="337"/>
      <c r="F86" s="325">
        <v>330000.0</v>
      </c>
      <c r="G86" s="327" t="s">
        <v>1952</v>
      </c>
      <c r="H86" s="328" t="s">
        <v>4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B5</f>
        <v>신한 #672</v>
      </c>
      <c r="C87" s="323" t="s">
        <v>2411</v>
      </c>
      <c r="D87" s="323" t="s">
        <v>1953</v>
      </c>
      <c r="E87" s="337"/>
      <c r="F87" s="325">
        <v>37430.0</v>
      </c>
      <c r="G87" s="327" t="s">
        <v>1038</v>
      </c>
      <c r="H87" s="328" t="s">
        <v>4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B5</f>
        <v>신한 #672</v>
      </c>
      <c r="C88" s="323" t="s">
        <v>2411</v>
      </c>
      <c r="D88" s="323" t="s">
        <v>1953</v>
      </c>
      <c r="E88" s="337"/>
      <c r="F88" s="325">
        <v>37430.0</v>
      </c>
      <c r="G88" s="327" t="s">
        <v>1038</v>
      </c>
      <c r="H88" s="328" t="s">
        <v>4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B5</f>
        <v>신한 #672</v>
      </c>
      <c r="C89" s="323" t="s">
        <v>2411</v>
      </c>
      <c r="D89" s="323" t="s">
        <v>1953</v>
      </c>
      <c r="E89" s="337"/>
      <c r="F89" s="325">
        <v>50250.0</v>
      </c>
      <c r="G89" s="327" t="s">
        <v>1040</v>
      </c>
      <c r="H89" s="328" t="s">
        <v>4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B5</f>
        <v>신한 #672</v>
      </c>
      <c r="C90" s="323" t="s">
        <v>2411</v>
      </c>
      <c r="D90" s="323" t="s">
        <v>1953</v>
      </c>
      <c r="E90" s="337"/>
      <c r="F90" s="325">
        <v>20660.0</v>
      </c>
      <c r="G90" s="327" t="s">
        <v>1039</v>
      </c>
      <c r="H90" s="328" t="s">
        <v>4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 t="str">
        <f>B5</f>
        <v>신한 #672</v>
      </c>
      <c r="C91" s="323" t="s">
        <v>2411</v>
      </c>
      <c r="D91" s="323" t="s">
        <v>1953</v>
      </c>
      <c r="E91" s="337"/>
      <c r="F91" s="325">
        <v>20660.0</v>
      </c>
      <c r="G91" s="327" t="s">
        <v>1039</v>
      </c>
      <c r="H91" s="328" t="s">
        <v>4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B5</f>
        <v>신한 #672</v>
      </c>
      <c r="C92" s="323" t="s">
        <v>2411</v>
      </c>
      <c r="D92" s="323" t="s">
        <v>1954</v>
      </c>
      <c r="E92" s="337"/>
      <c r="F92" s="325">
        <v>98000.0</v>
      </c>
      <c r="G92" s="327" t="s">
        <v>1047</v>
      </c>
      <c r="H92" s="328" t="s">
        <v>4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B12</f>
        <v>WISE USD</v>
      </c>
      <c r="C93" s="323" t="s">
        <v>2415</v>
      </c>
      <c r="D93" s="323" t="s">
        <v>1981</v>
      </c>
      <c r="E93" s="371">
        <v>22993.89</v>
      </c>
      <c r="F93" s="424"/>
      <c r="G93" s="327" t="s">
        <v>1035</v>
      </c>
      <c r="H93" s="328" t="s">
        <v>930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B5</f>
        <v>신한 #672</v>
      </c>
      <c r="C94" s="323" t="s">
        <v>2416</v>
      </c>
      <c r="D94" s="429" t="s">
        <v>920</v>
      </c>
      <c r="E94" s="430"/>
      <c r="F94" s="424">
        <v>77000.0</v>
      </c>
      <c r="G94" s="415" t="s">
        <v>1006</v>
      </c>
      <c r="H94" s="412" t="s">
        <v>33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>B12</f>
        <v>WISE USD</v>
      </c>
      <c r="C95" s="323" t="s">
        <v>2417</v>
      </c>
      <c r="D95" s="323" t="s">
        <v>740</v>
      </c>
      <c r="E95" s="337"/>
      <c r="F95" s="404">
        <v>9386.43</v>
      </c>
      <c r="G95" s="327" t="s">
        <v>2418</v>
      </c>
      <c r="H95" s="328" t="s">
        <v>41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>B12</f>
        <v>WISE USD</v>
      </c>
      <c r="C96" s="323" t="s">
        <v>2417</v>
      </c>
      <c r="D96" s="323" t="s">
        <v>1072</v>
      </c>
      <c r="E96" s="325"/>
      <c r="F96" s="404">
        <v>1.13</v>
      </c>
      <c r="G96" s="327" t="s">
        <v>1565</v>
      </c>
      <c r="H96" s="328" t="s">
        <v>33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B12</f>
        <v>WISE USD</v>
      </c>
      <c r="C97" s="323" t="s">
        <v>2417</v>
      </c>
      <c r="D97" s="323" t="s">
        <v>2340</v>
      </c>
      <c r="E97" s="337"/>
      <c r="F97" s="337">
        <v>10000.0</v>
      </c>
      <c r="G97" s="327" t="s">
        <v>2239</v>
      </c>
      <c r="H97" s="328" t="s">
        <v>930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 t="str">
        <f>B12</f>
        <v>WISE USD</v>
      </c>
      <c r="C98" s="323" t="s">
        <v>2417</v>
      </c>
      <c r="D98" s="323" t="s">
        <v>1072</v>
      </c>
      <c r="E98" s="337"/>
      <c r="F98" s="404">
        <v>1.13</v>
      </c>
      <c r="G98" s="327" t="s">
        <v>1565</v>
      </c>
      <c r="H98" s="328" t="s">
        <v>33</v>
      </c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 t="str">
        <f>B12</f>
        <v>WISE USD</v>
      </c>
      <c r="C99" s="323" t="s">
        <v>2417</v>
      </c>
      <c r="D99" s="323" t="s">
        <v>2189</v>
      </c>
      <c r="E99" s="337"/>
      <c r="F99" s="337">
        <v>552.5</v>
      </c>
      <c r="G99" s="415" t="s">
        <v>2341</v>
      </c>
      <c r="H99" s="328" t="s">
        <v>930</v>
      </c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 t="str">
        <f>B12</f>
        <v>WISE USD</v>
      </c>
      <c r="C100" s="323" t="s">
        <v>2417</v>
      </c>
      <c r="D100" s="323" t="s">
        <v>1072</v>
      </c>
      <c r="E100" s="337"/>
      <c r="F100" s="404">
        <v>31.42</v>
      </c>
      <c r="G100" s="327" t="s">
        <v>1565</v>
      </c>
      <c r="H100" s="328" t="s">
        <v>33</v>
      </c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 t="str">
        <f>B12</f>
        <v>WISE USD</v>
      </c>
      <c r="C101" s="323" t="s">
        <v>2417</v>
      </c>
      <c r="D101" s="444" t="s">
        <v>2187</v>
      </c>
      <c r="E101" s="337"/>
      <c r="F101" s="337">
        <v>622.29</v>
      </c>
      <c r="G101" s="415" t="s">
        <v>2342</v>
      </c>
      <c r="H101" s="328" t="s">
        <v>930</v>
      </c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 t="str">
        <f>B12</f>
        <v>WISE USD</v>
      </c>
      <c r="C102" s="323" t="s">
        <v>2417</v>
      </c>
      <c r="D102" s="323" t="s">
        <v>1072</v>
      </c>
      <c r="E102" s="337"/>
      <c r="F102" s="404">
        <v>8.54</v>
      </c>
      <c r="G102" s="327" t="s">
        <v>1565</v>
      </c>
      <c r="H102" s="328" t="s">
        <v>33</v>
      </c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 t="str">
        <f>B12</f>
        <v>WISE USD</v>
      </c>
      <c r="C103" s="323" t="s">
        <v>2419</v>
      </c>
      <c r="D103" s="391" t="s">
        <v>2299</v>
      </c>
      <c r="F103" s="443">
        <v>220.0</v>
      </c>
      <c r="G103" s="327" t="s">
        <v>1719</v>
      </c>
      <c r="H103" s="328" t="s">
        <v>33</v>
      </c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 t="str">
        <f>B16</f>
        <v>OCBC SGD</v>
      </c>
      <c r="C104" s="323" t="s">
        <v>2391</v>
      </c>
      <c r="D104" s="323" t="s">
        <v>2176</v>
      </c>
      <c r="E104" s="337">
        <v>17.84</v>
      </c>
      <c r="F104" s="404"/>
      <c r="G104" s="327" t="s">
        <v>2420</v>
      </c>
      <c r="H104" s="328" t="s">
        <v>31</v>
      </c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 t="str">
        <f>B16</f>
        <v>OCBC SGD</v>
      </c>
      <c r="C105" s="323" t="s">
        <v>2417</v>
      </c>
      <c r="D105" s="323" t="s">
        <v>2421</v>
      </c>
      <c r="E105" s="337"/>
      <c r="F105" s="404">
        <v>37.45</v>
      </c>
      <c r="G105" s="327" t="s">
        <v>2422</v>
      </c>
      <c r="H105" s="328" t="s">
        <v>31</v>
      </c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 t="str">
        <f>B16</f>
        <v>OCBC SGD</v>
      </c>
      <c r="C106" s="323" t="s">
        <v>2417</v>
      </c>
      <c r="D106" s="323" t="s">
        <v>2423</v>
      </c>
      <c r="E106" s="337"/>
      <c r="F106" s="404">
        <v>51.45</v>
      </c>
      <c r="G106" s="327" t="s">
        <v>2424</v>
      </c>
      <c r="H106" s="328" t="s">
        <v>31</v>
      </c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 t="str">
        <f>B16</f>
        <v>OCBC SGD</v>
      </c>
      <c r="C107" s="323" t="s">
        <v>2417</v>
      </c>
      <c r="D107" s="323" t="s">
        <v>2425</v>
      </c>
      <c r="E107" s="337"/>
      <c r="F107" s="404">
        <v>36.85</v>
      </c>
      <c r="G107" s="327" t="s">
        <v>2426</v>
      </c>
      <c r="H107" s="328" t="s">
        <v>31</v>
      </c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 t="str">
        <f>B16</f>
        <v>OCBC SGD</v>
      </c>
      <c r="C108" s="323" t="s">
        <v>2417</v>
      </c>
      <c r="D108" s="323" t="s">
        <v>2427</v>
      </c>
      <c r="E108" s="337"/>
      <c r="F108" s="404">
        <v>62.85</v>
      </c>
      <c r="G108" s="327" t="s">
        <v>2428</v>
      </c>
      <c r="H108" s="328" t="s">
        <v>31</v>
      </c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 t="str">
        <f>B16</f>
        <v>OCBC SGD</v>
      </c>
      <c r="C109" s="323" t="s">
        <v>2417</v>
      </c>
      <c r="D109" s="323" t="s">
        <v>2429</v>
      </c>
      <c r="E109" s="337"/>
      <c r="F109" s="404">
        <v>153.35</v>
      </c>
      <c r="G109" s="327" t="s">
        <v>2430</v>
      </c>
      <c r="H109" s="328" t="s">
        <v>31</v>
      </c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 t="str">
        <f>B16</f>
        <v>OCBC SGD</v>
      </c>
      <c r="C110" s="323" t="s">
        <v>2416</v>
      </c>
      <c r="D110" s="323" t="s">
        <v>2431</v>
      </c>
      <c r="E110" s="337"/>
      <c r="F110" s="404">
        <v>15.0</v>
      </c>
      <c r="G110" s="327" t="s">
        <v>1119</v>
      </c>
      <c r="H110" s="328" t="s">
        <v>31</v>
      </c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323"/>
      <c r="E111" s="337"/>
      <c r="F111" s="404"/>
      <c r="G111" s="327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37"/>
      <c r="F112" s="404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323"/>
      <c r="E113" s="337"/>
      <c r="F113" s="404"/>
      <c r="G113" s="327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323"/>
      <c r="E114" s="337"/>
      <c r="F114" s="404"/>
      <c r="G114" s="327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323"/>
      <c r="D115" s="323"/>
      <c r="E115" s="337"/>
      <c r="F115" s="404"/>
      <c r="G115" s="327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323"/>
      <c r="D116" s="323"/>
      <c r="E116" s="337"/>
      <c r="F116" s="404"/>
      <c r="G116" s="327"/>
      <c r="H116" s="328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281"/>
      <c r="C117" s="323"/>
      <c r="D117" s="323"/>
      <c r="E117" s="337"/>
      <c r="F117" s="404"/>
      <c r="G117" s="327"/>
      <c r="H117" s="328"/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281"/>
      <c r="C118" s="323"/>
      <c r="D118" s="323"/>
      <c r="E118" s="337"/>
      <c r="F118" s="404"/>
      <c r="G118" s="327"/>
      <c r="H118" s="328"/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281"/>
      <c r="C119" s="323"/>
      <c r="D119" s="323"/>
      <c r="E119" s="337"/>
      <c r="F119" s="404"/>
      <c r="G119" s="327"/>
      <c r="H119" s="328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281"/>
      <c r="C120" s="323"/>
      <c r="D120" s="323"/>
      <c r="E120" s="337"/>
      <c r="F120" s="404"/>
      <c r="G120" s="327"/>
      <c r="H120" s="328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281"/>
      <c r="C121" s="323"/>
      <c r="D121" s="323"/>
      <c r="E121" s="337"/>
      <c r="F121" s="404"/>
      <c r="G121" s="327"/>
      <c r="H121" s="328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</sheetData>
  <autoFilter ref="$B$24:$H$110">
    <sortState ref="B24:H110">
      <sortCondition ref="B24:B110"/>
    </sortState>
  </autoFilter>
  <customSheetViews>
    <customSheetView guid="{CD2BF927-9D79-47FC-BBA8-927062D6B3F5}" filter="1" showAutoFilter="1">
      <autoFilter ref="$B$24:$H$110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10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2432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'25.06월'!G5</f>
        <v>872433</v>
      </c>
      <c r="E5" s="355">
        <f t="shared" ref="E5:E17" si="1">sumif($B$25:$B$115,B5,$E$25:$E$115)</f>
        <v>4000000</v>
      </c>
      <c r="F5" s="356">
        <f t="shared" ref="F5:F17" si="2">sumif($B$25:$B$115,B5,$F$25:$F$115)</f>
        <v>4706277</v>
      </c>
      <c r="G5" s="229">
        <f t="shared" ref="G5:G17" si="3">D5+E5-F5</f>
        <v>166156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'25.06월'!G6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'25.06월'!G7</f>
        <v>3159800</v>
      </c>
      <c r="E7" s="359">
        <f t="shared" si="1"/>
        <v>20000000</v>
      </c>
      <c r="F7" s="360">
        <f t="shared" si="2"/>
        <v>16401445</v>
      </c>
      <c r="G7" s="239">
        <f t="shared" si="3"/>
        <v>6758355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'25.06월'!G8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'25.06월'!G9</f>
        <v>362111785</v>
      </c>
      <c r="E9" s="359">
        <f t="shared" si="1"/>
        <v>105661031</v>
      </c>
      <c r="F9" s="360">
        <f t="shared" si="2"/>
        <v>300584095</v>
      </c>
      <c r="G9" s="239">
        <f t="shared" si="3"/>
        <v>167188721</v>
      </c>
      <c r="H9" s="439">
        <f>G5+G7+G9</f>
        <v>174113232</v>
      </c>
      <c r="I9" s="440">
        <f>(G5+G7+G9)/J3</f>
        <v>118225.2165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'25.06월'!G10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'25.06월'!G11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'25.06월'!G12</f>
        <v>3125.76</v>
      </c>
      <c r="E12" s="361">
        <f t="shared" si="1"/>
        <v>1820.83</v>
      </c>
      <c r="F12" s="362">
        <f t="shared" si="2"/>
        <v>4483.02</v>
      </c>
      <c r="G12" s="329">
        <f t="shared" si="3"/>
        <v>463.57</v>
      </c>
      <c r="H12" s="422">
        <f>G12*J3</f>
        <v>682711.1282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'25.06월'!G13</f>
        <v>854.5</v>
      </c>
      <c r="E13" s="363">
        <f t="shared" si="1"/>
        <v>1271.57</v>
      </c>
      <c r="F13" s="364">
        <f t="shared" si="2"/>
        <v>2000</v>
      </c>
      <c r="G13" s="320">
        <f t="shared" si="3"/>
        <v>126.07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'25.06월'!G14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'25.06월'!G15</f>
        <v>21.33</v>
      </c>
      <c r="E15" s="361">
        <f t="shared" si="1"/>
        <v>0</v>
      </c>
      <c r="F15" s="358">
        <f t="shared" si="2"/>
        <v>0</v>
      </c>
      <c r="G15" s="235">
        <f t="shared" si="3"/>
        <v>21.33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'25.06월'!G16</f>
        <v>182.82</v>
      </c>
      <c r="E16" s="366">
        <f t="shared" si="1"/>
        <v>0</v>
      </c>
      <c r="F16" s="367">
        <f t="shared" si="2"/>
        <v>182.82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'25.06월'!G17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366144023</v>
      </c>
      <c r="E18" s="262">
        <f t="shared" si="4"/>
        <v>129661031</v>
      </c>
      <c r="F18" s="263">
        <f t="shared" si="4"/>
        <v>321691817</v>
      </c>
      <c r="G18" s="345">
        <f t="shared" si="4"/>
        <v>174113237</v>
      </c>
      <c r="H18" s="353">
        <f>G18</f>
        <v>174113237</v>
      </c>
      <c r="I18" s="353">
        <f>D18</f>
        <v>366144023</v>
      </c>
      <c r="J18" s="133">
        <f>G18</f>
        <v>174113237</v>
      </c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3264.935998</v>
      </c>
      <c r="E19" s="269">
        <f t="shared" si="5"/>
        <v>1820.83</v>
      </c>
      <c r="F19" s="270">
        <f t="shared" si="5"/>
        <v>4483.02</v>
      </c>
      <c r="G19" s="346">
        <f t="shared" si="5"/>
        <v>602.745998</v>
      </c>
      <c r="H19" s="265">
        <f>rounddown(G19*$J$3,0)</f>
        <v>887679</v>
      </c>
      <c r="I19" s="265">
        <f>rounddown(D19*$J$3,0)</f>
        <v>4808352</v>
      </c>
      <c r="J19" s="134">
        <f>G19*1382.9</f>
        <v>833537.4406</v>
      </c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1037.32</v>
      </c>
      <c r="E20" s="274">
        <f t="shared" si="6"/>
        <v>1271.57</v>
      </c>
      <c r="F20" s="275">
        <f t="shared" si="6"/>
        <v>2182.82</v>
      </c>
      <c r="G20" s="347">
        <f t="shared" si="6"/>
        <v>126.07</v>
      </c>
      <c r="H20" s="277">
        <f>rounddown(G20*$J$4,0)</f>
        <v>144209</v>
      </c>
      <c r="I20" s="277">
        <f>rounddown(D20*$J$4,0)</f>
        <v>1186574</v>
      </c>
      <c r="J20" s="103">
        <f>G20*1067.01</f>
        <v>134517.9507</v>
      </c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>
        <f>F18-F84-F85</f>
        <v>297691817</v>
      </c>
      <c r="G21" s="278"/>
      <c r="H21" s="279">
        <f t="shared" ref="H21:J21" si="7">SUM(H18:H20)</f>
        <v>175145125</v>
      </c>
      <c r="I21" s="279">
        <f t="shared" si="7"/>
        <v>372138949</v>
      </c>
      <c r="J21" s="279">
        <f t="shared" si="7"/>
        <v>175081292.4</v>
      </c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-196993824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-133761.4449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>B13</f>
        <v>WISE SGD</v>
      </c>
      <c r="C25" s="323" t="s">
        <v>2433</v>
      </c>
      <c r="D25" s="323" t="s">
        <v>1110</v>
      </c>
      <c r="E25" s="337">
        <v>182.82</v>
      </c>
      <c r="F25" s="337"/>
      <c r="G25" s="327" t="s">
        <v>2395</v>
      </c>
      <c r="H25" s="328" t="s">
        <v>556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>B16</f>
        <v>OCBC SGD</v>
      </c>
      <c r="C26" s="323" t="s">
        <v>2433</v>
      </c>
      <c r="D26" s="323" t="s">
        <v>1110</v>
      </c>
      <c r="E26" s="337"/>
      <c r="F26" s="337">
        <v>182.82</v>
      </c>
      <c r="G26" s="327" t="s">
        <v>2395</v>
      </c>
      <c r="H26" s="328" t="s">
        <v>556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B12</f>
        <v>WISE USD</v>
      </c>
      <c r="C27" s="323" t="s">
        <v>2433</v>
      </c>
      <c r="D27" s="323" t="s">
        <v>2048</v>
      </c>
      <c r="E27" s="337"/>
      <c r="F27" s="337">
        <v>2499.74</v>
      </c>
      <c r="G27" s="327" t="s">
        <v>2049</v>
      </c>
      <c r="H27" s="328" t="s">
        <v>39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B12</f>
        <v>WISE USD</v>
      </c>
      <c r="C28" s="323" t="s">
        <v>2433</v>
      </c>
      <c r="D28" s="323" t="s">
        <v>1072</v>
      </c>
      <c r="E28" s="337"/>
      <c r="F28" s="337">
        <v>14.67</v>
      </c>
      <c r="G28" s="327" t="s">
        <v>1073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B12</f>
        <v>WISE USD</v>
      </c>
      <c r="C29" s="323" t="s">
        <v>2433</v>
      </c>
      <c r="D29" s="413" t="s">
        <v>2085</v>
      </c>
      <c r="E29" s="337">
        <v>75.4</v>
      </c>
      <c r="F29" s="325"/>
      <c r="G29" s="415" t="s">
        <v>2434</v>
      </c>
      <c r="H29" s="412" t="s">
        <v>2035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B9</f>
        <v>기업 #019</v>
      </c>
      <c r="C30" s="323" t="s">
        <v>2435</v>
      </c>
      <c r="D30" s="323" t="s">
        <v>1552</v>
      </c>
      <c r="E30" s="337"/>
      <c r="F30" s="325">
        <v>279180.0</v>
      </c>
      <c r="G30" s="327" t="s">
        <v>1877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tr">
        <f>B9</f>
        <v>기업 #019</v>
      </c>
      <c r="C31" s="323" t="s">
        <v>2435</v>
      </c>
      <c r="D31" s="323" t="s">
        <v>789</v>
      </c>
      <c r="E31" s="337"/>
      <c r="F31" s="325">
        <v>6192340.0</v>
      </c>
      <c r="G31" s="327" t="s">
        <v>1342</v>
      </c>
      <c r="H31" s="328" t="s">
        <v>33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tr">
        <f>B9</f>
        <v>기업 #019</v>
      </c>
      <c r="C32" s="323" t="s">
        <v>2435</v>
      </c>
      <c r="D32" s="323" t="s">
        <v>2436</v>
      </c>
      <c r="E32" s="337"/>
      <c r="F32" s="325">
        <v>7150000.0</v>
      </c>
      <c r="G32" s="327" t="s">
        <v>2437</v>
      </c>
      <c r="H32" s="328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B9</f>
        <v>기업 #019</v>
      </c>
      <c r="C33" s="323" t="s">
        <v>2435</v>
      </c>
      <c r="D33" s="323" t="s">
        <v>1297</v>
      </c>
      <c r="E33" s="337"/>
      <c r="F33" s="325">
        <v>6088350.0</v>
      </c>
      <c r="G33" s="327" t="s">
        <v>1337</v>
      </c>
      <c r="H33" s="328" t="s">
        <v>31</v>
      </c>
      <c r="I33" s="107"/>
      <c r="J33" s="141"/>
      <c r="K33" s="138"/>
      <c r="L33" s="83"/>
      <c r="M33" s="83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B9</f>
        <v>기업 #019</v>
      </c>
      <c r="C34" s="323" t="s">
        <v>2435</v>
      </c>
      <c r="D34" s="323" t="s">
        <v>1299</v>
      </c>
      <c r="E34" s="337"/>
      <c r="F34" s="325">
        <v>684340.0</v>
      </c>
      <c r="G34" s="327" t="s">
        <v>1876</v>
      </c>
      <c r="H34" s="328" t="s">
        <v>31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tr">
        <f>B9</f>
        <v>기업 #019</v>
      </c>
      <c r="C35" s="323" t="s">
        <v>2435</v>
      </c>
      <c r="D35" s="323" t="s">
        <v>1297</v>
      </c>
      <c r="E35" s="337"/>
      <c r="F35" s="325">
        <v>756150.0</v>
      </c>
      <c r="G35" s="327" t="s">
        <v>2438</v>
      </c>
      <c r="H35" s="328" t="s">
        <v>31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B9</f>
        <v>기업 #019</v>
      </c>
      <c r="C36" s="323" t="s">
        <v>2439</v>
      </c>
      <c r="D36" s="323" t="s">
        <v>2398</v>
      </c>
      <c r="E36" s="337"/>
      <c r="F36" s="325">
        <v>651820.0</v>
      </c>
      <c r="G36" s="327" t="s">
        <v>2398</v>
      </c>
      <c r="H36" s="328" t="s">
        <v>31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2439</v>
      </c>
      <c r="D37" s="323" t="s">
        <v>2399</v>
      </c>
      <c r="E37" s="337"/>
      <c r="F37" s="325">
        <v>8587640.0</v>
      </c>
      <c r="G37" s="313" t="s">
        <v>2399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B9</f>
        <v>기업 #019</v>
      </c>
      <c r="C38" s="323" t="s">
        <v>2439</v>
      </c>
      <c r="D38" s="323" t="s">
        <v>2400</v>
      </c>
      <c r="E38" s="337"/>
      <c r="F38" s="325">
        <v>1856340.0</v>
      </c>
      <c r="G38" s="313" t="s">
        <v>2400</v>
      </c>
      <c r="H38" s="328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B9</f>
        <v>기업 #019</v>
      </c>
      <c r="C39" s="323" t="s">
        <v>2439</v>
      </c>
      <c r="D39" s="323" t="s">
        <v>2401</v>
      </c>
      <c r="E39" s="337"/>
      <c r="F39" s="325">
        <v>8397380.0</v>
      </c>
      <c r="G39" s="313" t="s">
        <v>2401</v>
      </c>
      <c r="H39" s="328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B9</f>
        <v>기업 #019</v>
      </c>
      <c r="C40" s="323" t="s">
        <v>2440</v>
      </c>
      <c r="D40" s="323" t="s">
        <v>2441</v>
      </c>
      <c r="E40" s="325">
        <v>42810.0</v>
      </c>
      <c r="F40" s="337"/>
      <c r="G40" s="327" t="s">
        <v>2442</v>
      </c>
      <c r="H40" s="328" t="s">
        <v>31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tr">
        <f>B7</f>
        <v>하나 #304</v>
      </c>
      <c r="C41" s="323" t="s">
        <v>2440</v>
      </c>
      <c r="D41" s="323" t="s">
        <v>721</v>
      </c>
      <c r="E41" s="337"/>
      <c r="F41" s="325">
        <v>1096455.0</v>
      </c>
      <c r="G41" s="327" t="s">
        <v>1798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tr">
        <f>B7</f>
        <v>하나 #304</v>
      </c>
      <c r="C42" s="323" t="s">
        <v>2440</v>
      </c>
      <c r="D42" s="323" t="s">
        <v>721</v>
      </c>
      <c r="E42" s="337"/>
      <c r="F42" s="325">
        <v>1620953.0</v>
      </c>
      <c r="G42" s="327" t="s">
        <v>1798</v>
      </c>
      <c r="H42" s="328" t="s">
        <v>33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B9</f>
        <v>기업 #019</v>
      </c>
      <c r="C43" s="323" t="s">
        <v>2440</v>
      </c>
      <c r="D43" s="323" t="s">
        <v>2149</v>
      </c>
      <c r="E43" s="337"/>
      <c r="F43" s="414">
        <v>56800.0</v>
      </c>
      <c r="G43" s="327" t="s">
        <v>1438</v>
      </c>
      <c r="H43" s="328" t="s">
        <v>4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tr">
        <f>B9</f>
        <v>기업 #019</v>
      </c>
      <c r="C44" s="323" t="s">
        <v>2440</v>
      </c>
      <c r="D44" s="323" t="s">
        <v>112</v>
      </c>
      <c r="E44" s="337"/>
      <c r="F44" s="414">
        <v>3351670.0</v>
      </c>
      <c r="G44" s="327" t="s">
        <v>1824</v>
      </c>
      <c r="H44" s="328" t="s">
        <v>31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B9</f>
        <v>기업 #019</v>
      </c>
      <c r="C45" s="323" t="s">
        <v>2440</v>
      </c>
      <c r="D45" s="323" t="s">
        <v>113</v>
      </c>
      <c r="E45" s="337"/>
      <c r="F45" s="325">
        <v>3291260.0</v>
      </c>
      <c r="G45" s="327" t="s">
        <v>1824</v>
      </c>
      <c r="H45" s="328" t="s">
        <v>31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B9</f>
        <v>기업 #019</v>
      </c>
      <c r="C46" s="323" t="s">
        <v>2440</v>
      </c>
      <c r="D46" s="323" t="s">
        <v>115</v>
      </c>
      <c r="E46" s="337"/>
      <c r="F46" s="325">
        <v>2970260.0</v>
      </c>
      <c r="G46" s="327" t="s">
        <v>1824</v>
      </c>
      <c r="H46" s="328" t="s">
        <v>31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B9</f>
        <v>기업 #019</v>
      </c>
      <c r="C47" s="323" t="s">
        <v>2440</v>
      </c>
      <c r="D47" s="323" t="s">
        <v>119</v>
      </c>
      <c r="E47" s="337"/>
      <c r="F47" s="325">
        <v>539250.0</v>
      </c>
      <c r="G47" s="327" t="s">
        <v>1824</v>
      </c>
      <c r="H47" s="328" t="s">
        <v>31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B9</f>
        <v>기업 #019</v>
      </c>
      <c r="C48" s="323" t="s">
        <v>2440</v>
      </c>
      <c r="D48" s="323" t="s">
        <v>990</v>
      </c>
      <c r="E48" s="337"/>
      <c r="F48" s="325">
        <v>1836370.0</v>
      </c>
      <c r="G48" s="327" t="s">
        <v>1824</v>
      </c>
      <c r="H48" s="328" t="s">
        <v>31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B9</f>
        <v>기업 #019</v>
      </c>
      <c r="C49" s="323" t="s">
        <v>2440</v>
      </c>
      <c r="D49" s="323" t="s">
        <v>991</v>
      </c>
      <c r="E49" s="337"/>
      <c r="F49" s="325">
        <v>1236580.0</v>
      </c>
      <c r="G49" s="327" t="s">
        <v>1824</v>
      </c>
      <c r="H49" s="328" t="s">
        <v>31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B9</f>
        <v>기업 #019</v>
      </c>
      <c r="C50" s="323" t="s">
        <v>2440</v>
      </c>
      <c r="D50" s="323" t="s">
        <v>993</v>
      </c>
      <c r="E50" s="337"/>
      <c r="F50" s="325">
        <v>1825640.0</v>
      </c>
      <c r="G50" s="327" t="s">
        <v>1824</v>
      </c>
      <c r="H50" s="328" t="s">
        <v>31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B9</f>
        <v>기업 #019</v>
      </c>
      <c r="C51" s="323" t="s">
        <v>2440</v>
      </c>
      <c r="D51" s="323" t="s">
        <v>2443</v>
      </c>
      <c r="E51" s="337"/>
      <c r="F51" s="325">
        <v>13320.0</v>
      </c>
      <c r="G51" s="327" t="s">
        <v>1824</v>
      </c>
      <c r="H51" s="328" t="s">
        <v>31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B9</f>
        <v>기업 #019</v>
      </c>
      <c r="C52" s="323" t="s">
        <v>2440</v>
      </c>
      <c r="D52" s="323" t="s">
        <v>2444</v>
      </c>
      <c r="E52" s="337"/>
      <c r="F52" s="325">
        <v>37440.0</v>
      </c>
      <c r="G52" s="327" t="s">
        <v>1824</v>
      </c>
      <c r="H52" s="328" t="s">
        <v>31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B9</f>
        <v>기업 #019</v>
      </c>
      <c r="C53" s="323" t="s">
        <v>2440</v>
      </c>
      <c r="D53" s="323" t="s">
        <v>2200</v>
      </c>
      <c r="E53" s="337"/>
      <c r="F53" s="325">
        <v>55800.0</v>
      </c>
      <c r="G53" s="327" t="s">
        <v>1824</v>
      </c>
      <c r="H53" s="328" t="s">
        <v>31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B9</f>
        <v>기업 #019</v>
      </c>
      <c r="C54" s="323" t="s">
        <v>2440</v>
      </c>
      <c r="D54" s="323" t="s">
        <v>112</v>
      </c>
      <c r="E54" s="326"/>
      <c r="F54" s="325">
        <v>2.4649174E7</v>
      </c>
      <c r="G54" s="313" t="s">
        <v>2445</v>
      </c>
      <c r="H54" s="328" t="s">
        <v>31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B9</f>
        <v>기업 #019</v>
      </c>
      <c r="C55" s="323" t="s">
        <v>2440</v>
      </c>
      <c r="D55" s="323" t="s">
        <v>113</v>
      </c>
      <c r="E55" s="326"/>
      <c r="F55" s="326">
        <v>4.7629388E7</v>
      </c>
      <c r="G55" s="313" t="s">
        <v>2445</v>
      </c>
      <c r="H55" s="328" t="s">
        <v>31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기업 #019</v>
      </c>
      <c r="C56" s="323" t="s">
        <v>2440</v>
      </c>
      <c r="D56" s="323" t="s">
        <v>115</v>
      </c>
      <c r="E56" s="326"/>
      <c r="F56" s="326">
        <v>2.4649174E7</v>
      </c>
      <c r="G56" s="313" t="s">
        <v>2445</v>
      </c>
      <c r="H56" s="328" t="s">
        <v>31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B9</f>
        <v>기업 #019</v>
      </c>
      <c r="C57" s="323" t="s">
        <v>2440</v>
      </c>
      <c r="D57" s="323" t="s">
        <v>119</v>
      </c>
      <c r="E57" s="371"/>
      <c r="F57" s="326">
        <v>2.1750611E7</v>
      </c>
      <c r="G57" s="313" t="s">
        <v>2445</v>
      </c>
      <c r="H57" s="328" t="s">
        <v>31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B9</f>
        <v>기업 #019</v>
      </c>
      <c r="C58" s="323" t="s">
        <v>2440</v>
      </c>
      <c r="D58" s="323" t="s">
        <v>990</v>
      </c>
      <c r="E58" s="371"/>
      <c r="F58" s="326">
        <v>1.6165042E7</v>
      </c>
      <c r="G58" s="313" t="s">
        <v>2445</v>
      </c>
      <c r="H58" s="328" t="s">
        <v>31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B9</f>
        <v>기업 #019</v>
      </c>
      <c r="C59" s="323" t="s">
        <v>2440</v>
      </c>
      <c r="D59" s="323" t="s">
        <v>991</v>
      </c>
      <c r="E59" s="326"/>
      <c r="F59" s="326">
        <v>1.5688485E7</v>
      </c>
      <c r="G59" s="313" t="s">
        <v>2445</v>
      </c>
      <c r="H59" s="328" t="s">
        <v>31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tr">
        <f>B9</f>
        <v>기업 #019</v>
      </c>
      <c r="C60" s="323" t="s">
        <v>2440</v>
      </c>
      <c r="D60" s="323" t="s">
        <v>993</v>
      </c>
      <c r="E60" s="326"/>
      <c r="F60" s="326">
        <v>1.4740993E7</v>
      </c>
      <c r="G60" s="313" t="s">
        <v>2445</v>
      </c>
      <c r="H60" s="328" t="s">
        <v>31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tr">
        <f>B9</f>
        <v>기업 #019</v>
      </c>
      <c r="C61" s="323" t="s">
        <v>2440</v>
      </c>
      <c r="D61" s="374" t="s">
        <v>2443</v>
      </c>
      <c r="E61" s="325"/>
      <c r="F61" s="326">
        <v>1647446.0</v>
      </c>
      <c r="G61" s="313" t="s">
        <v>2445</v>
      </c>
      <c r="H61" s="328" t="s">
        <v>31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tr">
        <f>B9</f>
        <v>기업 #019</v>
      </c>
      <c r="C62" s="323" t="s">
        <v>2446</v>
      </c>
      <c r="D62" s="374" t="s">
        <v>84</v>
      </c>
      <c r="E62" s="325"/>
      <c r="F62" s="414">
        <v>1424547.0</v>
      </c>
      <c r="G62" s="327" t="s">
        <v>1660</v>
      </c>
      <c r="H62" s="328" t="s">
        <v>1642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tr">
        <f>B9</f>
        <v>기업 #019</v>
      </c>
      <c r="C63" s="323" t="s">
        <v>2446</v>
      </c>
      <c r="D63" s="413" t="s">
        <v>2447</v>
      </c>
      <c r="E63" s="424">
        <v>2.2E7</v>
      </c>
      <c r="F63" s="414"/>
      <c r="G63" s="327" t="s">
        <v>2448</v>
      </c>
      <c r="H63" s="328" t="s">
        <v>77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tr">
        <f>B13</f>
        <v>WISE SGD</v>
      </c>
      <c r="C64" s="323" t="s">
        <v>2446</v>
      </c>
      <c r="D64" s="323" t="s">
        <v>2068</v>
      </c>
      <c r="E64" s="337">
        <v>1088.75</v>
      </c>
      <c r="F64" s="325"/>
      <c r="G64" s="327" t="s">
        <v>2449</v>
      </c>
      <c r="H64" s="328" t="s">
        <v>2035</v>
      </c>
      <c r="I64" s="107">
        <f>1081.31*E64</f>
        <v>1177276.263</v>
      </c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tr">
        <f>B5</f>
        <v>신한 #672</v>
      </c>
      <c r="C65" s="323" t="s">
        <v>2450</v>
      </c>
      <c r="D65" s="323" t="s">
        <v>1202</v>
      </c>
      <c r="E65" s="326"/>
      <c r="F65" s="326">
        <v>110000.0</v>
      </c>
      <c r="G65" s="327" t="s">
        <v>1202</v>
      </c>
      <c r="H65" s="286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tr">
        <f>B9</f>
        <v>기업 #019</v>
      </c>
      <c r="C66" s="323" t="s">
        <v>2451</v>
      </c>
      <c r="D66" s="323" t="s">
        <v>906</v>
      </c>
      <c r="E66" s="326">
        <v>18221.0</v>
      </c>
      <c r="F66" s="424"/>
      <c r="G66" s="327" t="s">
        <v>2218</v>
      </c>
      <c r="H66" s="328" t="s">
        <v>75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tr">
        <f>B9</f>
        <v>기업 #019</v>
      </c>
      <c r="C67" s="323" t="s">
        <v>2452</v>
      </c>
      <c r="D67" s="323" t="s">
        <v>1706</v>
      </c>
      <c r="E67" s="325">
        <v>3600000.0</v>
      </c>
      <c r="F67" s="414"/>
      <c r="G67" s="313" t="s">
        <v>2453</v>
      </c>
      <c r="H67" s="328" t="s">
        <v>1555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tr">
        <f>B7</f>
        <v>하나 #304</v>
      </c>
      <c r="C68" s="323" t="s">
        <v>2454</v>
      </c>
      <c r="D68" s="323" t="s">
        <v>721</v>
      </c>
      <c r="E68" s="325"/>
      <c r="F68" s="414">
        <v>442392.0</v>
      </c>
      <c r="G68" s="327" t="s">
        <v>721</v>
      </c>
      <c r="H68" s="286" t="s">
        <v>33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tr">
        <f>B7</f>
        <v>하나 #304</v>
      </c>
      <c r="C69" s="323" t="s">
        <v>2454</v>
      </c>
      <c r="D69" s="323" t="s">
        <v>721</v>
      </c>
      <c r="E69" s="325"/>
      <c r="F69" s="414">
        <v>1.1879018E7</v>
      </c>
      <c r="G69" s="327" t="s">
        <v>721</v>
      </c>
      <c r="H69" s="286" t="s">
        <v>33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 t="str">
        <f>B7</f>
        <v>하나 #304</v>
      </c>
      <c r="C70" s="323" t="s">
        <v>2454</v>
      </c>
      <c r="D70" s="323" t="s">
        <v>721</v>
      </c>
      <c r="E70" s="326"/>
      <c r="F70" s="424">
        <v>1362627.0</v>
      </c>
      <c r="G70" s="327" t="s">
        <v>721</v>
      </c>
      <c r="H70" s="286" t="s">
        <v>33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tr">
        <f>B5</f>
        <v>신한 #672</v>
      </c>
      <c r="C71" s="323" t="s">
        <v>2454</v>
      </c>
      <c r="D71" s="323" t="s">
        <v>1633</v>
      </c>
      <c r="E71" s="326"/>
      <c r="F71" s="424">
        <v>3868877.0</v>
      </c>
      <c r="G71" s="327" t="s">
        <v>1633</v>
      </c>
      <c r="H71" s="286" t="s">
        <v>33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tr">
        <f>B9</f>
        <v>기업 #019</v>
      </c>
      <c r="C72" s="323" t="s">
        <v>2454</v>
      </c>
      <c r="D72" s="323" t="s">
        <v>1669</v>
      </c>
      <c r="E72" s="326"/>
      <c r="F72" s="424">
        <v>1637593.0</v>
      </c>
      <c r="G72" s="327" t="s">
        <v>1669</v>
      </c>
      <c r="H72" s="286" t="s">
        <v>33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tr">
        <f>B5</f>
        <v>신한 #672</v>
      </c>
      <c r="C73" s="323" t="s">
        <v>2454</v>
      </c>
      <c r="D73" s="323" t="s">
        <v>1950</v>
      </c>
      <c r="E73" s="337"/>
      <c r="F73" s="325">
        <v>55970.0</v>
      </c>
      <c r="G73" s="327" t="s">
        <v>1951</v>
      </c>
      <c r="H73" s="286" t="s">
        <v>27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tr">
        <f>B5</f>
        <v>신한 #672</v>
      </c>
      <c r="C74" s="323" t="s">
        <v>2454</v>
      </c>
      <c r="D74" s="323" t="s">
        <v>497</v>
      </c>
      <c r="E74" s="337"/>
      <c r="F74" s="325">
        <v>330000.0</v>
      </c>
      <c r="G74" s="327" t="s">
        <v>1952</v>
      </c>
      <c r="H74" s="286" t="s">
        <v>33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tr">
        <f>B5</f>
        <v>신한 #672</v>
      </c>
      <c r="C75" s="323" t="s">
        <v>2454</v>
      </c>
      <c r="D75" s="323" t="s">
        <v>1953</v>
      </c>
      <c r="E75" s="337"/>
      <c r="F75" s="325">
        <v>37430.0</v>
      </c>
      <c r="G75" s="327" t="s">
        <v>1038</v>
      </c>
      <c r="H75" s="328" t="s">
        <v>4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tr">
        <f>B5</f>
        <v>신한 #672</v>
      </c>
      <c r="C76" s="323" t="s">
        <v>2454</v>
      </c>
      <c r="D76" s="323" t="s">
        <v>1953</v>
      </c>
      <c r="E76" s="337"/>
      <c r="F76" s="325">
        <v>37430.0</v>
      </c>
      <c r="G76" s="327" t="s">
        <v>1038</v>
      </c>
      <c r="H76" s="328" t="s">
        <v>4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tr">
        <f>B5</f>
        <v>신한 #672</v>
      </c>
      <c r="C77" s="323" t="s">
        <v>2454</v>
      </c>
      <c r="D77" s="323" t="s">
        <v>1953</v>
      </c>
      <c r="E77" s="337"/>
      <c r="F77" s="325">
        <v>50250.0</v>
      </c>
      <c r="G77" s="327" t="s">
        <v>1040</v>
      </c>
      <c r="H77" s="328" t="s">
        <v>4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tr">
        <f>B5</f>
        <v>신한 #672</v>
      </c>
      <c r="C78" s="323" t="s">
        <v>2454</v>
      </c>
      <c r="D78" s="323" t="s">
        <v>1953</v>
      </c>
      <c r="E78" s="337"/>
      <c r="F78" s="325">
        <v>20660.0</v>
      </c>
      <c r="G78" s="327" t="s">
        <v>1039</v>
      </c>
      <c r="H78" s="328" t="s">
        <v>4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tr">
        <f>B5</f>
        <v>신한 #672</v>
      </c>
      <c r="C79" s="323" t="s">
        <v>2454</v>
      </c>
      <c r="D79" s="323" t="s">
        <v>1953</v>
      </c>
      <c r="E79" s="337"/>
      <c r="F79" s="325">
        <v>20660.0</v>
      </c>
      <c r="G79" s="327" t="s">
        <v>1039</v>
      </c>
      <c r="H79" s="328" t="s">
        <v>4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tr">
        <f>B5</f>
        <v>신한 #672</v>
      </c>
      <c r="C80" s="323" t="s">
        <v>2454</v>
      </c>
      <c r="D80" s="323" t="s">
        <v>1954</v>
      </c>
      <c r="E80" s="337"/>
      <c r="F80" s="325">
        <v>98000.0</v>
      </c>
      <c r="G80" s="327" t="s">
        <v>1047</v>
      </c>
      <c r="H80" s="328" t="s">
        <v>4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 t="str">
        <f>B9</f>
        <v>기업 #019</v>
      </c>
      <c r="C81" s="323" t="s">
        <v>2454</v>
      </c>
      <c r="D81" s="323" t="s">
        <v>41</v>
      </c>
      <c r="E81" s="337"/>
      <c r="F81" s="414">
        <v>4.1388232E7</v>
      </c>
      <c r="G81" s="313" t="s">
        <v>41</v>
      </c>
      <c r="H81" s="328" t="s">
        <v>41</v>
      </c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 t="str">
        <f>B9</f>
        <v>기업 #019</v>
      </c>
      <c r="C82" s="323" t="s">
        <v>2454</v>
      </c>
      <c r="D82" s="323" t="s">
        <v>2455</v>
      </c>
      <c r="E82" s="337"/>
      <c r="F82" s="325">
        <v>5643870.0</v>
      </c>
      <c r="G82" s="313" t="s">
        <v>2455</v>
      </c>
      <c r="H82" s="328" t="s">
        <v>31</v>
      </c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 t="str">
        <f>B9</f>
        <v>기업 #019</v>
      </c>
      <c r="C83" s="323" t="s">
        <v>2454</v>
      </c>
      <c r="D83" s="323" t="s">
        <v>1825</v>
      </c>
      <c r="E83" s="337"/>
      <c r="F83" s="325">
        <f>3721860-10250</f>
        <v>3711610</v>
      </c>
      <c r="G83" s="313" t="s">
        <v>2456</v>
      </c>
      <c r="H83" s="328" t="s">
        <v>41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 t="str">
        <f>B9</f>
        <v>기업 #019</v>
      </c>
      <c r="C84" s="323" t="s">
        <v>2454</v>
      </c>
      <c r="D84" s="323" t="s">
        <v>1981</v>
      </c>
      <c r="E84" s="325"/>
      <c r="F84" s="325">
        <v>2.0E7</v>
      </c>
      <c r="G84" s="327" t="s">
        <v>2395</v>
      </c>
      <c r="H84" s="328" t="s">
        <v>556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 t="str">
        <f>B9</f>
        <v>기업 #019</v>
      </c>
      <c r="C85" s="323" t="s">
        <v>2454</v>
      </c>
      <c r="D85" s="323" t="s">
        <v>1981</v>
      </c>
      <c r="E85" s="325"/>
      <c r="F85" s="325">
        <v>4000000.0</v>
      </c>
      <c r="G85" s="327" t="s">
        <v>2395</v>
      </c>
      <c r="H85" s="328" t="s">
        <v>556</v>
      </c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 t="str">
        <f>B5</f>
        <v>신한 #672</v>
      </c>
      <c r="C86" s="323" t="s">
        <v>2454</v>
      </c>
      <c r="D86" s="323" t="s">
        <v>1981</v>
      </c>
      <c r="E86" s="325">
        <v>4000000.0</v>
      </c>
      <c r="F86" s="325"/>
      <c r="G86" s="327" t="s">
        <v>2395</v>
      </c>
      <c r="H86" s="328" t="s">
        <v>556</v>
      </c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 t="str">
        <f>B7</f>
        <v>하나 #304</v>
      </c>
      <c r="C87" s="323" t="s">
        <v>2454</v>
      </c>
      <c r="D87" s="323" t="s">
        <v>1981</v>
      </c>
      <c r="E87" s="325">
        <v>2.0E7</v>
      </c>
      <c r="F87" s="325"/>
      <c r="G87" s="327" t="s">
        <v>2395</v>
      </c>
      <c r="H87" s="328" t="s">
        <v>556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 t="str">
        <f>B9</f>
        <v>기업 #019</v>
      </c>
      <c r="C88" s="323" t="s">
        <v>2454</v>
      </c>
      <c r="D88" s="323" t="s">
        <v>2382</v>
      </c>
      <c r="E88" s="326">
        <v>8.0E7</v>
      </c>
      <c r="F88" s="424"/>
      <c r="G88" s="327" t="s">
        <v>2291</v>
      </c>
      <c r="H88" s="328" t="s">
        <v>945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 t="str">
        <f>B12</f>
        <v>WISE USD</v>
      </c>
      <c r="C89" s="323" t="s">
        <v>2457</v>
      </c>
      <c r="D89" s="391" t="s">
        <v>2299</v>
      </c>
      <c r="F89" s="443">
        <v>220.0</v>
      </c>
      <c r="G89" s="327" t="s">
        <v>1719</v>
      </c>
      <c r="H89" s="328" t="s">
        <v>33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 t="str">
        <f>B5</f>
        <v>신한 #672</v>
      </c>
      <c r="C90" s="323" t="s">
        <v>2458</v>
      </c>
      <c r="D90" s="429" t="s">
        <v>920</v>
      </c>
      <c r="E90" s="430"/>
      <c r="F90" s="424">
        <v>77000.0</v>
      </c>
      <c r="G90" s="415" t="s">
        <v>1006</v>
      </c>
      <c r="H90" s="412" t="s">
        <v>33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 t="str">
        <f>B12</f>
        <v>WISE USD</v>
      </c>
      <c r="C91" s="323" t="s">
        <v>2458</v>
      </c>
      <c r="D91" s="413" t="s">
        <v>2085</v>
      </c>
      <c r="E91" s="337">
        <v>194.64</v>
      </c>
      <c r="F91" s="325"/>
      <c r="G91" s="415" t="s">
        <v>2459</v>
      </c>
      <c r="H91" s="412" t="s">
        <v>2035</v>
      </c>
      <c r="I91" s="107">
        <f>1387.1*E91</f>
        <v>269985.144</v>
      </c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 t="str">
        <f>B12</f>
        <v>WISE USD</v>
      </c>
      <c r="C92" s="323" t="s">
        <v>2458</v>
      </c>
      <c r="D92" s="323" t="s">
        <v>2189</v>
      </c>
      <c r="E92" s="337"/>
      <c r="F92" s="337">
        <v>801.36</v>
      </c>
      <c r="G92" s="415" t="s">
        <v>2460</v>
      </c>
      <c r="H92" s="328" t="s">
        <v>930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 t="str">
        <f>B12</f>
        <v>WISE USD</v>
      </c>
      <c r="C93" s="323" t="s">
        <v>2458</v>
      </c>
      <c r="D93" s="323" t="s">
        <v>1072</v>
      </c>
      <c r="E93" s="337"/>
      <c r="F93" s="404">
        <v>36.13</v>
      </c>
      <c r="G93" s="327" t="s">
        <v>1565</v>
      </c>
      <c r="H93" s="328" t="s">
        <v>33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 t="str">
        <f>B12</f>
        <v>WISE USD</v>
      </c>
      <c r="C94" s="323" t="s">
        <v>2458</v>
      </c>
      <c r="D94" s="444" t="s">
        <v>2187</v>
      </c>
      <c r="E94" s="337"/>
      <c r="F94" s="337">
        <v>902.58</v>
      </c>
      <c r="G94" s="415" t="s">
        <v>2461</v>
      </c>
      <c r="H94" s="328" t="s">
        <v>930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 t="str">
        <f t="shared" ref="B95:B96" si="8">B12</f>
        <v>WISE USD</v>
      </c>
      <c r="C95" s="323" t="s">
        <v>2458</v>
      </c>
      <c r="D95" s="323" t="s">
        <v>1072</v>
      </c>
      <c r="E95" s="337"/>
      <c r="F95" s="404">
        <v>8.54</v>
      </c>
      <c r="G95" s="327" t="s">
        <v>1565</v>
      </c>
      <c r="H95" s="328" t="s">
        <v>33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 t="str">
        <f t="shared" si="8"/>
        <v>WISE SGD</v>
      </c>
      <c r="C96" s="323" t="s">
        <v>2462</v>
      </c>
      <c r="D96" s="391" t="s">
        <v>679</v>
      </c>
      <c r="F96" s="443">
        <v>2000.0</v>
      </c>
      <c r="G96" s="327" t="s">
        <v>679</v>
      </c>
      <c r="H96" s="328" t="s">
        <v>556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 t="str">
        <f>B12</f>
        <v>WISE USD</v>
      </c>
      <c r="C97" s="323" t="s">
        <v>2462</v>
      </c>
      <c r="D97" s="391" t="s">
        <v>679</v>
      </c>
      <c r="E97" s="443">
        <v>1550.79</v>
      </c>
      <c r="F97" s="424"/>
      <c r="G97" s="327" t="s">
        <v>679</v>
      </c>
      <c r="H97" s="328" t="s">
        <v>556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323"/>
      <c r="D98" s="323"/>
      <c r="E98" s="337"/>
      <c r="F98" s="404"/>
      <c r="G98" s="327"/>
      <c r="H98" s="328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323"/>
      <c r="D99" s="323"/>
      <c r="E99" s="325"/>
      <c r="F99" s="404"/>
      <c r="G99" s="327"/>
      <c r="H99" s="328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323"/>
      <c r="D100" s="323"/>
      <c r="E100" s="337"/>
      <c r="F100" s="337"/>
      <c r="G100" s="327"/>
      <c r="H100" s="328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323"/>
      <c r="D101" s="323"/>
      <c r="E101" s="337"/>
      <c r="F101" s="404"/>
      <c r="G101" s="327"/>
      <c r="H101" s="328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323"/>
      <c r="D102" s="323"/>
      <c r="E102" s="337"/>
      <c r="F102" s="337"/>
      <c r="G102" s="415"/>
      <c r="H102" s="328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323"/>
      <c r="D103" s="323"/>
      <c r="E103" s="337"/>
      <c r="F103" s="404"/>
      <c r="G103" s="327"/>
      <c r="H103" s="328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444"/>
      <c r="E104" s="337"/>
      <c r="F104" s="337"/>
      <c r="G104" s="415"/>
      <c r="H104" s="328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323"/>
      <c r="E105" s="337"/>
      <c r="F105" s="404"/>
      <c r="G105" s="327"/>
      <c r="H105" s="328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391"/>
      <c r="F106" s="443"/>
      <c r="G106" s="327"/>
      <c r="H106" s="328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323"/>
      <c r="D107" s="323"/>
      <c r="E107" s="337"/>
      <c r="F107" s="337"/>
      <c r="G107" s="327"/>
      <c r="H107" s="328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323"/>
      <c r="D108" s="323"/>
      <c r="E108" s="337"/>
      <c r="F108" s="404"/>
      <c r="G108" s="327"/>
      <c r="H108" s="328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323"/>
      <c r="D109" s="323"/>
      <c r="E109" s="337"/>
      <c r="F109" s="337"/>
      <c r="G109" s="415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37"/>
      <c r="F110" s="404"/>
      <c r="G110" s="327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444"/>
      <c r="E111" s="337"/>
      <c r="F111" s="337"/>
      <c r="G111" s="415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37"/>
      <c r="F112" s="404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323"/>
      <c r="E113" s="337"/>
      <c r="F113" s="404"/>
      <c r="G113" s="327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323"/>
      <c r="E114" s="449"/>
      <c r="F114" s="325"/>
      <c r="G114" s="327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4.25" customHeight="1">
      <c r="A115" s="105"/>
      <c r="B115" s="350"/>
      <c r="C115" s="323"/>
      <c r="D115" s="429"/>
      <c r="E115" s="449"/>
      <c r="F115" s="325"/>
      <c r="G115" s="415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</sheetData>
  <autoFilter ref="$B$24:$H$115">
    <sortState ref="B24:H115">
      <sortCondition ref="B24:B115"/>
    </sortState>
  </autoFilter>
  <customSheetViews>
    <customSheetView guid="{CD2BF927-9D79-47FC-BBA8-927062D6B3F5}" filter="1" showAutoFilter="1">
      <autoFilter ref="$B$24:$H$115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15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2463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'25.07월'!G5</f>
        <v>166156</v>
      </c>
      <c r="E5" s="355">
        <f t="shared" ref="E5:E17" si="1">sumif($B$25:$B$135,B5,$E$25:$E$135)</f>
        <v>3000000</v>
      </c>
      <c r="F5" s="356">
        <f t="shared" ref="F5:F17" si="2">sumif($B$25:$B$135,B5,$F$25:$F$135)</f>
        <v>2420505</v>
      </c>
      <c r="G5" s="229">
        <f t="shared" ref="G5:G17" si="3">D5+E5-F5</f>
        <v>745651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'25.07월'!G6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'25.07월'!G7</f>
        <v>6758355</v>
      </c>
      <c r="E7" s="359">
        <f t="shared" si="1"/>
        <v>12000000</v>
      </c>
      <c r="F7" s="360">
        <f t="shared" si="2"/>
        <v>14861257</v>
      </c>
      <c r="G7" s="239">
        <f t="shared" si="3"/>
        <v>3897098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'25.07월'!G8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'25.07월'!G9</f>
        <v>167188721</v>
      </c>
      <c r="E9" s="359">
        <f t="shared" si="1"/>
        <v>10436</v>
      </c>
      <c r="F9" s="360">
        <f t="shared" si="2"/>
        <v>74905193</v>
      </c>
      <c r="G9" s="239">
        <f t="shared" si="3"/>
        <v>92293964</v>
      </c>
      <c r="H9" s="439">
        <f>G5+G7+G9</f>
        <v>96936713</v>
      </c>
      <c r="I9" s="440">
        <f>(G5+G7+G9)/J3</f>
        <v>65821.32645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'25.07월'!G10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'25.07월'!G11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'25.07월'!G12</f>
        <v>463.57</v>
      </c>
      <c r="E12" s="361">
        <f t="shared" si="1"/>
        <v>0</v>
      </c>
      <c r="F12" s="362">
        <f t="shared" si="2"/>
        <v>220</v>
      </c>
      <c r="G12" s="329">
        <f t="shared" si="3"/>
        <v>243.57</v>
      </c>
      <c r="H12" s="422">
        <f>G12*J3</f>
        <v>358711.6282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'25.07월'!G13</f>
        <v>126.07</v>
      </c>
      <c r="E13" s="363">
        <f t="shared" si="1"/>
        <v>1575.09</v>
      </c>
      <c r="F13" s="364">
        <f t="shared" si="2"/>
        <v>0</v>
      </c>
      <c r="G13" s="320">
        <f t="shared" si="3"/>
        <v>1701.16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'25.07월'!G14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'25.07월'!G15</f>
        <v>21.33</v>
      </c>
      <c r="E15" s="361">
        <f t="shared" si="1"/>
        <v>0</v>
      </c>
      <c r="F15" s="358">
        <f t="shared" si="2"/>
        <v>0</v>
      </c>
      <c r="G15" s="235">
        <f t="shared" si="3"/>
        <v>21.33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'25.07월'!G16</f>
        <v>0</v>
      </c>
      <c r="E16" s="366">
        <f t="shared" si="1"/>
        <v>0</v>
      </c>
      <c r="F16" s="367">
        <f t="shared" si="2"/>
        <v>0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'25.07월'!G17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174113237</v>
      </c>
      <c r="E18" s="262">
        <f t="shared" si="4"/>
        <v>15010436</v>
      </c>
      <c r="F18" s="263">
        <f t="shared" si="4"/>
        <v>92186955</v>
      </c>
      <c r="G18" s="345">
        <f t="shared" si="4"/>
        <v>96936718</v>
      </c>
      <c r="H18" s="353">
        <f>G18</f>
        <v>96936718</v>
      </c>
      <c r="I18" s="353">
        <f>D18</f>
        <v>174113237</v>
      </c>
      <c r="J18" s="133">
        <f>G18</f>
        <v>96936718</v>
      </c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602.745998</v>
      </c>
      <c r="E19" s="269">
        <f t="shared" si="5"/>
        <v>0</v>
      </c>
      <c r="F19" s="270">
        <f t="shared" si="5"/>
        <v>220</v>
      </c>
      <c r="G19" s="346">
        <f t="shared" si="5"/>
        <v>382.745998</v>
      </c>
      <c r="H19" s="265">
        <f>rounddown(G19*$J$3,0)</f>
        <v>563679</v>
      </c>
      <c r="I19" s="265">
        <f>rounddown(D19*$J$3,0)</f>
        <v>887679</v>
      </c>
      <c r="J19" s="134">
        <f>G19*1388.6</f>
        <v>531481.0928</v>
      </c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126.07</v>
      </c>
      <c r="E20" s="274">
        <f t="shared" si="6"/>
        <v>1575.09</v>
      </c>
      <c r="F20" s="275">
        <f t="shared" si="6"/>
        <v>0</v>
      </c>
      <c r="G20" s="347">
        <f t="shared" si="6"/>
        <v>1701.16</v>
      </c>
      <c r="H20" s="277">
        <f>rounddown(G20*$J$4,0)</f>
        <v>1945931</v>
      </c>
      <c r="I20" s="277">
        <f>rounddown(D20*$J$4,0)</f>
        <v>144209</v>
      </c>
      <c r="J20" s="103">
        <f>G20*1067.01</f>
        <v>1815154.732</v>
      </c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J21" si="7">SUM(H18:H20)</f>
        <v>99446328</v>
      </c>
      <c r="I21" s="279">
        <f t="shared" si="7"/>
        <v>175145125</v>
      </c>
      <c r="J21" s="279">
        <f t="shared" si="7"/>
        <v>99283353.82</v>
      </c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-75698797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-51400.49704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tr">
        <f>B9</f>
        <v>기업 #019</v>
      </c>
      <c r="C25" s="323" t="s">
        <v>2464</v>
      </c>
      <c r="D25" s="323" t="s">
        <v>1552</v>
      </c>
      <c r="E25" s="337"/>
      <c r="F25" s="325">
        <v>168600.0</v>
      </c>
      <c r="G25" s="327" t="s">
        <v>1928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tr">
        <f>B9</f>
        <v>기업 #019</v>
      </c>
      <c r="C26" s="323" t="s">
        <v>2464</v>
      </c>
      <c r="D26" s="323" t="s">
        <v>789</v>
      </c>
      <c r="E26" s="337"/>
      <c r="F26" s="325">
        <v>6490990.0</v>
      </c>
      <c r="G26" s="327" t="s">
        <v>1390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tr">
        <f>B7</f>
        <v>하나 #304</v>
      </c>
      <c r="C27" s="323" t="s">
        <v>2464</v>
      </c>
      <c r="D27" s="323" t="s">
        <v>2048</v>
      </c>
      <c r="E27" s="337"/>
      <c r="F27" s="325">
        <v>3463625.0</v>
      </c>
      <c r="G27" s="327" t="s">
        <v>2049</v>
      </c>
      <c r="H27" s="328" t="s">
        <v>39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tr">
        <f>B7</f>
        <v>하나 #304</v>
      </c>
      <c r="C28" s="323" t="s">
        <v>2464</v>
      </c>
      <c r="D28" s="323" t="s">
        <v>1115</v>
      </c>
      <c r="E28" s="337"/>
      <c r="F28" s="325">
        <v>50952.0</v>
      </c>
      <c r="G28" s="327" t="s">
        <v>1073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tr">
        <f>B9</f>
        <v>기업 #019</v>
      </c>
      <c r="C29" s="323" t="s">
        <v>2465</v>
      </c>
      <c r="D29" s="323" t="s">
        <v>2398</v>
      </c>
      <c r="E29" s="337"/>
      <c r="F29" s="325">
        <v>289870.0</v>
      </c>
      <c r="G29" s="327" t="s">
        <v>2398</v>
      </c>
      <c r="H29" s="328" t="s">
        <v>31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tr">
        <f>B9</f>
        <v>기업 #019</v>
      </c>
      <c r="C30" s="323" t="s">
        <v>2465</v>
      </c>
      <c r="D30" s="323" t="s">
        <v>2399</v>
      </c>
      <c r="E30" s="337"/>
      <c r="F30" s="325">
        <v>4193220.0</v>
      </c>
      <c r="G30" s="313" t="s">
        <v>2399</v>
      </c>
      <c r="H30" s="328" t="s">
        <v>31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tr">
        <f>B9</f>
        <v>기업 #019</v>
      </c>
      <c r="C31" s="323" t="s">
        <v>2465</v>
      </c>
      <c r="D31" s="323" t="s">
        <v>2400</v>
      </c>
      <c r="E31" s="337"/>
      <c r="F31" s="325">
        <v>825520.0</v>
      </c>
      <c r="G31" s="313" t="s">
        <v>2400</v>
      </c>
      <c r="H31" s="328" t="s">
        <v>31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tr">
        <f>B9</f>
        <v>기업 #019</v>
      </c>
      <c r="C32" s="323" t="s">
        <v>2465</v>
      </c>
      <c r="D32" s="323" t="s">
        <v>2401</v>
      </c>
      <c r="E32" s="337"/>
      <c r="F32" s="325">
        <v>3756640.0</v>
      </c>
      <c r="G32" s="313" t="s">
        <v>2401</v>
      </c>
      <c r="H32" s="328" t="s">
        <v>31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tr">
        <f>B9</f>
        <v>기업 #019</v>
      </c>
      <c r="C33" s="323" t="s">
        <v>2466</v>
      </c>
      <c r="D33" s="379" t="s">
        <v>84</v>
      </c>
      <c r="E33" s="425"/>
      <c r="F33" s="325">
        <v>1390498.0</v>
      </c>
      <c r="G33" s="354" t="s">
        <v>1660</v>
      </c>
      <c r="H33" s="450" t="s">
        <v>1642</v>
      </c>
      <c r="I33" s="107"/>
      <c r="J33" s="141"/>
      <c r="K33" s="138"/>
      <c r="L33" s="83"/>
      <c r="M33" s="83" t="s">
        <v>1207</v>
      </c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tr">
        <f>B9</f>
        <v>기업 #019</v>
      </c>
      <c r="C34" s="323" t="s">
        <v>2466</v>
      </c>
      <c r="D34" s="379" t="s">
        <v>906</v>
      </c>
      <c r="E34" s="325">
        <v>10436.0</v>
      </c>
      <c r="F34" s="425"/>
      <c r="G34" s="354" t="s">
        <v>2218</v>
      </c>
      <c r="H34" s="450" t="s">
        <v>75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tr">
        <f>B13</f>
        <v>WISE SGD</v>
      </c>
      <c r="C35" s="323" t="s">
        <v>2467</v>
      </c>
      <c r="D35" s="323" t="s">
        <v>2068</v>
      </c>
      <c r="E35" s="337">
        <v>1575.09</v>
      </c>
      <c r="F35" s="325"/>
      <c r="G35" s="327" t="s">
        <v>2468</v>
      </c>
      <c r="H35" s="328" t="s">
        <v>2035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tr">
        <f>B5</f>
        <v>신한 #672</v>
      </c>
      <c r="C36" s="323" t="s">
        <v>2469</v>
      </c>
      <c r="D36" s="323" t="s">
        <v>1202</v>
      </c>
      <c r="E36" s="326"/>
      <c r="F36" s="326">
        <v>110000.0</v>
      </c>
      <c r="G36" s="327" t="s">
        <v>1202</v>
      </c>
      <c r="H36" s="286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2469</v>
      </c>
      <c r="D37" s="323" t="s">
        <v>1299</v>
      </c>
      <c r="E37" s="337"/>
      <c r="F37" s="325">
        <v>62500.0</v>
      </c>
      <c r="G37" s="327" t="s">
        <v>2470</v>
      </c>
      <c r="H37" s="328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tr">
        <f>B9</f>
        <v>기업 #019</v>
      </c>
      <c r="C38" s="323" t="s">
        <v>2471</v>
      </c>
      <c r="D38" s="323" t="s">
        <v>2472</v>
      </c>
      <c r="E38" s="325"/>
      <c r="F38" s="414">
        <v>792000.0</v>
      </c>
      <c r="G38" s="327" t="s">
        <v>1632</v>
      </c>
      <c r="H38" s="286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281" t="str">
        <f>B7</f>
        <v>하나 #304</v>
      </c>
      <c r="C39" s="323" t="s">
        <v>2471</v>
      </c>
      <c r="D39" s="323" t="s">
        <v>721</v>
      </c>
      <c r="E39" s="326"/>
      <c r="F39" s="424">
        <f>10161480+1185200</f>
        <v>11346680</v>
      </c>
      <c r="G39" s="327" t="s">
        <v>721</v>
      </c>
      <c r="H39" s="286" t="s">
        <v>33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tr">
        <f>B5</f>
        <v>신한 #672</v>
      </c>
      <c r="C40" s="323" t="s">
        <v>2471</v>
      </c>
      <c r="D40" s="323" t="s">
        <v>1633</v>
      </c>
      <c r="E40" s="326"/>
      <c r="F40" s="424">
        <v>1504026.0</v>
      </c>
      <c r="G40" s="327" t="s">
        <v>1633</v>
      </c>
      <c r="H40" s="286" t="s">
        <v>33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tr">
        <f>B9</f>
        <v>기업 #019</v>
      </c>
      <c r="C41" s="323" t="s">
        <v>2471</v>
      </c>
      <c r="D41" s="323" t="s">
        <v>1669</v>
      </c>
      <c r="E41" s="326"/>
      <c r="F41" s="424">
        <v>842385.0</v>
      </c>
      <c r="G41" s="327" t="s">
        <v>1669</v>
      </c>
      <c r="H41" s="286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tr">
        <f>B5</f>
        <v>신한 #672</v>
      </c>
      <c r="C42" s="323" t="s">
        <v>2471</v>
      </c>
      <c r="D42" s="323" t="s">
        <v>1950</v>
      </c>
      <c r="E42" s="337"/>
      <c r="F42" s="325">
        <v>55700.0</v>
      </c>
      <c r="G42" s="327" t="s">
        <v>1951</v>
      </c>
      <c r="H42" s="286" t="s">
        <v>27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tr">
        <f>B5</f>
        <v>신한 #672</v>
      </c>
      <c r="C43" s="323" t="s">
        <v>2471</v>
      </c>
      <c r="D43" s="323" t="s">
        <v>497</v>
      </c>
      <c r="E43" s="337"/>
      <c r="F43" s="325">
        <v>330000.0</v>
      </c>
      <c r="G43" s="327" t="s">
        <v>1952</v>
      </c>
      <c r="H43" s="286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tr">
        <f>B5</f>
        <v>신한 #672</v>
      </c>
      <c r="C44" s="323" t="s">
        <v>2471</v>
      </c>
      <c r="D44" s="323" t="s">
        <v>1953</v>
      </c>
      <c r="E44" s="337"/>
      <c r="F44" s="325">
        <v>37430.0</v>
      </c>
      <c r="G44" s="327" t="s">
        <v>1038</v>
      </c>
      <c r="H44" s="328" t="s">
        <v>4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tr">
        <f>B5</f>
        <v>신한 #672</v>
      </c>
      <c r="C45" s="323" t="s">
        <v>2471</v>
      </c>
      <c r="D45" s="323" t="s">
        <v>1953</v>
      </c>
      <c r="E45" s="337"/>
      <c r="F45" s="325">
        <v>37430.0</v>
      </c>
      <c r="G45" s="327" t="s">
        <v>1038</v>
      </c>
      <c r="H45" s="328" t="s">
        <v>4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tr">
        <f>B5</f>
        <v>신한 #672</v>
      </c>
      <c r="C46" s="323" t="s">
        <v>2471</v>
      </c>
      <c r="D46" s="323" t="s">
        <v>1953</v>
      </c>
      <c r="E46" s="337"/>
      <c r="F46" s="325">
        <v>50250.0</v>
      </c>
      <c r="G46" s="327" t="s">
        <v>1040</v>
      </c>
      <c r="H46" s="328" t="s">
        <v>4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tr">
        <f>B5</f>
        <v>신한 #672</v>
      </c>
      <c r="C47" s="323" t="s">
        <v>2471</v>
      </c>
      <c r="D47" s="323" t="s">
        <v>1953</v>
      </c>
      <c r="E47" s="337"/>
      <c r="F47" s="325">
        <v>20660.0</v>
      </c>
      <c r="G47" s="327" t="s">
        <v>1039</v>
      </c>
      <c r="H47" s="328" t="s">
        <v>4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tr">
        <f>B5</f>
        <v>신한 #672</v>
      </c>
      <c r="C48" s="323" t="s">
        <v>2471</v>
      </c>
      <c r="D48" s="323" t="s">
        <v>1953</v>
      </c>
      <c r="E48" s="337"/>
      <c r="F48" s="325">
        <v>20660.0</v>
      </c>
      <c r="G48" s="327" t="s">
        <v>1039</v>
      </c>
      <c r="H48" s="328" t="s">
        <v>4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tr">
        <f>B5</f>
        <v>신한 #672</v>
      </c>
      <c r="C49" s="323" t="s">
        <v>2471</v>
      </c>
      <c r="D49" s="323" t="s">
        <v>1954</v>
      </c>
      <c r="E49" s="337"/>
      <c r="F49" s="325">
        <v>98000.0</v>
      </c>
      <c r="G49" s="327" t="s">
        <v>1047</v>
      </c>
      <c r="H49" s="328" t="s">
        <v>4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tr">
        <f>B9</f>
        <v>기업 #019</v>
      </c>
      <c r="C50" s="323" t="s">
        <v>2471</v>
      </c>
      <c r="D50" s="323" t="s">
        <v>41</v>
      </c>
      <c r="E50" s="337"/>
      <c r="F50" s="414">
        <v>4.106717E7</v>
      </c>
      <c r="G50" s="313" t="s">
        <v>41</v>
      </c>
      <c r="H50" s="328" t="s">
        <v>41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tr">
        <f>B9</f>
        <v>기업 #019</v>
      </c>
      <c r="C51" s="323" t="s">
        <v>2471</v>
      </c>
      <c r="D51" s="323" t="s">
        <v>2149</v>
      </c>
      <c r="E51" s="337"/>
      <c r="F51" s="325">
        <v>14000.0</v>
      </c>
      <c r="G51" s="327" t="s">
        <v>1438</v>
      </c>
      <c r="H51" s="328" t="s">
        <v>4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tr">
        <f>B9</f>
        <v>기업 #019</v>
      </c>
      <c r="C52" s="323" t="s">
        <v>2471</v>
      </c>
      <c r="D52" s="323" t="s">
        <v>2002</v>
      </c>
      <c r="E52" s="337"/>
      <c r="F52" s="325">
        <v>11800.0</v>
      </c>
      <c r="G52" s="327" t="s">
        <v>1438</v>
      </c>
      <c r="H52" s="328" t="s">
        <v>4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281" t="str">
        <f>B5</f>
        <v>신한 #672</v>
      </c>
      <c r="C53" s="323" t="s">
        <v>2471</v>
      </c>
      <c r="D53" s="323" t="s">
        <v>1981</v>
      </c>
      <c r="E53" s="326">
        <v>2000000.0</v>
      </c>
      <c r="F53" s="326"/>
      <c r="G53" s="327" t="s">
        <v>1035</v>
      </c>
      <c r="H53" s="328" t="s">
        <v>556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tr">
        <f>B9</f>
        <v>기업 #019</v>
      </c>
      <c r="C54" s="323" t="s">
        <v>2471</v>
      </c>
      <c r="D54" s="323" t="s">
        <v>1981</v>
      </c>
      <c r="E54" s="326"/>
      <c r="F54" s="326">
        <v>2000000.0</v>
      </c>
      <c r="G54" s="327" t="s">
        <v>1035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tr">
        <f>B7</f>
        <v>하나 #304</v>
      </c>
      <c r="C55" s="323" t="s">
        <v>2471</v>
      </c>
      <c r="D55" s="323" t="s">
        <v>1981</v>
      </c>
      <c r="E55" s="326">
        <v>1.2E7</v>
      </c>
      <c r="F55" s="326"/>
      <c r="G55" s="327" t="s">
        <v>1035</v>
      </c>
      <c r="H55" s="328" t="s">
        <v>556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tr">
        <f>B9</f>
        <v>기업 #019</v>
      </c>
      <c r="C56" s="323" t="s">
        <v>2471</v>
      </c>
      <c r="D56" s="323" t="s">
        <v>1981</v>
      </c>
      <c r="E56" s="326"/>
      <c r="F56" s="326">
        <v>1.2E7</v>
      </c>
      <c r="G56" s="327" t="s">
        <v>1035</v>
      </c>
      <c r="H56" s="328" t="s">
        <v>556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tr">
        <f>B5</f>
        <v>신한 #672</v>
      </c>
      <c r="C57" s="323" t="s">
        <v>2471</v>
      </c>
      <c r="D57" s="323" t="s">
        <v>1981</v>
      </c>
      <c r="E57" s="326">
        <v>1000000.0</v>
      </c>
      <c r="F57" s="326"/>
      <c r="G57" s="327" t="s">
        <v>1035</v>
      </c>
      <c r="H57" s="328" t="s">
        <v>556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tr">
        <f>B9</f>
        <v>기업 #019</v>
      </c>
      <c r="C58" s="323" t="s">
        <v>2471</v>
      </c>
      <c r="D58" s="323" t="s">
        <v>1981</v>
      </c>
      <c r="E58" s="326"/>
      <c r="F58" s="424">
        <v>1000000.0</v>
      </c>
      <c r="G58" s="327" t="s">
        <v>1035</v>
      </c>
      <c r="H58" s="328" t="s">
        <v>556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tr">
        <f>B5</f>
        <v>신한 #672</v>
      </c>
      <c r="C59" s="323" t="s">
        <v>2473</v>
      </c>
      <c r="D59" s="323" t="s">
        <v>1633</v>
      </c>
      <c r="E59" s="326"/>
      <c r="F59" s="424">
        <v>74179.0</v>
      </c>
      <c r="G59" s="327" t="s">
        <v>1633</v>
      </c>
      <c r="H59" s="286" t="s">
        <v>33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">
        <v>14</v>
      </c>
      <c r="C60" s="323" t="s">
        <v>2474</v>
      </c>
      <c r="D60" s="323" t="s">
        <v>920</v>
      </c>
      <c r="E60" s="337"/>
      <c r="F60" s="414">
        <v>82170.0</v>
      </c>
      <c r="G60" s="327" t="s">
        <v>1006</v>
      </c>
      <c r="H60" s="286" t="s">
        <v>33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">
        <v>18</v>
      </c>
      <c r="C61" s="323" t="s">
        <v>2475</v>
      </c>
      <c r="D61" s="374" t="s">
        <v>2299</v>
      </c>
      <c r="E61" s="451"/>
      <c r="F61" s="403">
        <v>220.0</v>
      </c>
      <c r="G61" s="313" t="s">
        <v>1719</v>
      </c>
      <c r="H61" s="328" t="s">
        <v>33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/>
      <c r="C62" s="323"/>
      <c r="D62" s="374"/>
      <c r="E62" s="325"/>
      <c r="F62" s="414"/>
      <c r="G62" s="327"/>
      <c r="H62" s="328"/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/>
      <c r="C63" s="323"/>
      <c r="D63" s="413"/>
      <c r="E63" s="424"/>
      <c r="F63" s="414"/>
      <c r="G63" s="327"/>
      <c r="H63" s="328"/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/>
      <c r="C64" s="323"/>
      <c r="D64" s="323"/>
      <c r="E64" s="337"/>
      <c r="F64" s="325"/>
      <c r="G64" s="327"/>
      <c r="H64" s="328"/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/>
      <c r="C65" s="323"/>
      <c r="D65" s="323"/>
      <c r="E65" s="326"/>
      <c r="F65" s="326"/>
      <c r="G65" s="327"/>
      <c r="H65" s="286"/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/>
      <c r="C66" s="323"/>
      <c r="D66" s="323"/>
      <c r="E66" s="325"/>
      <c r="F66" s="414"/>
      <c r="G66" s="327"/>
      <c r="H66" s="286"/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/>
      <c r="C67" s="323"/>
      <c r="D67" s="323"/>
      <c r="E67" s="325"/>
      <c r="F67" s="414"/>
      <c r="G67" s="327"/>
      <c r="H67" s="286"/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/>
      <c r="C68" s="323"/>
      <c r="D68" s="323"/>
      <c r="E68" s="326"/>
      <c r="F68" s="424"/>
      <c r="G68" s="327"/>
      <c r="H68" s="286"/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/>
      <c r="C69" s="323"/>
      <c r="D69" s="323"/>
      <c r="E69" s="326"/>
      <c r="F69" s="424"/>
      <c r="G69" s="327"/>
      <c r="H69" s="286"/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281"/>
      <c r="C70" s="323"/>
      <c r="D70" s="323"/>
      <c r="E70" s="326"/>
      <c r="F70" s="424"/>
      <c r="G70" s="327"/>
      <c r="H70" s="286"/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/>
      <c r="C71" s="323"/>
      <c r="D71" s="323"/>
      <c r="E71" s="337"/>
      <c r="F71" s="325"/>
      <c r="G71" s="327"/>
      <c r="H71" s="286"/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/>
      <c r="C72" s="323"/>
      <c r="D72" s="323"/>
      <c r="E72" s="337"/>
      <c r="F72" s="325"/>
      <c r="G72" s="327"/>
      <c r="H72" s="286"/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/>
      <c r="C73" s="323"/>
      <c r="D73" s="323"/>
      <c r="E73" s="337"/>
      <c r="F73" s="325"/>
      <c r="G73" s="327"/>
      <c r="H73" s="328"/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/>
      <c r="C74" s="323"/>
      <c r="D74" s="323"/>
      <c r="E74" s="337"/>
      <c r="F74" s="325"/>
      <c r="G74" s="327"/>
      <c r="H74" s="328"/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/>
      <c r="C75" s="323"/>
      <c r="D75" s="323"/>
      <c r="E75" s="337"/>
      <c r="F75" s="325"/>
      <c r="G75" s="327"/>
      <c r="H75" s="328"/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323"/>
      <c r="D76" s="323"/>
      <c r="E76" s="337"/>
      <c r="F76" s="325"/>
      <c r="G76" s="327"/>
      <c r="H76" s="328"/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323"/>
      <c r="D77" s="323"/>
      <c r="E77" s="337"/>
      <c r="F77" s="325"/>
      <c r="G77" s="327"/>
      <c r="H77" s="328"/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323"/>
      <c r="D78" s="323"/>
      <c r="E78" s="337"/>
      <c r="F78" s="325"/>
      <c r="G78" s="327"/>
      <c r="H78" s="328"/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323"/>
      <c r="D79" s="323"/>
      <c r="E79" s="337"/>
      <c r="F79" s="414"/>
      <c r="G79" s="313"/>
      <c r="H79" s="328"/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323"/>
      <c r="D80" s="323"/>
      <c r="E80" s="337"/>
      <c r="F80" s="325"/>
      <c r="G80" s="327"/>
      <c r="H80" s="328"/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323"/>
      <c r="D81" s="323"/>
      <c r="E81" s="337"/>
      <c r="F81" s="414"/>
      <c r="G81" s="313"/>
      <c r="H81" s="328"/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323"/>
      <c r="D82" s="323"/>
      <c r="E82" s="337"/>
      <c r="F82" s="325"/>
      <c r="G82" s="313"/>
      <c r="H82" s="328"/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323"/>
      <c r="D83" s="323"/>
      <c r="E83" s="337"/>
      <c r="F83" s="325"/>
      <c r="G83" s="313"/>
      <c r="H83" s="328"/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323"/>
      <c r="D84" s="323"/>
      <c r="E84" s="325"/>
      <c r="F84" s="325"/>
      <c r="G84" s="327"/>
      <c r="H84" s="328"/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323"/>
      <c r="D85" s="323"/>
      <c r="E85" s="325"/>
      <c r="F85" s="325"/>
      <c r="G85" s="327"/>
      <c r="H85" s="328"/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323"/>
      <c r="D86" s="323"/>
      <c r="E86" s="325"/>
      <c r="F86" s="325"/>
      <c r="G86" s="327"/>
      <c r="H86" s="328"/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323"/>
      <c r="D87" s="323"/>
      <c r="E87" s="325"/>
      <c r="F87" s="325"/>
      <c r="G87" s="327"/>
      <c r="H87" s="328"/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323"/>
      <c r="D88" s="323"/>
      <c r="E88" s="326"/>
      <c r="F88" s="424"/>
      <c r="G88" s="327"/>
      <c r="H88" s="328"/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323"/>
      <c r="D89" s="391"/>
      <c r="F89" s="443"/>
      <c r="G89" s="327"/>
      <c r="H89" s="328"/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323"/>
      <c r="D90" s="429"/>
      <c r="E90" s="430"/>
      <c r="F90" s="424"/>
      <c r="G90" s="415"/>
      <c r="H90" s="412"/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323"/>
      <c r="D91" s="323"/>
      <c r="E91" s="337"/>
      <c r="F91" s="325"/>
      <c r="G91" s="327"/>
      <c r="H91" s="328"/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323"/>
      <c r="D92" s="323"/>
      <c r="E92" s="337"/>
      <c r="F92" s="325"/>
      <c r="G92" s="327"/>
      <c r="H92" s="328"/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323"/>
      <c r="D93" s="323"/>
      <c r="E93" s="337"/>
      <c r="F93" s="325"/>
      <c r="G93" s="327"/>
      <c r="H93" s="328"/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323"/>
      <c r="D94" s="323"/>
      <c r="E94" s="337"/>
      <c r="F94" s="325"/>
      <c r="G94" s="327"/>
      <c r="H94" s="328"/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323"/>
      <c r="D95" s="323"/>
      <c r="E95" s="337"/>
      <c r="F95" s="325"/>
      <c r="G95" s="327"/>
      <c r="H95" s="328"/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323"/>
      <c r="D96" s="323"/>
      <c r="E96" s="337"/>
      <c r="F96" s="325"/>
      <c r="G96" s="327"/>
      <c r="H96" s="328"/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323"/>
      <c r="D97" s="323"/>
      <c r="E97" s="337"/>
      <c r="F97" s="325"/>
      <c r="G97" s="313"/>
      <c r="H97" s="328"/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323"/>
      <c r="D98" s="323"/>
      <c r="E98" s="337"/>
      <c r="F98" s="325"/>
      <c r="G98" s="313"/>
      <c r="H98" s="328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323"/>
      <c r="D99" s="323"/>
      <c r="E99" s="337"/>
      <c r="F99" s="325"/>
      <c r="G99" s="313"/>
      <c r="H99" s="328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323"/>
      <c r="D100" s="323"/>
      <c r="E100" s="325"/>
      <c r="F100" s="414"/>
      <c r="G100" s="327"/>
      <c r="H100" s="286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323"/>
      <c r="D101" s="323"/>
      <c r="E101" s="325"/>
      <c r="F101" s="414"/>
      <c r="G101" s="327"/>
      <c r="H101" s="286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323"/>
      <c r="D102" s="323"/>
      <c r="E102" s="326"/>
      <c r="F102" s="424"/>
      <c r="G102" s="327"/>
      <c r="H102" s="286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323"/>
      <c r="D103" s="323"/>
      <c r="E103" s="326"/>
      <c r="F103" s="424"/>
      <c r="G103" s="327"/>
      <c r="H103" s="286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323"/>
      <c r="E104" s="326"/>
      <c r="F104" s="424"/>
      <c r="G104" s="327"/>
      <c r="H104" s="286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323"/>
      <c r="E105" s="337"/>
      <c r="F105" s="325"/>
      <c r="G105" s="327"/>
      <c r="H105" s="286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323"/>
      <c r="E106" s="337"/>
      <c r="F106" s="325"/>
      <c r="G106" s="327"/>
      <c r="H106" s="286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323"/>
      <c r="D107" s="323"/>
      <c r="E107" s="337"/>
      <c r="F107" s="325"/>
      <c r="G107" s="327"/>
      <c r="H107" s="328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323"/>
      <c r="D108" s="323"/>
      <c r="E108" s="337"/>
      <c r="F108" s="325"/>
      <c r="G108" s="327"/>
      <c r="H108" s="328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323"/>
      <c r="D109" s="323"/>
      <c r="E109" s="337"/>
      <c r="F109" s="325"/>
      <c r="G109" s="327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37"/>
      <c r="F110" s="325"/>
      <c r="G110" s="327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323"/>
      <c r="E111" s="337"/>
      <c r="F111" s="325"/>
      <c r="G111" s="327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37"/>
      <c r="F112" s="325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>
      <c r="C113" s="323"/>
    </row>
    <row r="114" ht="15.0" customHeight="1">
      <c r="A114" s="105"/>
      <c r="C114" s="323"/>
      <c r="I114" s="107"/>
      <c r="J114" s="141"/>
      <c r="K114" s="141"/>
      <c r="L114" s="83"/>
      <c r="M114" s="84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</row>
    <row r="115" ht="15.0" customHeight="1">
      <c r="A115" s="105"/>
      <c r="C115" s="323"/>
      <c r="D115" s="323"/>
      <c r="E115" s="337"/>
      <c r="F115" s="325"/>
      <c r="G115" s="327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C116" s="323"/>
      <c r="D116" s="323"/>
      <c r="E116" s="326"/>
      <c r="F116" s="424"/>
      <c r="G116" s="327"/>
      <c r="H116" s="286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C117" s="323"/>
      <c r="D117" s="323"/>
      <c r="E117" s="326"/>
      <c r="F117" s="424"/>
      <c r="G117" s="327"/>
      <c r="H117" s="286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C118" s="323"/>
      <c r="D118" s="323"/>
      <c r="E118" s="326"/>
      <c r="F118" s="424"/>
      <c r="G118" s="327"/>
      <c r="H118" s="286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C119" s="323"/>
      <c r="D119" s="323"/>
      <c r="E119" s="337"/>
      <c r="F119" s="325"/>
      <c r="G119" s="327"/>
      <c r="H119" s="286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>
      <c r="C120" s="323"/>
      <c r="D120" s="323"/>
      <c r="E120" s="337"/>
      <c r="F120" s="325"/>
      <c r="G120" s="327"/>
      <c r="H120" s="286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341"/>
      <c r="C121" s="323"/>
      <c r="D121" s="323"/>
      <c r="E121" s="337"/>
      <c r="F121" s="325"/>
      <c r="G121" s="327"/>
      <c r="H121" s="328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C122" s="323"/>
      <c r="D122" s="323"/>
      <c r="E122" s="337"/>
      <c r="F122" s="325"/>
      <c r="G122" s="327"/>
      <c r="H122" s="328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D123" s="323"/>
      <c r="E123" s="337"/>
      <c r="F123" s="325"/>
      <c r="G123" s="327"/>
      <c r="H123" s="328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D124" s="323"/>
      <c r="E124" s="337"/>
      <c r="F124" s="325"/>
      <c r="G124" s="327"/>
      <c r="H124" s="328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D125" s="323"/>
      <c r="E125" s="337"/>
      <c r="F125" s="325"/>
      <c r="G125" s="327"/>
      <c r="H125" s="328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D126" s="323"/>
      <c r="E126" s="337"/>
      <c r="F126" s="325"/>
      <c r="G126" s="327"/>
      <c r="H126" s="328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D127" s="323"/>
      <c r="E127" s="337"/>
      <c r="F127" s="414"/>
      <c r="G127" s="313"/>
      <c r="H127" s="328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D128" s="444"/>
      <c r="E128" s="337"/>
      <c r="F128" s="337"/>
      <c r="G128" s="415"/>
      <c r="H128" s="328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D129" s="323"/>
      <c r="E129" s="337"/>
      <c r="F129" s="404"/>
      <c r="G129" s="327"/>
      <c r="H129" s="328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H130" s="328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H131" s="328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H132" s="328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H133" s="328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H134" s="328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H135" s="328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H136" s="328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H137" s="328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H138" s="328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H139" s="328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H140" s="328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H141" s="328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H142" s="328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H143" s="328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H144" s="328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H145" s="328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H146" s="328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H147" s="328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H148" s="328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H149" s="328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H150" s="328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H151" s="328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H152" s="328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H153" s="328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H154" s="328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H155" s="328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</sheetData>
  <autoFilter ref="$B$24:$H$112">
    <sortState ref="B24:H112">
      <sortCondition ref="B24:B112"/>
    </sortState>
  </autoFilter>
  <customSheetViews>
    <customSheetView guid="{CD2BF927-9D79-47FC-BBA8-927062D6B3F5}" filter="1" showAutoFilter="1">
      <autoFilter ref="$B$24:$H$112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12 H115:H155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2476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'25.08월'!G5</f>
        <v>745651</v>
      </c>
      <c r="E5" s="355">
        <f t="shared" ref="E5:E17" si="1">sumif($B$25:$B$184,B5,$E$25:$E$184)</f>
        <v>2000163</v>
      </c>
      <c r="F5" s="356">
        <f t="shared" ref="F5:F17" si="2">sumif($B$25:$B$184,B5,$F$25:$F$184)</f>
        <v>2648610</v>
      </c>
      <c r="G5" s="229">
        <f t="shared" ref="G5:G17" si="3">D5+E5-F5</f>
        <v>97204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'25.08월'!G6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'25.08월'!G7</f>
        <v>3897098</v>
      </c>
      <c r="E7" s="359">
        <f t="shared" si="1"/>
        <v>15000686</v>
      </c>
      <c r="F7" s="360">
        <f t="shared" si="2"/>
        <v>14307501</v>
      </c>
      <c r="G7" s="239">
        <f t="shared" si="3"/>
        <v>4590283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'25.08월'!G8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'25.08월'!G9</f>
        <v>92293964</v>
      </c>
      <c r="E9" s="359">
        <f t="shared" si="1"/>
        <v>240017728</v>
      </c>
      <c r="F9" s="360">
        <f t="shared" si="2"/>
        <v>154323053</v>
      </c>
      <c r="G9" s="239">
        <f t="shared" si="3"/>
        <v>177988639</v>
      </c>
      <c r="H9" s="439">
        <f>G5+G7+G9</f>
        <v>182676126</v>
      </c>
      <c r="I9" s="440">
        <f>(G5+G7+G9)/J3</f>
        <v>124039.5362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'25.08월'!G10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'25.08월'!G11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'25.08월'!G12</f>
        <v>243.57</v>
      </c>
      <c r="E12" s="361">
        <f t="shared" si="1"/>
        <v>205188.02</v>
      </c>
      <c r="F12" s="362">
        <f t="shared" si="2"/>
        <v>1716.16</v>
      </c>
      <c r="G12" s="329">
        <f t="shared" si="3"/>
        <v>203715.43</v>
      </c>
      <c r="H12" s="422">
        <f>G12*J3</f>
        <v>300016806.6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'25.08월'!G13</f>
        <v>1701.16</v>
      </c>
      <c r="E13" s="363">
        <f t="shared" si="1"/>
        <v>543.04</v>
      </c>
      <c r="F13" s="364">
        <f t="shared" si="2"/>
        <v>1785.56</v>
      </c>
      <c r="G13" s="320">
        <f t="shared" si="3"/>
        <v>458.64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'25.08월'!G14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'25.08월'!G15</f>
        <v>21.33</v>
      </c>
      <c r="E15" s="361">
        <f t="shared" si="1"/>
        <v>0</v>
      </c>
      <c r="F15" s="358">
        <f t="shared" si="2"/>
        <v>0</v>
      </c>
      <c r="G15" s="235">
        <f t="shared" si="3"/>
        <v>21.33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'25.08월'!G16</f>
        <v>0</v>
      </c>
      <c r="E16" s="366">
        <f t="shared" si="1"/>
        <v>0</v>
      </c>
      <c r="F16" s="367">
        <f t="shared" si="2"/>
        <v>0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'25.08월'!G17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96936718</v>
      </c>
      <c r="E18" s="262">
        <f t="shared" si="4"/>
        <v>257018577</v>
      </c>
      <c r="F18" s="263">
        <f t="shared" si="4"/>
        <v>171279164</v>
      </c>
      <c r="G18" s="345">
        <f t="shared" si="4"/>
        <v>182676131</v>
      </c>
      <c r="H18" s="353">
        <f>G18</f>
        <v>182676131</v>
      </c>
      <c r="I18" s="353">
        <f>D18</f>
        <v>96936718</v>
      </c>
      <c r="J18" s="133">
        <f>G18</f>
        <v>182676131</v>
      </c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382.745998</v>
      </c>
      <c r="E19" s="269">
        <f t="shared" si="5"/>
        <v>205188.02</v>
      </c>
      <c r="F19" s="270">
        <f t="shared" si="5"/>
        <v>1716.16</v>
      </c>
      <c r="G19" s="346">
        <f t="shared" si="5"/>
        <v>203854.606</v>
      </c>
      <c r="H19" s="265">
        <f>rounddown(G19*$J$3,0)</f>
        <v>300221774</v>
      </c>
      <c r="I19" s="265">
        <f>rounddown(D19*$J$3,0)</f>
        <v>563679</v>
      </c>
      <c r="J19" s="134">
        <f>G19*1402.2</f>
        <v>285844928.5</v>
      </c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1701.16</v>
      </c>
      <c r="E20" s="274">
        <f t="shared" si="6"/>
        <v>543.04</v>
      </c>
      <c r="F20" s="275">
        <f t="shared" si="6"/>
        <v>1785.56</v>
      </c>
      <c r="G20" s="347">
        <f t="shared" si="6"/>
        <v>458.64</v>
      </c>
      <c r="H20" s="277">
        <f>rounddown(G20*$J$4,0)</f>
        <v>524631</v>
      </c>
      <c r="I20" s="277">
        <f>rounddown(D20*$J$4,0)</f>
        <v>1945931</v>
      </c>
      <c r="J20" s="103">
        <f>G20*1087.1</f>
        <v>498587.544</v>
      </c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J21" si="7">SUM(H18:H20)</f>
        <v>483422536</v>
      </c>
      <c r="I21" s="279">
        <f t="shared" si="7"/>
        <v>99446328</v>
      </c>
      <c r="J21" s="279">
        <f t="shared" si="7"/>
        <v>469019647.1</v>
      </c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115"/>
      <c r="B22" s="280"/>
      <c r="C22" s="280"/>
      <c r="D22" s="280"/>
      <c r="E22" s="311"/>
      <c r="F22" s="311"/>
      <c r="G22" s="280"/>
      <c r="H22" s="336">
        <f>H21-I21</f>
        <v>383976208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260724.988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">
        <v>22</v>
      </c>
      <c r="C25" s="323" t="s">
        <v>2477</v>
      </c>
      <c r="D25" s="323" t="s">
        <v>1110</v>
      </c>
      <c r="E25" s="337"/>
      <c r="F25" s="337">
        <v>1701.16</v>
      </c>
      <c r="G25" s="327" t="s">
        <v>679</v>
      </c>
      <c r="H25" s="328" t="s">
        <v>556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">
        <v>18</v>
      </c>
      <c r="C26" s="323" t="s">
        <v>2477</v>
      </c>
      <c r="D26" s="323" t="s">
        <v>1110</v>
      </c>
      <c r="E26" s="337">
        <v>1321.49</v>
      </c>
      <c r="F26" s="325"/>
      <c r="G26" s="327" t="s">
        <v>679</v>
      </c>
      <c r="H26" s="328" t="s">
        <v>556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281" t="s">
        <v>18</v>
      </c>
      <c r="C27" s="323" t="s">
        <v>2477</v>
      </c>
      <c r="D27" s="323" t="s">
        <v>2189</v>
      </c>
      <c r="E27" s="337"/>
      <c r="F27" s="337">
        <v>448.78</v>
      </c>
      <c r="G27" s="327" t="s">
        <v>2478</v>
      </c>
      <c r="H27" s="328" t="s">
        <v>930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281" t="s">
        <v>18</v>
      </c>
      <c r="C28" s="323" t="s">
        <v>2477</v>
      </c>
      <c r="D28" s="323" t="s">
        <v>1072</v>
      </c>
      <c r="E28" s="337"/>
      <c r="F28" s="337">
        <v>36.13</v>
      </c>
      <c r="G28" s="327" t="s">
        <v>1565</v>
      </c>
      <c r="H28" s="328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">
        <v>18</v>
      </c>
      <c r="C29" s="323" t="s">
        <v>2477</v>
      </c>
      <c r="D29" s="323" t="s">
        <v>2187</v>
      </c>
      <c r="E29" s="337"/>
      <c r="F29" s="337">
        <v>505.47</v>
      </c>
      <c r="G29" s="327" t="s">
        <v>2479</v>
      </c>
      <c r="H29" s="328" t="s">
        <v>930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">
        <v>18</v>
      </c>
      <c r="C30" s="323" t="s">
        <v>2477</v>
      </c>
      <c r="D30" s="323" t="s">
        <v>1072</v>
      </c>
      <c r="E30" s="337"/>
      <c r="F30" s="337">
        <v>8.54</v>
      </c>
      <c r="G30" s="313" t="s">
        <v>1565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">
        <v>1582</v>
      </c>
      <c r="C31" s="323" t="s">
        <v>2477</v>
      </c>
      <c r="D31" s="323" t="s">
        <v>2480</v>
      </c>
      <c r="E31" s="325">
        <v>2.4E8</v>
      </c>
      <c r="F31" s="325"/>
      <c r="G31" s="327" t="s">
        <v>2291</v>
      </c>
      <c r="H31" s="328" t="s">
        <v>945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">
        <v>1582</v>
      </c>
      <c r="C32" s="323" t="s">
        <v>2481</v>
      </c>
      <c r="D32" s="323" t="s">
        <v>1552</v>
      </c>
      <c r="E32" s="337"/>
      <c r="F32" s="325">
        <v>132660.0</v>
      </c>
      <c r="G32" s="313" t="s">
        <v>1983</v>
      </c>
      <c r="H32" s="328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">
        <v>1582</v>
      </c>
      <c r="C33" s="323" t="s">
        <v>2481</v>
      </c>
      <c r="D33" s="323" t="s">
        <v>789</v>
      </c>
      <c r="E33" s="425"/>
      <c r="F33" s="325">
        <v>6637180.0</v>
      </c>
      <c r="G33" s="327" t="s">
        <v>1984</v>
      </c>
      <c r="H33" s="328" t="s">
        <v>33</v>
      </c>
      <c r="I33" s="107"/>
      <c r="J33" s="141"/>
      <c r="K33" s="138"/>
      <c r="L33" s="83"/>
      <c r="M33" s="83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">
        <v>1582</v>
      </c>
      <c r="C34" s="323" t="s">
        <v>2481</v>
      </c>
      <c r="D34" s="323" t="s">
        <v>1991</v>
      </c>
      <c r="E34" s="325"/>
      <c r="F34" s="325">
        <v>4.4794092E7</v>
      </c>
      <c r="G34" s="327" t="s">
        <v>2482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">
        <v>552</v>
      </c>
      <c r="C35" s="323" t="s">
        <v>2481</v>
      </c>
      <c r="D35" s="323" t="s">
        <v>2483</v>
      </c>
      <c r="E35" s="337"/>
      <c r="F35" s="325">
        <v>3489150.0</v>
      </c>
      <c r="G35" s="327" t="s">
        <v>2484</v>
      </c>
      <c r="H35" s="328" t="s">
        <v>39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">
        <v>552</v>
      </c>
      <c r="C36" s="323" t="s">
        <v>2481</v>
      </c>
      <c r="D36" s="323" t="s">
        <v>1115</v>
      </c>
      <c r="E36" s="326"/>
      <c r="F36" s="326">
        <v>51158.0</v>
      </c>
      <c r="G36" s="327" t="s">
        <v>2485</v>
      </c>
      <c r="H36" s="286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">
        <v>18</v>
      </c>
      <c r="C37" s="323" t="s">
        <v>2481</v>
      </c>
      <c r="D37" s="323" t="s">
        <v>2085</v>
      </c>
      <c r="E37" s="337">
        <v>251.46</v>
      </c>
      <c r="F37" s="325"/>
      <c r="G37" s="327" t="s">
        <v>2486</v>
      </c>
      <c r="H37" s="328" t="s">
        <v>2035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">
        <v>1582</v>
      </c>
      <c r="C38" s="323" t="s">
        <v>2487</v>
      </c>
      <c r="D38" s="323" t="s">
        <v>2398</v>
      </c>
      <c r="E38" s="337"/>
      <c r="F38" s="414">
        <v>274350.0</v>
      </c>
      <c r="G38" s="327" t="s">
        <v>2398</v>
      </c>
      <c r="H38" s="286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">
        <v>1582</v>
      </c>
      <c r="C39" s="323" t="s">
        <v>2487</v>
      </c>
      <c r="D39" s="323" t="s">
        <v>2399</v>
      </c>
      <c r="E39" s="371"/>
      <c r="F39" s="424">
        <v>3134750.0</v>
      </c>
      <c r="G39" s="327" t="s">
        <v>2399</v>
      </c>
      <c r="H39" s="286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">
        <v>1582</v>
      </c>
      <c r="C40" s="323" t="s">
        <v>2487</v>
      </c>
      <c r="D40" s="323" t="s">
        <v>2400</v>
      </c>
      <c r="E40" s="371"/>
      <c r="F40" s="424">
        <v>781660.0</v>
      </c>
      <c r="G40" s="327" t="s">
        <v>2400</v>
      </c>
      <c r="H40" s="286" t="s">
        <v>31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">
        <v>1582</v>
      </c>
      <c r="C41" s="323" t="s">
        <v>2487</v>
      </c>
      <c r="D41" s="323" t="s">
        <v>2401</v>
      </c>
      <c r="E41" s="371"/>
      <c r="F41" s="424">
        <v>2467620.0</v>
      </c>
      <c r="G41" s="327" t="s">
        <v>2401</v>
      </c>
      <c r="H41" s="286" t="s">
        <v>31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">
        <v>1582</v>
      </c>
      <c r="C42" s="323" t="s">
        <v>2488</v>
      </c>
      <c r="D42" s="323" t="s">
        <v>2489</v>
      </c>
      <c r="E42" s="371"/>
      <c r="F42" s="424">
        <v>2200000.0</v>
      </c>
      <c r="G42" s="327" t="s">
        <v>2490</v>
      </c>
      <c r="H42" s="286" t="s">
        <v>930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">
        <v>1582</v>
      </c>
      <c r="C43" s="323" t="s">
        <v>2491</v>
      </c>
      <c r="D43" s="379" t="s">
        <v>84</v>
      </c>
      <c r="E43" s="425"/>
      <c r="F43" s="325">
        <v>1390498.0</v>
      </c>
      <c r="G43" s="354" t="s">
        <v>1660</v>
      </c>
      <c r="H43" s="450" t="s">
        <v>1642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">
        <v>22</v>
      </c>
      <c r="C44" s="323" t="s">
        <v>2491</v>
      </c>
      <c r="D44" s="323" t="s">
        <v>2068</v>
      </c>
      <c r="E44" s="337">
        <v>543.04</v>
      </c>
      <c r="F44" s="325"/>
      <c r="G44" s="327" t="s">
        <v>2492</v>
      </c>
      <c r="H44" s="328" t="s">
        <v>2035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">
        <v>22</v>
      </c>
      <c r="C45" s="323" t="s">
        <v>2493</v>
      </c>
      <c r="D45" s="323" t="s">
        <v>2176</v>
      </c>
      <c r="E45" s="337"/>
      <c r="F45" s="337">
        <v>53.8</v>
      </c>
      <c r="G45" s="327" t="s">
        <v>2494</v>
      </c>
      <c r="H45" s="328" t="s">
        <v>31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">
        <v>22</v>
      </c>
      <c r="C46" s="323" t="s">
        <v>2493</v>
      </c>
      <c r="D46" s="323" t="s">
        <v>2176</v>
      </c>
      <c r="E46" s="337"/>
      <c r="F46" s="337">
        <v>30.6</v>
      </c>
      <c r="G46" s="327" t="s">
        <v>2495</v>
      </c>
      <c r="H46" s="328" t="s">
        <v>31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">
        <v>14</v>
      </c>
      <c r="C47" s="323" t="s">
        <v>2496</v>
      </c>
      <c r="D47" s="323" t="s">
        <v>2218</v>
      </c>
      <c r="E47" s="326">
        <v>163.0</v>
      </c>
      <c r="F47" s="424"/>
      <c r="G47" s="327" t="s">
        <v>84</v>
      </c>
      <c r="H47" s="286" t="s">
        <v>75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">
        <v>552</v>
      </c>
      <c r="C48" s="323" t="s">
        <v>2496</v>
      </c>
      <c r="D48" s="323" t="s">
        <v>2218</v>
      </c>
      <c r="E48" s="326">
        <v>686.0</v>
      </c>
      <c r="F48" s="424"/>
      <c r="G48" s="327" t="s">
        <v>84</v>
      </c>
      <c r="H48" s="286" t="s">
        <v>75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281" t="s">
        <v>1582</v>
      </c>
      <c r="C49" s="323" t="s">
        <v>2497</v>
      </c>
      <c r="D49" s="323" t="s">
        <v>2218</v>
      </c>
      <c r="E49" s="326">
        <v>17728.0</v>
      </c>
      <c r="F49" s="424"/>
      <c r="G49" s="327" t="s">
        <v>84</v>
      </c>
      <c r="H49" s="286" t="s">
        <v>75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281" t="s">
        <v>1582</v>
      </c>
      <c r="C50" s="323" t="s">
        <v>2497</v>
      </c>
      <c r="D50" s="323" t="s">
        <v>2480</v>
      </c>
      <c r="E50" s="425"/>
      <c r="F50" s="325">
        <v>8213284.0</v>
      </c>
      <c r="G50" s="354" t="s">
        <v>1660</v>
      </c>
      <c r="H50" s="450" t="s">
        <v>1642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281" t="s">
        <v>14</v>
      </c>
      <c r="C51" s="323" t="s">
        <v>2497</v>
      </c>
      <c r="D51" s="323" t="s">
        <v>1202</v>
      </c>
      <c r="E51" s="325"/>
      <c r="F51" s="325">
        <v>110000.0</v>
      </c>
      <c r="G51" s="327" t="s">
        <v>1202</v>
      </c>
      <c r="H51" s="328" t="s">
        <v>33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281" t="s">
        <v>1582</v>
      </c>
      <c r="C52" s="323" t="s">
        <v>2497</v>
      </c>
      <c r="D52" s="323" t="s">
        <v>1669</v>
      </c>
      <c r="E52" s="326"/>
      <c r="F52" s="424">
        <v>3080643.0</v>
      </c>
      <c r="G52" s="327" t="s">
        <v>2498</v>
      </c>
      <c r="H52" s="286" t="s">
        <v>33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">
        <v>552</v>
      </c>
      <c r="C53" s="323" t="s">
        <v>2499</v>
      </c>
      <c r="D53" s="323" t="s">
        <v>721</v>
      </c>
      <c r="E53" s="326"/>
      <c r="F53" s="424">
        <f>9825993+941200</f>
        <v>10767193</v>
      </c>
      <c r="G53" s="327" t="s">
        <v>721</v>
      </c>
      <c r="H53" s="286" t="s">
        <v>33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281" t="s">
        <v>14</v>
      </c>
      <c r="C54" s="323" t="s">
        <v>2499</v>
      </c>
      <c r="D54" s="323" t="s">
        <v>1633</v>
      </c>
      <c r="E54" s="326"/>
      <c r="F54" s="424">
        <v>1811510.0</v>
      </c>
      <c r="G54" s="327" t="s">
        <v>1633</v>
      </c>
      <c r="H54" s="286" t="s">
        <v>33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281" t="s">
        <v>14</v>
      </c>
      <c r="C55" s="323" t="s">
        <v>2499</v>
      </c>
      <c r="D55" s="323" t="s">
        <v>1950</v>
      </c>
      <c r="E55" s="337"/>
      <c r="F55" s="325">
        <v>55670.0</v>
      </c>
      <c r="G55" s="327" t="s">
        <v>1951</v>
      </c>
      <c r="H55" s="286" t="s">
        <v>27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281" t="s">
        <v>14</v>
      </c>
      <c r="C56" s="323" t="s">
        <v>2499</v>
      </c>
      <c r="D56" s="323" t="s">
        <v>497</v>
      </c>
      <c r="E56" s="337"/>
      <c r="F56" s="325">
        <v>330000.0</v>
      </c>
      <c r="G56" s="327" t="s">
        <v>1952</v>
      </c>
      <c r="H56" s="286" t="s">
        <v>33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281" t="s">
        <v>14</v>
      </c>
      <c r="C57" s="323" t="s">
        <v>2499</v>
      </c>
      <c r="D57" s="323" t="s">
        <v>1953</v>
      </c>
      <c r="E57" s="337"/>
      <c r="F57" s="325">
        <v>37430.0</v>
      </c>
      <c r="G57" s="327" t="s">
        <v>1038</v>
      </c>
      <c r="H57" s="328" t="s">
        <v>4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281" t="s">
        <v>14</v>
      </c>
      <c r="C58" s="323" t="s">
        <v>2499</v>
      </c>
      <c r="D58" s="323" t="s">
        <v>1953</v>
      </c>
      <c r="E58" s="337"/>
      <c r="F58" s="325">
        <v>37430.0</v>
      </c>
      <c r="G58" s="327" t="s">
        <v>1038</v>
      </c>
      <c r="H58" s="328" t="s">
        <v>4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281" t="s">
        <v>14</v>
      </c>
      <c r="C59" s="323" t="s">
        <v>2499</v>
      </c>
      <c r="D59" s="323" t="s">
        <v>1953</v>
      </c>
      <c r="E59" s="337"/>
      <c r="F59" s="325">
        <v>50250.0</v>
      </c>
      <c r="G59" s="327" t="s">
        <v>1040</v>
      </c>
      <c r="H59" s="328" t="s">
        <v>4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281" t="s">
        <v>14</v>
      </c>
      <c r="C60" s="323" t="s">
        <v>2499</v>
      </c>
      <c r="D60" s="323" t="s">
        <v>1953</v>
      </c>
      <c r="E60" s="337"/>
      <c r="F60" s="325">
        <v>20660.0</v>
      </c>
      <c r="G60" s="327" t="s">
        <v>1039</v>
      </c>
      <c r="H60" s="328" t="s">
        <v>4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281" t="s">
        <v>14</v>
      </c>
      <c r="C61" s="323" t="s">
        <v>2499</v>
      </c>
      <c r="D61" s="323" t="s">
        <v>1953</v>
      </c>
      <c r="E61" s="337"/>
      <c r="F61" s="325">
        <v>20660.0</v>
      </c>
      <c r="G61" s="327" t="s">
        <v>1039</v>
      </c>
      <c r="H61" s="328" t="s">
        <v>4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281" t="s">
        <v>14</v>
      </c>
      <c r="C62" s="323" t="s">
        <v>2499</v>
      </c>
      <c r="D62" s="323" t="s">
        <v>1954</v>
      </c>
      <c r="E62" s="337"/>
      <c r="F62" s="325">
        <v>98000.0</v>
      </c>
      <c r="G62" s="327" t="s">
        <v>1047</v>
      </c>
      <c r="H62" s="328" t="s">
        <v>4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">
        <v>1582</v>
      </c>
      <c r="C63" s="323" t="s">
        <v>2499</v>
      </c>
      <c r="D63" s="323" t="s">
        <v>41</v>
      </c>
      <c r="E63" s="337"/>
      <c r="F63" s="414">
        <v>3.7733667E7</v>
      </c>
      <c r="G63" s="313" t="s">
        <v>41</v>
      </c>
      <c r="H63" s="328" t="s">
        <v>41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281" t="s">
        <v>1582</v>
      </c>
      <c r="C64" s="323" t="s">
        <v>2499</v>
      </c>
      <c r="D64" s="323" t="s">
        <v>1858</v>
      </c>
      <c r="E64" s="325"/>
      <c r="F64" s="325">
        <v>7158018.0</v>
      </c>
      <c r="G64" s="327" t="s">
        <v>1825</v>
      </c>
      <c r="H64" s="286" t="s">
        <v>41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281" t="s">
        <v>1582</v>
      </c>
      <c r="C65" s="323" t="s">
        <v>2499</v>
      </c>
      <c r="D65" s="323" t="s">
        <v>1991</v>
      </c>
      <c r="E65" s="325"/>
      <c r="F65" s="325">
        <v>1.0825011E7</v>
      </c>
      <c r="G65" s="327" t="s">
        <v>2041</v>
      </c>
      <c r="H65" s="328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 t="s">
        <v>1582</v>
      </c>
      <c r="C66" s="323" t="s">
        <v>2499</v>
      </c>
      <c r="D66" s="323" t="s">
        <v>2500</v>
      </c>
      <c r="E66" s="325"/>
      <c r="F66" s="325">
        <v>2635200.0</v>
      </c>
      <c r="G66" s="327" t="s">
        <v>2501</v>
      </c>
      <c r="H66" s="328" t="s">
        <v>4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 t="s">
        <v>1582</v>
      </c>
      <c r="C67" s="323" t="s">
        <v>2499</v>
      </c>
      <c r="D67" s="323" t="s">
        <v>1981</v>
      </c>
      <c r="E67" s="326"/>
      <c r="F67" s="326">
        <v>2000000.0</v>
      </c>
      <c r="G67" s="327" t="s">
        <v>1035</v>
      </c>
      <c r="H67" s="328" t="s">
        <v>556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 t="s">
        <v>1582</v>
      </c>
      <c r="C68" s="323" t="s">
        <v>2499</v>
      </c>
      <c r="D68" s="323" t="s">
        <v>1981</v>
      </c>
      <c r="E68" s="326"/>
      <c r="F68" s="326">
        <v>1.5E7</v>
      </c>
      <c r="G68" s="327" t="s">
        <v>1035</v>
      </c>
      <c r="H68" s="328" t="s">
        <v>556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 t="s">
        <v>14</v>
      </c>
      <c r="C69" s="323" t="s">
        <v>2499</v>
      </c>
      <c r="D69" s="323" t="s">
        <v>1981</v>
      </c>
      <c r="E69" s="326">
        <v>2000000.0</v>
      </c>
      <c r="F69" s="326"/>
      <c r="G69" s="327" t="s">
        <v>1035</v>
      </c>
      <c r="H69" s="328" t="s">
        <v>556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">
        <v>552</v>
      </c>
      <c r="C70" s="323" t="s">
        <v>2499</v>
      </c>
      <c r="D70" s="323" t="s">
        <v>1981</v>
      </c>
      <c r="E70" s="326">
        <v>1.5E7</v>
      </c>
      <c r="F70" s="326"/>
      <c r="G70" s="327" t="s">
        <v>1035</v>
      </c>
      <c r="H70" s="328" t="s">
        <v>556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 t="s">
        <v>1582</v>
      </c>
      <c r="C71" s="323" t="s">
        <v>2499</v>
      </c>
      <c r="D71" s="323" t="s">
        <v>122</v>
      </c>
      <c r="E71" s="325"/>
      <c r="F71" s="325">
        <v>1000000.0</v>
      </c>
      <c r="G71" s="327" t="s">
        <v>2502</v>
      </c>
      <c r="H71" s="328" t="s">
        <v>29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 t="s">
        <v>1582</v>
      </c>
      <c r="C72" s="323" t="s">
        <v>2503</v>
      </c>
      <c r="D72" s="323" t="s">
        <v>2504</v>
      </c>
      <c r="E72" s="371"/>
      <c r="F72" s="424">
        <v>2580214.0</v>
      </c>
      <c r="G72" s="327" t="s">
        <v>2505</v>
      </c>
      <c r="H72" s="286" t="s">
        <v>41</v>
      </c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 t="s">
        <v>1582</v>
      </c>
      <c r="C73" s="323" t="s">
        <v>2503</v>
      </c>
      <c r="D73" s="323" t="s">
        <v>2504</v>
      </c>
      <c r="E73" s="371"/>
      <c r="F73" s="424">
        <v>2284206.0</v>
      </c>
      <c r="G73" s="327" t="s">
        <v>2505</v>
      </c>
      <c r="H73" s="286" t="s">
        <v>41</v>
      </c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 t="s">
        <v>18</v>
      </c>
      <c r="C74" s="323" t="s">
        <v>2503</v>
      </c>
      <c r="D74" s="323" t="s">
        <v>2189</v>
      </c>
      <c r="E74" s="337"/>
      <c r="F74" s="337">
        <v>212.85</v>
      </c>
      <c r="G74" s="327" t="s">
        <v>2506</v>
      </c>
      <c r="H74" s="328" t="s">
        <v>930</v>
      </c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 t="s">
        <v>18</v>
      </c>
      <c r="C75" s="323" t="s">
        <v>2503</v>
      </c>
      <c r="D75" s="323" t="s">
        <v>1072</v>
      </c>
      <c r="E75" s="337"/>
      <c r="F75" s="337">
        <v>36.13</v>
      </c>
      <c r="G75" s="327" t="s">
        <v>1565</v>
      </c>
      <c r="H75" s="328" t="s">
        <v>33</v>
      </c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 t="s">
        <v>18</v>
      </c>
      <c r="C76" s="323" t="s">
        <v>2503</v>
      </c>
      <c r="D76" s="323" t="s">
        <v>2187</v>
      </c>
      <c r="E76" s="337"/>
      <c r="F76" s="337">
        <v>239.72</v>
      </c>
      <c r="G76" s="327" t="s">
        <v>2507</v>
      </c>
      <c r="H76" s="328" t="s">
        <v>930</v>
      </c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 t="s">
        <v>18</v>
      </c>
      <c r="C77" s="323" t="s">
        <v>2503</v>
      </c>
      <c r="D77" s="323" t="s">
        <v>1072</v>
      </c>
      <c r="E77" s="337"/>
      <c r="F77" s="337">
        <v>8.54</v>
      </c>
      <c r="G77" s="313" t="s">
        <v>1565</v>
      </c>
      <c r="H77" s="328" t="s">
        <v>33</v>
      </c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 t="s">
        <v>14</v>
      </c>
      <c r="C78" s="323" t="s">
        <v>2503</v>
      </c>
      <c r="D78" s="323" t="s">
        <v>920</v>
      </c>
      <c r="E78" s="337"/>
      <c r="F78" s="414">
        <v>77000.0</v>
      </c>
      <c r="G78" s="327" t="s">
        <v>1006</v>
      </c>
      <c r="H78" s="286" t="s">
        <v>33</v>
      </c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 t="s">
        <v>18</v>
      </c>
      <c r="C79" s="323" t="s">
        <v>2503</v>
      </c>
      <c r="D79" s="323" t="s">
        <v>2508</v>
      </c>
      <c r="E79" s="337">
        <v>203615.07</v>
      </c>
      <c r="F79" s="337"/>
      <c r="G79" s="313" t="s">
        <v>2509</v>
      </c>
      <c r="H79" s="328" t="s">
        <v>556</v>
      </c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 t="s">
        <v>18</v>
      </c>
      <c r="C80" s="323" t="s">
        <v>2510</v>
      </c>
      <c r="D80" s="374" t="s">
        <v>2299</v>
      </c>
      <c r="E80" s="451"/>
      <c r="F80" s="403">
        <v>220.0</v>
      </c>
      <c r="G80" s="313" t="s">
        <v>1719</v>
      </c>
      <c r="H80" s="328" t="s">
        <v>33</v>
      </c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323"/>
      <c r="D81" s="323"/>
      <c r="E81" s="337"/>
      <c r="F81" s="414"/>
      <c r="G81" s="313"/>
      <c r="H81" s="328"/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323"/>
      <c r="D82" s="323"/>
      <c r="E82" s="337"/>
      <c r="F82" s="325"/>
      <c r="G82" s="327"/>
      <c r="H82" s="328"/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323"/>
      <c r="D83" s="323"/>
      <c r="E83" s="337"/>
      <c r="F83" s="414"/>
      <c r="G83" s="313"/>
      <c r="H83" s="328"/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323"/>
      <c r="D84" s="323"/>
      <c r="E84" s="337"/>
      <c r="F84" s="325"/>
      <c r="G84" s="313"/>
      <c r="H84" s="328"/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323"/>
      <c r="D85" s="323"/>
      <c r="E85" s="337"/>
      <c r="F85" s="325"/>
      <c r="G85" s="313"/>
      <c r="H85" s="328"/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323"/>
      <c r="D86" s="323"/>
      <c r="E86" s="325"/>
      <c r="F86" s="325"/>
      <c r="G86" s="327"/>
      <c r="H86" s="328"/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323"/>
      <c r="D87" s="323"/>
      <c r="E87" s="325"/>
      <c r="F87" s="325"/>
      <c r="G87" s="327"/>
      <c r="H87" s="328"/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323"/>
      <c r="D88" s="323"/>
      <c r="E88" s="325"/>
      <c r="F88" s="325"/>
      <c r="G88" s="327"/>
      <c r="H88" s="328"/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323"/>
      <c r="D89" s="323"/>
      <c r="E89" s="325"/>
      <c r="F89" s="325"/>
      <c r="G89" s="327"/>
      <c r="H89" s="328"/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323"/>
      <c r="D90" s="323"/>
      <c r="E90" s="326"/>
      <c r="F90" s="424"/>
      <c r="G90" s="327"/>
      <c r="H90" s="328"/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323"/>
      <c r="D91" s="391"/>
      <c r="F91" s="443"/>
      <c r="G91" s="327"/>
      <c r="H91" s="328"/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323"/>
      <c r="D92" s="429"/>
      <c r="E92" s="430"/>
      <c r="F92" s="424"/>
      <c r="G92" s="415"/>
      <c r="H92" s="412"/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323"/>
      <c r="D93" s="323"/>
      <c r="E93" s="337"/>
      <c r="F93" s="325"/>
      <c r="G93" s="327"/>
      <c r="H93" s="328"/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323"/>
      <c r="D94" s="323"/>
      <c r="E94" s="337"/>
      <c r="F94" s="325"/>
      <c r="G94" s="327"/>
      <c r="H94" s="328"/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323"/>
      <c r="D95" s="323"/>
      <c r="E95" s="337"/>
      <c r="F95" s="325"/>
      <c r="G95" s="327"/>
      <c r="H95" s="328"/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323"/>
      <c r="D96" s="323"/>
      <c r="E96" s="337"/>
      <c r="F96" s="325"/>
      <c r="G96" s="327"/>
      <c r="H96" s="328"/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323"/>
      <c r="D97" s="323"/>
      <c r="E97" s="337"/>
      <c r="F97" s="325"/>
      <c r="G97" s="327"/>
      <c r="H97" s="328"/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323"/>
      <c r="D98" s="323"/>
      <c r="E98" s="337"/>
      <c r="F98" s="325"/>
      <c r="G98" s="327"/>
      <c r="H98" s="328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323"/>
      <c r="D99" s="323"/>
      <c r="E99" s="337"/>
      <c r="F99" s="325"/>
      <c r="G99" s="313"/>
      <c r="H99" s="328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323"/>
      <c r="D100" s="323"/>
      <c r="E100" s="337"/>
      <c r="F100" s="325"/>
      <c r="G100" s="313"/>
      <c r="H100" s="328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323"/>
      <c r="D101" s="323"/>
      <c r="E101" s="337"/>
      <c r="F101" s="325"/>
      <c r="G101" s="313"/>
      <c r="H101" s="328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323"/>
      <c r="D102" s="323"/>
      <c r="E102" s="325"/>
      <c r="F102" s="414"/>
      <c r="G102" s="327"/>
      <c r="H102" s="286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323"/>
      <c r="D103" s="323"/>
      <c r="E103" s="325"/>
      <c r="F103" s="414"/>
      <c r="G103" s="327"/>
      <c r="H103" s="286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323"/>
      <c r="E104" s="326"/>
      <c r="F104" s="424"/>
      <c r="G104" s="327"/>
      <c r="H104" s="286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323"/>
      <c r="E105" s="326"/>
      <c r="F105" s="424"/>
      <c r="G105" s="327"/>
      <c r="H105" s="286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323"/>
      <c r="E106" s="326"/>
      <c r="F106" s="424"/>
      <c r="G106" s="327"/>
      <c r="H106" s="286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323"/>
      <c r="D107" s="323"/>
      <c r="E107" s="337"/>
      <c r="F107" s="325"/>
      <c r="G107" s="327"/>
      <c r="H107" s="286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323"/>
      <c r="D108" s="323"/>
      <c r="E108" s="337"/>
      <c r="F108" s="325"/>
      <c r="G108" s="327"/>
      <c r="H108" s="286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323"/>
      <c r="D109" s="323"/>
      <c r="E109" s="337"/>
      <c r="F109" s="325"/>
      <c r="G109" s="327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37"/>
      <c r="F110" s="325"/>
      <c r="G110" s="327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323"/>
      <c r="E111" s="337"/>
      <c r="F111" s="325"/>
      <c r="G111" s="327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37"/>
      <c r="F112" s="325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323"/>
      <c r="E113" s="337"/>
      <c r="F113" s="325"/>
      <c r="G113" s="327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323"/>
      <c r="E114" s="337"/>
      <c r="F114" s="325"/>
      <c r="G114" s="327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323"/>
      <c r="D115" s="323"/>
      <c r="E115" s="337"/>
      <c r="F115" s="414"/>
      <c r="G115" s="313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323"/>
      <c r="D116" s="323"/>
      <c r="E116" s="337"/>
      <c r="F116" s="414"/>
      <c r="G116" s="313"/>
      <c r="H116" s="328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350"/>
      <c r="C117" s="323"/>
      <c r="D117" s="323" t="s">
        <v>2189</v>
      </c>
      <c r="E117" s="337"/>
      <c r="F117" s="337">
        <f>E117*J4</f>
        <v>0</v>
      </c>
      <c r="G117" s="415" t="s">
        <v>2511</v>
      </c>
      <c r="H117" s="328" t="s">
        <v>930</v>
      </c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412"/>
      <c r="C118" s="323"/>
      <c r="D118" s="444" t="s">
        <v>2187</v>
      </c>
      <c r="E118" s="337"/>
      <c r="F118" s="337">
        <f>E118*J4</f>
        <v>0</v>
      </c>
      <c r="G118" s="415" t="s">
        <v>2512</v>
      </c>
      <c r="H118" s="328" t="s">
        <v>930</v>
      </c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350"/>
      <c r="C119" s="323"/>
      <c r="D119" s="323"/>
      <c r="E119" s="337"/>
      <c r="F119" s="404"/>
      <c r="G119" s="327"/>
      <c r="H119" s="328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350"/>
      <c r="C120" s="323"/>
      <c r="D120" s="323"/>
      <c r="E120" s="449"/>
      <c r="F120" s="325"/>
      <c r="G120" s="327"/>
      <c r="H120" s="412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350"/>
      <c r="C121" s="323"/>
      <c r="D121" s="323"/>
      <c r="E121" s="449"/>
      <c r="F121" s="325"/>
      <c r="G121" s="327"/>
      <c r="H121" s="328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350"/>
      <c r="C122" s="323"/>
      <c r="D122" s="323"/>
      <c r="E122" s="452" t="s">
        <v>2513</v>
      </c>
      <c r="F122" s="453">
        <f>SUM(F114:F121)</f>
        <v>0</v>
      </c>
      <c r="G122" s="454">
        <f>F122/J3</f>
        <v>0</v>
      </c>
      <c r="H122" s="328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C123" s="323"/>
      <c r="D123" s="323"/>
      <c r="E123" s="325"/>
      <c r="F123" s="414"/>
      <c r="G123" s="327"/>
      <c r="H123" s="328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C124" s="323" t="s">
        <v>2514</v>
      </c>
      <c r="D124" s="379" t="s">
        <v>1552</v>
      </c>
      <c r="E124" s="455"/>
      <c r="F124" s="325">
        <v>6600000.0</v>
      </c>
      <c r="G124" s="327" t="s">
        <v>2044</v>
      </c>
      <c r="H124" s="450" t="s">
        <v>33</v>
      </c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C125" s="323"/>
      <c r="D125" s="379" t="s">
        <v>789</v>
      </c>
      <c r="E125" s="456"/>
      <c r="F125" s="326">
        <v>132660.0</v>
      </c>
      <c r="G125" s="327" t="s">
        <v>1466</v>
      </c>
      <c r="H125" s="457" t="s">
        <v>33</v>
      </c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C126" s="323"/>
      <c r="D126" s="379" t="s">
        <v>2398</v>
      </c>
      <c r="E126" s="458"/>
      <c r="F126" s="424">
        <v>257930.0</v>
      </c>
      <c r="G126" s="354" t="s">
        <v>2398</v>
      </c>
      <c r="H126" s="457" t="s">
        <v>31</v>
      </c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C127" s="323"/>
      <c r="D127" s="379" t="s">
        <v>2399</v>
      </c>
      <c r="E127" s="458"/>
      <c r="F127" s="424">
        <v>3421560.0</v>
      </c>
      <c r="G127" s="354" t="s">
        <v>2399</v>
      </c>
      <c r="H127" s="457" t="s">
        <v>31</v>
      </c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C128" s="323"/>
      <c r="D128" s="379" t="s">
        <v>2400</v>
      </c>
      <c r="E128" s="458"/>
      <c r="F128" s="424">
        <v>734350.0</v>
      </c>
      <c r="G128" s="354" t="s">
        <v>2400</v>
      </c>
      <c r="H128" s="457" t="s">
        <v>31</v>
      </c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C129" s="323"/>
      <c r="D129" s="379" t="s">
        <v>2401</v>
      </c>
      <c r="E129" s="455"/>
      <c r="F129" s="325">
        <v>2862100.0</v>
      </c>
      <c r="G129" s="354" t="s">
        <v>2401</v>
      </c>
      <c r="H129" s="457" t="s">
        <v>31</v>
      </c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C130" s="323"/>
      <c r="D130" s="379" t="s">
        <v>84</v>
      </c>
      <c r="E130" s="425"/>
      <c r="F130" s="325">
        <v>1400000.0</v>
      </c>
      <c r="G130" s="354" t="s">
        <v>1660</v>
      </c>
      <c r="H130" s="457" t="s">
        <v>1642</v>
      </c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C131" s="323"/>
      <c r="D131" s="323" t="s">
        <v>1202</v>
      </c>
      <c r="E131" s="325"/>
      <c r="F131" s="325">
        <v>110000.0</v>
      </c>
      <c r="G131" s="327" t="s">
        <v>1202</v>
      </c>
      <c r="H131" s="328" t="s">
        <v>33</v>
      </c>
      <c r="I131" s="107"/>
      <c r="J131" s="141"/>
      <c r="K131" s="138"/>
      <c r="L131" s="83"/>
      <c r="M131" s="8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C132" s="323"/>
      <c r="D132" s="379" t="s">
        <v>721</v>
      </c>
      <c r="E132" s="425"/>
      <c r="F132" s="425"/>
      <c r="G132" s="354" t="s">
        <v>721</v>
      </c>
      <c r="H132" s="450" t="s">
        <v>33</v>
      </c>
      <c r="I132" s="107"/>
      <c r="J132" s="141"/>
      <c r="K132" s="138"/>
      <c r="L132" s="83"/>
      <c r="M132" s="8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C133" s="323"/>
      <c r="D133" s="379" t="s">
        <v>1633</v>
      </c>
      <c r="E133" s="425"/>
      <c r="F133" s="425"/>
      <c r="G133" s="354" t="s">
        <v>1633</v>
      </c>
      <c r="H133" s="450" t="s">
        <v>33</v>
      </c>
      <c r="I133" s="107"/>
      <c r="J133" s="141"/>
      <c r="K133" s="138"/>
      <c r="L133" s="83"/>
      <c r="M133" s="8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C134" s="323"/>
      <c r="D134" s="379" t="s">
        <v>1669</v>
      </c>
      <c r="E134" s="425"/>
      <c r="F134" s="425"/>
      <c r="G134" s="354" t="s">
        <v>1669</v>
      </c>
      <c r="H134" s="450" t="s">
        <v>33</v>
      </c>
      <c r="I134" s="107"/>
      <c r="J134" s="141"/>
      <c r="K134" s="138"/>
      <c r="L134" s="83"/>
      <c r="M134" s="84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C135" s="323"/>
      <c r="D135" s="379" t="s">
        <v>1950</v>
      </c>
      <c r="E135" s="455"/>
      <c r="F135" s="425">
        <v>55700.0</v>
      </c>
      <c r="G135" s="354" t="s">
        <v>1951</v>
      </c>
      <c r="H135" s="450" t="s">
        <v>27</v>
      </c>
      <c r="I135" s="107"/>
      <c r="J135" s="141"/>
      <c r="K135" s="138"/>
      <c r="L135" s="83"/>
      <c r="M135" s="8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C136" s="323"/>
      <c r="D136" s="379" t="s">
        <v>497</v>
      </c>
      <c r="E136" s="455"/>
      <c r="F136" s="425">
        <v>330000.0</v>
      </c>
      <c r="G136" s="354" t="s">
        <v>1952</v>
      </c>
      <c r="H136" s="450" t="s">
        <v>33</v>
      </c>
      <c r="I136" s="107"/>
      <c r="J136" s="141"/>
      <c r="K136" s="138"/>
      <c r="L136" s="83"/>
      <c r="M136" s="84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C137" s="323"/>
      <c r="D137" s="379" t="s">
        <v>1953</v>
      </c>
      <c r="E137" s="455"/>
      <c r="F137" s="459">
        <v>37430.0</v>
      </c>
      <c r="G137" s="426" t="s">
        <v>1038</v>
      </c>
      <c r="H137" s="450" t="s">
        <v>4</v>
      </c>
      <c r="I137" s="107"/>
      <c r="J137" s="141"/>
      <c r="K137" s="138"/>
      <c r="L137" s="83"/>
      <c r="M137" s="84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C138" s="323"/>
      <c r="D138" s="379" t="s">
        <v>1953</v>
      </c>
      <c r="E138" s="455"/>
      <c r="F138" s="425">
        <v>37430.0</v>
      </c>
      <c r="G138" s="354" t="s">
        <v>1038</v>
      </c>
      <c r="H138" s="450" t="s">
        <v>4</v>
      </c>
      <c r="I138" s="107"/>
      <c r="J138" s="141"/>
      <c r="K138" s="138"/>
      <c r="L138" s="83"/>
      <c r="M138" s="84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C139" s="323"/>
      <c r="D139" s="379" t="s">
        <v>1953</v>
      </c>
      <c r="E139" s="455"/>
      <c r="F139" s="425">
        <v>50250.0</v>
      </c>
      <c r="G139" s="354" t="s">
        <v>1040</v>
      </c>
      <c r="H139" s="457" t="s">
        <v>4</v>
      </c>
      <c r="I139" s="107"/>
      <c r="J139" s="141"/>
      <c r="K139" s="138"/>
      <c r="L139" s="83"/>
      <c r="M139" s="84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C140" s="323"/>
      <c r="D140" s="379" t="s">
        <v>1953</v>
      </c>
      <c r="E140" s="455"/>
      <c r="F140" s="425">
        <v>20660.0</v>
      </c>
      <c r="G140" s="354" t="s">
        <v>1039</v>
      </c>
      <c r="H140" s="450" t="s">
        <v>4</v>
      </c>
      <c r="I140" s="107"/>
      <c r="J140" s="141"/>
      <c r="K140" s="138"/>
      <c r="L140" s="83"/>
      <c r="M140" s="84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C141" s="323"/>
      <c r="D141" s="379" t="s">
        <v>1953</v>
      </c>
      <c r="E141" s="455"/>
      <c r="F141" s="425">
        <v>20660.0</v>
      </c>
      <c r="G141" s="354" t="s">
        <v>1039</v>
      </c>
      <c r="H141" s="450" t="s">
        <v>4</v>
      </c>
      <c r="I141" s="107"/>
      <c r="J141" s="141"/>
      <c r="K141" s="138"/>
      <c r="L141" s="83"/>
      <c r="M141" s="84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C142" s="323"/>
      <c r="D142" s="379" t="s">
        <v>1954</v>
      </c>
      <c r="E142" s="455"/>
      <c r="F142" s="425">
        <v>98000.0</v>
      </c>
      <c r="G142" s="354" t="s">
        <v>1047</v>
      </c>
      <c r="H142" s="450" t="s">
        <v>4</v>
      </c>
      <c r="I142" s="107"/>
      <c r="J142" s="141"/>
      <c r="K142" s="138"/>
      <c r="L142" s="83"/>
      <c r="M142" s="84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C143" s="323"/>
      <c r="D143" s="379" t="s">
        <v>41</v>
      </c>
      <c r="E143" s="455"/>
      <c r="F143" s="325">
        <v>3.65E7</v>
      </c>
      <c r="G143" s="354" t="s">
        <v>41</v>
      </c>
      <c r="H143" s="450" t="s">
        <v>41</v>
      </c>
      <c r="I143" s="107"/>
      <c r="J143" s="141"/>
      <c r="K143" s="138"/>
      <c r="L143" s="83"/>
      <c r="M143" s="84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C144" s="323"/>
      <c r="D144" s="379" t="s">
        <v>1991</v>
      </c>
      <c r="E144" s="425"/>
      <c r="F144" s="459"/>
      <c r="G144" s="313" t="s">
        <v>2100</v>
      </c>
      <c r="H144" s="450" t="s">
        <v>33</v>
      </c>
      <c r="I144" s="107"/>
      <c r="J144" s="141"/>
      <c r="K144" s="138"/>
      <c r="L144" s="83"/>
      <c r="M144" s="84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C145" s="323"/>
      <c r="D145" s="323"/>
      <c r="E145" s="337"/>
      <c r="F145" s="325"/>
      <c r="G145" s="327"/>
      <c r="H145" s="286"/>
      <c r="I145" s="107"/>
      <c r="J145" s="141"/>
      <c r="K145" s="138"/>
      <c r="L145" s="83"/>
      <c r="M145" s="84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C146" s="323"/>
      <c r="D146" s="323"/>
      <c r="E146" s="337"/>
      <c r="F146" s="414"/>
      <c r="G146" s="313"/>
      <c r="H146" s="328"/>
      <c r="I146" s="107"/>
      <c r="J146" s="141"/>
      <c r="K146" s="138"/>
      <c r="L146" s="83"/>
      <c r="M146" s="84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C147" s="323"/>
      <c r="D147" s="323"/>
      <c r="E147" s="325"/>
      <c r="F147" s="325"/>
      <c r="G147" s="327"/>
      <c r="H147" s="286"/>
      <c r="I147" s="107"/>
      <c r="J147" s="141"/>
      <c r="K147" s="138"/>
      <c r="L147" s="83"/>
      <c r="M147" s="84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C148" s="323"/>
      <c r="D148" s="323"/>
      <c r="E148" s="337"/>
      <c r="F148" s="325"/>
      <c r="G148" s="327"/>
      <c r="H148" s="286"/>
      <c r="I148" s="107"/>
      <c r="J148" s="141"/>
      <c r="K148" s="138"/>
      <c r="L148" s="83"/>
      <c r="M148" s="84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C149" s="323"/>
      <c r="D149" s="323"/>
      <c r="E149" s="337"/>
      <c r="F149" s="325"/>
      <c r="G149" s="327"/>
      <c r="H149" s="286"/>
      <c r="I149" s="107"/>
      <c r="J149" s="141"/>
      <c r="K149" s="138"/>
      <c r="L149" s="83"/>
      <c r="M149" s="84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C150" s="323"/>
      <c r="D150" s="323"/>
      <c r="E150" s="337"/>
      <c r="F150" s="414"/>
      <c r="G150" s="313"/>
      <c r="H150" s="328"/>
      <c r="I150" s="107"/>
      <c r="J150" s="141"/>
      <c r="K150" s="138"/>
      <c r="L150" s="83"/>
      <c r="M150" s="84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C151" s="323"/>
      <c r="D151" s="323"/>
      <c r="E151" s="337"/>
      <c r="F151" s="414"/>
      <c r="G151" s="313"/>
      <c r="H151" s="328"/>
      <c r="I151" s="107"/>
      <c r="J151" s="141"/>
      <c r="K151" s="138"/>
      <c r="L151" s="83"/>
      <c r="M151" s="84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C152" s="323"/>
      <c r="D152" s="323"/>
      <c r="E152" s="337"/>
      <c r="F152" s="414"/>
      <c r="G152" s="313"/>
      <c r="H152" s="328"/>
      <c r="I152" s="107"/>
      <c r="J152" s="141"/>
      <c r="K152" s="138"/>
      <c r="L152" s="83"/>
      <c r="M152" s="84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C153" s="323"/>
      <c r="D153" s="323"/>
      <c r="E153" s="337"/>
      <c r="F153" s="325"/>
      <c r="G153" s="313"/>
      <c r="H153" s="328"/>
      <c r="I153" s="107"/>
      <c r="J153" s="141"/>
      <c r="K153" s="138"/>
      <c r="L153" s="83"/>
      <c r="M153" s="84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C154" s="323"/>
      <c r="D154" s="323"/>
      <c r="E154" s="325" t="s">
        <v>2515</v>
      </c>
      <c r="F154" s="460">
        <f>SUM(F124:F153)</f>
        <v>52668730</v>
      </c>
      <c r="G154" s="461">
        <f>F154/$J$3</f>
        <v>35762.77309</v>
      </c>
      <c r="H154" s="328"/>
      <c r="I154" s="107"/>
      <c r="J154" s="141"/>
      <c r="K154" s="138"/>
      <c r="L154" s="83"/>
      <c r="M154" s="84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C155" s="323"/>
      <c r="D155" s="323"/>
      <c r="E155" s="325"/>
      <c r="F155" s="414"/>
      <c r="G155" s="327"/>
      <c r="H155" s="328"/>
      <c r="I155" s="107"/>
      <c r="J155" s="141"/>
      <c r="K155" s="138"/>
      <c r="L155" s="83"/>
      <c r="M155" s="84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C156" s="323"/>
      <c r="D156" s="417"/>
      <c r="E156" s="462" t="s">
        <v>2516</v>
      </c>
      <c r="F156" s="462">
        <f>F154+F122</f>
        <v>52668730</v>
      </c>
      <c r="G156" s="463">
        <f>F156/$J$3</f>
        <v>35762.77309</v>
      </c>
      <c r="H156" s="416"/>
      <c r="I156" s="107"/>
      <c r="J156" s="141"/>
      <c r="K156" s="141"/>
      <c r="L156" s="83"/>
      <c r="M156" s="84"/>
      <c r="N156" s="141"/>
      <c r="O156" s="141"/>
      <c r="P156" s="141"/>
      <c r="Q156" s="141"/>
      <c r="R156" s="141"/>
      <c r="S156" s="141"/>
      <c r="T156" s="141"/>
      <c r="U156" s="141"/>
      <c r="V156" s="141"/>
      <c r="W156" s="141"/>
      <c r="X156" s="141"/>
      <c r="Y156" s="141"/>
    </row>
    <row r="157" ht="15.0" customHeight="1">
      <c r="A157" s="105"/>
      <c r="C157" s="323"/>
      <c r="D157" s="464"/>
      <c r="E157" s="465" t="s">
        <v>2517</v>
      </c>
      <c r="F157" s="466">
        <f>G5+G7+G9+H12-F156</f>
        <v>430024202.6</v>
      </c>
      <c r="G157" s="467"/>
      <c r="H157" s="468"/>
      <c r="I157" s="107"/>
      <c r="J157" s="141"/>
      <c r="K157" s="141"/>
      <c r="L157" s="83"/>
      <c r="M157" s="84"/>
      <c r="N157" s="141"/>
      <c r="O157" s="141"/>
      <c r="P157" s="141"/>
      <c r="Q157" s="141"/>
      <c r="R157" s="141"/>
      <c r="S157" s="141"/>
      <c r="T157" s="141"/>
      <c r="U157" s="141"/>
      <c r="V157" s="141"/>
      <c r="W157" s="141"/>
      <c r="X157" s="141"/>
      <c r="Y157" s="141"/>
    </row>
    <row r="158" ht="15.0" customHeight="1">
      <c r="A158" s="105"/>
      <c r="C158" s="323"/>
      <c r="D158" s="323"/>
      <c r="E158" s="325"/>
      <c r="F158" s="414"/>
      <c r="G158" s="327"/>
      <c r="H158" s="328"/>
      <c r="I158" s="107"/>
      <c r="J158" s="141"/>
      <c r="K158" s="141"/>
      <c r="L158" s="83"/>
      <c r="M158" s="84"/>
      <c r="N158" s="141"/>
      <c r="O158" s="141"/>
      <c r="P158" s="141"/>
      <c r="Q158" s="141"/>
      <c r="R158" s="141"/>
      <c r="S158" s="141"/>
      <c r="T158" s="141"/>
      <c r="U158" s="141"/>
      <c r="V158" s="141"/>
      <c r="W158" s="141"/>
      <c r="X158" s="141"/>
      <c r="Y158" s="141"/>
    </row>
    <row r="159" ht="15.0" customHeight="1">
      <c r="A159" s="105"/>
      <c r="C159" s="323"/>
      <c r="D159" s="399" t="s">
        <v>2518</v>
      </c>
      <c r="E159" s="469"/>
      <c r="F159" s="470">
        <v>8.0808184E7</v>
      </c>
      <c r="G159" s="402" t="s">
        <v>2519</v>
      </c>
      <c r="H159" s="398" t="s">
        <v>41</v>
      </c>
      <c r="I159" s="107"/>
      <c r="J159" s="141"/>
      <c r="K159" s="141"/>
      <c r="L159" s="83"/>
      <c r="M159" s="84"/>
      <c r="N159" s="141"/>
      <c r="O159" s="141"/>
      <c r="P159" s="141"/>
      <c r="Q159" s="141"/>
      <c r="R159" s="141"/>
      <c r="S159" s="141"/>
      <c r="T159" s="141"/>
      <c r="U159" s="141"/>
      <c r="V159" s="141"/>
      <c r="W159" s="141"/>
      <c r="X159" s="141"/>
      <c r="Y159" s="141"/>
    </row>
    <row r="160" ht="15.0" customHeight="1">
      <c r="A160" s="105"/>
      <c r="C160" s="323"/>
      <c r="D160" s="399" t="s">
        <v>2518</v>
      </c>
      <c r="E160" s="469"/>
      <c r="F160" s="470">
        <v>7732279.0</v>
      </c>
      <c r="G160" s="402" t="s">
        <v>2520</v>
      </c>
      <c r="H160" s="398" t="s">
        <v>41</v>
      </c>
      <c r="I160" s="107"/>
      <c r="J160" s="141"/>
      <c r="K160" s="141"/>
      <c r="L160" s="83"/>
      <c r="M160" s="84"/>
      <c r="N160" s="141"/>
      <c r="O160" s="141"/>
      <c r="P160" s="141"/>
      <c r="Q160" s="141"/>
      <c r="R160" s="141"/>
      <c r="S160" s="141"/>
      <c r="T160" s="141"/>
      <c r="U160" s="141"/>
      <c r="V160" s="141"/>
      <c r="W160" s="141"/>
      <c r="X160" s="141"/>
      <c r="Y160" s="141"/>
    </row>
    <row r="161" ht="15.0" customHeight="1">
      <c r="A161" s="105"/>
      <c r="C161" s="323"/>
      <c r="D161" s="399" t="s">
        <v>2521</v>
      </c>
      <c r="E161" s="469"/>
      <c r="F161" s="470">
        <v>5.0850468E7</v>
      </c>
      <c r="G161" s="402" t="s">
        <v>2519</v>
      </c>
      <c r="H161" s="398" t="s">
        <v>41</v>
      </c>
      <c r="I161" s="107"/>
      <c r="J161" s="141"/>
      <c r="K161" s="141"/>
      <c r="L161" s="83"/>
      <c r="M161" s="84"/>
      <c r="N161" s="141"/>
      <c r="O161" s="141"/>
      <c r="P161" s="141"/>
      <c r="Q161" s="141"/>
      <c r="R161" s="141"/>
      <c r="S161" s="141"/>
      <c r="T161" s="141"/>
      <c r="U161" s="141"/>
      <c r="V161" s="141"/>
      <c r="W161" s="141"/>
      <c r="X161" s="141"/>
      <c r="Y161" s="141"/>
    </row>
    <row r="162">
      <c r="C162" s="323"/>
      <c r="D162" s="399" t="s">
        <v>2521</v>
      </c>
      <c r="E162" s="469"/>
      <c r="F162" s="470">
        <v>246570.0</v>
      </c>
      <c r="G162" s="402" t="s">
        <v>2520</v>
      </c>
      <c r="H162" s="398" t="s">
        <v>41</v>
      </c>
    </row>
    <row r="163" ht="15.0" customHeight="1">
      <c r="A163" s="105"/>
      <c r="C163" s="323"/>
      <c r="I163" s="107"/>
      <c r="J163" s="141"/>
      <c r="K163" s="141"/>
      <c r="L163" s="83"/>
      <c r="M163" s="84"/>
      <c r="N163" s="141"/>
      <c r="O163" s="141"/>
      <c r="P163" s="141"/>
      <c r="Q163" s="141"/>
      <c r="R163" s="141"/>
      <c r="S163" s="141"/>
      <c r="T163" s="141"/>
      <c r="U163" s="141"/>
      <c r="V163" s="141"/>
      <c r="W163" s="141"/>
      <c r="X163" s="141"/>
      <c r="Y163" s="141"/>
    </row>
    <row r="164" ht="15.0" customHeight="1">
      <c r="A164" s="105"/>
      <c r="C164" s="323"/>
      <c r="D164" s="323"/>
      <c r="E164" s="337"/>
      <c r="F164" s="325"/>
      <c r="G164" s="327"/>
      <c r="H164" s="328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C165" s="323"/>
      <c r="D165" s="323"/>
      <c r="E165" s="326"/>
      <c r="F165" s="424"/>
      <c r="G165" s="327"/>
      <c r="H165" s="286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C166" s="323"/>
      <c r="D166" s="323"/>
      <c r="E166" s="326"/>
      <c r="F166" s="424"/>
      <c r="G166" s="327"/>
      <c r="H166" s="286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C167" s="323"/>
      <c r="D167" s="323"/>
      <c r="E167" s="326"/>
      <c r="F167" s="424"/>
      <c r="G167" s="327"/>
      <c r="H167" s="286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C168" s="323"/>
      <c r="D168" s="323"/>
      <c r="E168" s="337"/>
      <c r="F168" s="325"/>
      <c r="G168" s="327"/>
      <c r="H168" s="286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>
      <c r="C169" s="323"/>
      <c r="D169" s="323"/>
      <c r="E169" s="337"/>
      <c r="F169" s="325"/>
      <c r="G169" s="327"/>
      <c r="H169" s="286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341"/>
      <c r="C170" s="323"/>
      <c r="D170" s="323"/>
      <c r="E170" s="337"/>
      <c r="F170" s="325"/>
      <c r="G170" s="327"/>
      <c r="H170" s="328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C171" s="323"/>
      <c r="D171" s="323"/>
      <c r="E171" s="337"/>
      <c r="F171" s="325"/>
      <c r="G171" s="327"/>
      <c r="H171" s="328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D172" s="323"/>
      <c r="E172" s="337"/>
      <c r="F172" s="325"/>
      <c r="G172" s="327"/>
      <c r="H172" s="328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D173" s="323"/>
      <c r="E173" s="337"/>
      <c r="F173" s="325"/>
      <c r="G173" s="327"/>
      <c r="H173" s="328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D174" s="323"/>
      <c r="E174" s="337"/>
      <c r="F174" s="325"/>
      <c r="G174" s="327"/>
      <c r="H174" s="328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D175" s="323"/>
      <c r="E175" s="337"/>
      <c r="F175" s="325"/>
      <c r="G175" s="327"/>
      <c r="H175" s="328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D176" s="323"/>
      <c r="E176" s="337"/>
      <c r="F176" s="414"/>
      <c r="G176" s="313"/>
      <c r="H176" s="328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D177" s="444"/>
      <c r="E177" s="337"/>
      <c r="F177" s="337"/>
      <c r="G177" s="415"/>
      <c r="H177" s="328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D178" s="323"/>
      <c r="E178" s="337"/>
      <c r="F178" s="404"/>
      <c r="G178" s="327"/>
      <c r="H178" s="328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H179" s="328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H180" s="328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H181" s="328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H182" s="328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H183" s="328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H184" s="328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H185" s="328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H186" s="328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H187" s="328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H188" s="328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H189" s="328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H190" s="328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H191" s="328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H192" s="328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H193" s="328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H194" s="328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H195" s="328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H196" s="328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H197" s="328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H198" s="328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H199" s="328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H200" s="328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H201" s="328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H202" s="328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H203" s="328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H204" s="328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  <row r="206" ht="15.0" customHeight="1">
      <c r="A206" s="105"/>
      <c r="I206" s="107"/>
      <c r="J206" s="141"/>
      <c r="K206" s="138"/>
      <c r="L206" s="99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</row>
    <row r="207" ht="15.0" customHeight="1">
      <c r="A207" s="105"/>
      <c r="I207" s="107"/>
      <c r="J207" s="141"/>
      <c r="K207" s="138"/>
      <c r="L207" s="99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</row>
    <row r="208" ht="15.0" customHeight="1">
      <c r="A208" s="105"/>
      <c r="I208" s="107"/>
      <c r="J208" s="141"/>
      <c r="K208" s="138"/>
      <c r="L208" s="99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</row>
    <row r="209" ht="15.0" customHeight="1">
      <c r="A209" s="105"/>
      <c r="I209" s="107"/>
      <c r="J209" s="141"/>
      <c r="K209" s="138"/>
      <c r="L209" s="99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</row>
    <row r="210" ht="15.0" customHeight="1">
      <c r="A210" s="105"/>
      <c r="I210" s="107"/>
      <c r="J210" s="141"/>
      <c r="K210" s="138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</row>
    <row r="211" ht="15.0" customHeight="1">
      <c r="A211" s="105"/>
      <c r="I211" s="107"/>
      <c r="J211" s="141"/>
      <c r="K211" s="138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</row>
    <row r="212" ht="15.0" customHeight="1">
      <c r="A212" s="105"/>
      <c r="I212" s="107"/>
      <c r="J212" s="141"/>
      <c r="K212" s="138"/>
      <c r="L212" s="99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</row>
    <row r="213" ht="15.0" customHeight="1">
      <c r="A213" s="105"/>
      <c r="I213" s="107"/>
      <c r="J213" s="141"/>
      <c r="K213" s="138"/>
      <c r="L213" s="99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</row>
    <row r="214" ht="15.0" customHeight="1">
      <c r="A214" s="105"/>
      <c r="I214" s="107"/>
      <c r="J214" s="141"/>
      <c r="K214" s="138"/>
      <c r="L214" s="99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</row>
    <row r="215" ht="15.0" customHeight="1">
      <c r="A215" s="105"/>
      <c r="I215" s="107"/>
      <c r="J215" s="141"/>
      <c r="K215" s="138"/>
      <c r="L215" s="99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</row>
    <row r="216" ht="15.0" customHeight="1">
      <c r="A216" s="105"/>
      <c r="I216" s="107"/>
      <c r="J216" s="141"/>
      <c r="K216" s="138"/>
      <c r="L216" s="99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</row>
    <row r="217" ht="15.0" customHeight="1">
      <c r="A217" s="105"/>
      <c r="I217" s="107"/>
      <c r="J217" s="141"/>
      <c r="K217" s="138"/>
      <c r="L217" s="99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</row>
    <row r="218" ht="15.0" customHeight="1">
      <c r="A218" s="105"/>
      <c r="I218" s="107"/>
      <c r="J218" s="141"/>
      <c r="K218" s="138"/>
      <c r="L218" s="99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</row>
    <row r="219" ht="15.0" customHeight="1">
      <c r="A219" s="105"/>
      <c r="I219" s="107"/>
      <c r="J219" s="141"/>
      <c r="K219" s="138"/>
      <c r="L219" s="99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</row>
    <row r="220" ht="15.0" customHeight="1">
      <c r="A220" s="105"/>
      <c r="I220" s="107"/>
      <c r="J220" s="141"/>
      <c r="K220" s="138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</row>
    <row r="221" ht="15.0" customHeight="1">
      <c r="A221" s="105"/>
      <c r="I221" s="107"/>
      <c r="J221" s="141"/>
      <c r="K221" s="138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</row>
  </sheetData>
  <autoFilter ref="$B$24:$H$156">
    <sortState ref="B24:H156">
      <sortCondition ref="B24:B156"/>
    </sortState>
  </autoFilter>
  <customSheetViews>
    <customSheetView guid="{CD2BF927-9D79-47FC-BBA8-927062D6B3F5}" filter="1" showAutoFilter="1">
      <autoFilter ref="$B$24:$H$156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62 H164:H204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2522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'25.09월'!G5</f>
        <v>97204</v>
      </c>
      <c r="E5" s="355">
        <f t="shared" ref="E5:E17" si="1">sumif($B$25:$B$246,B5,$E$25:$E$246)</f>
        <v>2000000</v>
      </c>
      <c r="F5" s="356">
        <f t="shared" ref="F5:F17" si="2">sumif($B$25:$B$246,B5,$F$25:$F$246)</f>
        <v>1854600</v>
      </c>
      <c r="G5" s="229">
        <f t="shared" ref="G5:G17" si="3">D5+E5-F5</f>
        <v>242604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'25.09월'!G6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'25.09월'!G7</f>
        <v>4590283</v>
      </c>
      <c r="E7" s="359">
        <f t="shared" si="1"/>
        <v>2000000</v>
      </c>
      <c r="F7" s="360">
        <f t="shared" si="2"/>
        <v>5823234</v>
      </c>
      <c r="G7" s="239">
        <f t="shared" si="3"/>
        <v>767049</v>
      </c>
      <c r="H7" s="125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'25.09월'!G8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'25.09월'!G9</f>
        <v>177988639</v>
      </c>
      <c r="E9" s="359">
        <f t="shared" si="1"/>
        <v>11640</v>
      </c>
      <c r="F9" s="360">
        <f t="shared" si="2"/>
        <v>76362982</v>
      </c>
      <c r="G9" s="239">
        <f t="shared" si="3"/>
        <v>101637297</v>
      </c>
      <c r="H9" s="439">
        <f>G5+G7+G9</f>
        <v>102646950</v>
      </c>
      <c r="I9" s="440">
        <f>(G5+G7+G9)/J3</f>
        <v>69698.65386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'25.09월'!G10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'25.09월'!G11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'25.09월'!G12</f>
        <v>203715.43</v>
      </c>
      <c r="E12" s="361">
        <f t="shared" si="1"/>
        <v>672.85</v>
      </c>
      <c r="F12" s="362">
        <f t="shared" si="2"/>
        <v>203798.31</v>
      </c>
      <c r="G12" s="329">
        <f t="shared" si="3"/>
        <v>589.97</v>
      </c>
      <c r="H12" s="422">
        <f>G12*J3</f>
        <v>868863.5682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'25.09월'!G13</f>
        <v>458.64</v>
      </c>
      <c r="E13" s="363">
        <f t="shared" si="1"/>
        <v>369.06</v>
      </c>
      <c r="F13" s="364">
        <f t="shared" si="2"/>
        <v>827.7</v>
      </c>
      <c r="G13" s="320">
        <f t="shared" si="3"/>
        <v>0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'25.09월'!G14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'25.09월'!G15</f>
        <v>21.33</v>
      </c>
      <c r="E15" s="361">
        <f t="shared" si="1"/>
        <v>0</v>
      </c>
      <c r="F15" s="358">
        <f t="shared" si="2"/>
        <v>0</v>
      </c>
      <c r="G15" s="235">
        <f t="shared" si="3"/>
        <v>21.33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'25.09월'!G16</f>
        <v>0</v>
      </c>
      <c r="E16" s="366">
        <f t="shared" si="1"/>
        <v>0</v>
      </c>
      <c r="F16" s="367">
        <f t="shared" si="2"/>
        <v>0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'25.09월'!G17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182676131</v>
      </c>
      <c r="E18" s="262">
        <f t="shared" si="4"/>
        <v>4011640</v>
      </c>
      <c r="F18" s="263">
        <f t="shared" si="4"/>
        <v>84040816</v>
      </c>
      <c r="G18" s="345">
        <f t="shared" si="4"/>
        <v>102646955</v>
      </c>
      <c r="H18" s="353">
        <f>G18</f>
        <v>102646955</v>
      </c>
      <c r="I18" s="353">
        <f>D18</f>
        <v>182676131</v>
      </c>
      <c r="J18" s="133">
        <f>G18</f>
        <v>102646955</v>
      </c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203854.606</v>
      </c>
      <c r="E19" s="269">
        <f t="shared" si="5"/>
        <v>672.85</v>
      </c>
      <c r="F19" s="270">
        <f t="shared" si="5"/>
        <v>203798.31</v>
      </c>
      <c r="G19" s="346">
        <f t="shared" si="5"/>
        <v>729.145998</v>
      </c>
      <c r="H19" s="265">
        <f>rounddown(G19*$J$3,0)</f>
        <v>1073831</v>
      </c>
      <c r="I19" s="265">
        <f>rounddown(D19*$J$3,0)</f>
        <v>300221774</v>
      </c>
      <c r="J19" s="134">
        <f>G19*1432.2</f>
        <v>1044282.898</v>
      </c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458.64</v>
      </c>
      <c r="E20" s="274">
        <f t="shared" si="6"/>
        <v>369.06</v>
      </c>
      <c r="F20" s="275">
        <f t="shared" si="6"/>
        <v>827.7</v>
      </c>
      <c r="G20" s="347">
        <f t="shared" si="6"/>
        <v>0</v>
      </c>
      <c r="H20" s="277">
        <f>rounddown(G20*$J$4,0)</f>
        <v>0</v>
      </c>
      <c r="I20" s="277">
        <f>rounddown(D20*$J$4,0)</f>
        <v>524631</v>
      </c>
      <c r="J20" s="103">
        <f>G20*1094.64</f>
        <v>-0.000000004915623322</v>
      </c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J21" si="7">SUM(H18:H20)</f>
        <v>103720786</v>
      </c>
      <c r="I21" s="279">
        <f t="shared" si="7"/>
        <v>483422536</v>
      </c>
      <c r="J21" s="279">
        <f t="shared" si="7"/>
        <v>103691237.9</v>
      </c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471"/>
      <c r="B22" s="280"/>
      <c r="C22" s="280"/>
      <c r="D22" s="280"/>
      <c r="E22" s="311"/>
      <c r="F22" s="311"/>
      <c r="G22" s="280"/>
      <c r="H22" s="336">
        <f>H21-I21</f>
        <v>-379701750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-257822.5738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">
        <v>1582</v>
      </c>
      <c r="C25" s="323" t="s">
        <v>2523</v>
      </c>
      <c r="D25" s="323" t="s">
        <v>1552</v>
      </c>
      <c r="E25" s="337"/>
      <c r="F25" s="325">
        <v>135960.0</v>
      </c>
      <c r="G25" s="313" t="s">
        <v>2044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">
        <v>1582</v>
      </c>
      <c r="C26" s="323" t="s">
        <v>2523</v>
      </c>
      <c r="D26" s="323" t="s">
        <v>789</v>
      </c>
      <c r="E26" s="425"/>
      <c r="F26" s="325">
        <v>6604620.0</v>
      </c>
      <c r="G26" s="327" t="s">
        <v>1466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">
        <v>552</v>
      </c>
      <c r="C27" s="323" t="s">
        <v>2523</v>
      </c>
      <c r="D27" s="323" t="s">
        <v>2483</v>
      </c>
      <c r="E27" s="337"/>
      <c r="F27" s="325">
        <v>3502925.0</v>
      </c>
      <c r="G27" s="327" t="s">
        <v>2484</v>
      </c>
      <c r="H27" s="328" t="s">
        <v>39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">
        <v>552</v>
      </c>
      <c r="C28" s="323" t="s">
        <v>2523</v>
      </c>
      <c r="D28" s="323" t="s">
        <v>1115</v>
      </c>
      <c r="E28" s="326"/>
      <c r="F28" s="326">
        <v>51270.0</v>
      </c>
      <c r="G28" s="327" t="s">
        <v>2485</v>
      </c>
      <c r="H28" s="286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">
        <v>18</v>
      </c>
      <c r="C29" s="323" t="s">
        <v>2523</v>
      </c>
      <c r="D29" s="323" t="s">
        <v>2524</v>
      </c>
      <c r="E29" s="337"/>
      <c r="F29" s="337">
        <v>203615.07</v>
      </c>
      <c r="G29" s="327" t="s">
        <v>2479</v>
      </c>
      <c r="H29" s="328" t="s">
        <v>930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">
        <v>18</v>
      </c>
      <c r="C30" s="323" t="s">
        <v>2523</v>
      </c>
      <c r="D30" s="323" t="s">
        <v>1072</v>
      </c>
      <c r="E30" s="337"/>
      <c r="F30" s="337">
        <v>8.54</v>
      </c>
      <c r="G30" s="313" t="s">
        <v>1565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">
        <v>18</v>
      </c>
      <c r="C31" s="323" t="s">
        <v>2523</v>
      </c>
      <c r="D31" s="323" t="s">
        <v>2085</v>
      </c>
      <c r="E31" s="337">
        <v>82.88</v>
      </c>
      <c r="F31" s="325"/>
      <c r="G31" s="327" t="s">
        <v>2525</v>
      </c>
      <c r="H31" s="328" t="s">
        <v>2035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">
        <v>1582</v>
      </c>
      <c r="C32" s="323" t="s">
        <v>2526</v>
      </c>
      <c r="D32" s="323" t="s">
        <v>2398</v>
      </c>
      <c r="E32" s="337"/>
      <c r="F32" s="414">
        <v>257680.0</v>
      </c>
      <c r="G32" s="327" t="s">
        <v>2398</v>
      </c>
      <c r="H32" s="286" t="s">
        <v>31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">
        <v>1582</v>
      </c>
      <c r="C33" s="323" t="s">
        <v>2526</v>
      </c>
      <c r="D33" s="323" t="s">
        <v>2399</v>
      </c>
      <c r="E33" s="371"/>
      <c r="F33" s="424">
        <v>3421560.0</v>
      </c>
      <c r="G33" s="327" t="s">
        <v>2399</v>
      </c>
      <c r="H33" s="286" t="s">
        <v>31</v>
      </c>
      <c r="I33" s="107"/>
      <c r="J33" s="141"/>
      <c r="K33" s="138"/>
      <c r="L33" s="83"/>
      <c r="M33" s="83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281" t="s">
        <v>1582</v>
      </c>
      <c r="C34" s="323" t="s">
        <v>2526</v>
      </c>
      <c r="D34" s="323" t="s">
        <v>2400</v>
      </c>
      <c r="E34" s="371"/>
      <c r="F34" s="424">
        <v>734100.0</v>
      </c>
      <c r="G34" s="327" t="s">
        <v>2400</v>
      </c>
      <c r="H34" s="286" t="s">
        <v>31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">
        <v>1582</v>
      </c>
      <c r="C35" s="323" t="s">
        <v>2526</v>
      </c>
      <c r="D35" s="323" t="s">
        <v>2401</v>
      </c>
      <c r="E35" s="371"/>
      <c r="F35" s="424">
        <v>2862100.0</v>
      </c>
      <c r="G35" s="327" t="s">
        <v>2401</v>
      </c>
      <c r="H35" s="286" t="s">
        <v>31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tr">
        <f>B9</f>
        <v>기업 #019</v>
      </c>
      <c r="C36" s="323" t="s">
        <v>2527</v>
      </c>
      <c r="D36" s="323" t="s">
        <v>2528</v>
      </c>
      <c r="E36" s="326"/>
      <c r="F36" s="326">
        <v>2326400.0</v>
      </c>
      <c r="G36" s="327" t="s">
        <v>2529</v>
      </c>
      <c r="H36" s="286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tr">
        <f>B9</f>
        <v>기업 #019</v>
      </c>
      <c r="C37" s="323" t="s">
        <v>2530</v>
      </c>
      <c r="D37" s="323" t="s">
        <v>1981</v>
      </c>
      <c r="E37" s="337"/>
      <c r="F37" s="325">
        <v>2000000.0</v>
      </c>
      <c r="G37" s="327" t="s">
        <v>1035</v>
      </c>
      <c r="H37" s="286" t="s">
        <v>556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tr">
        <f>B9</f>
        <v>기업 #019</v>
      </c>
      <c r="C38" s="323" t="s">
        <v>2530</v>
      </c>
      <c r="D38" s="323" t="s">
        <v>1981</v>
      </c>
      <c r="E38" s="337"/>
      <c r="F38" s="325">
        <v>2000000.0</v>
      </c>
      <c r="G38" s="327" t="s">
        <v>1035</v>
      </c>
      <c r="H38" s="286" t="s">
        <v>556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tr">
        <f>B5</f>
        <v>신한 #672</v>
      </c>
      <c r="C39" s="323" t="s">
        <v>2530</v>
      </c>
      <c r="D39" s="323" t="s">
        <v>1981</v>
      </c>
      <c r="E39" s="325">
        <v>2000000.0</v>
      </c>
      <c r="F39" s="424"/>
      <c r="G39" s="327" t="s">
        <v>1035</v>
      </c>
      <c r="H39" s="286" t="s">
        <v>556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tr">
        <f>B7</f>
        <v>하나 #304</v>
      </c>
      <c r="C40" s="323" t="s">
        <v>2530</v>
      </c>
      <c r="D40" s="323" t="s">
        <v>1981</v>
      </c>
      <c r="E40" s="325">
        <v>2000000.0</v>
      </c>
      <c r="F40" s="424"/>
      <c r="G40" s="327" t="s">
        <v>1035</v>
      </c>
      <c r="H40" s="286" t="s">
        <v>556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">
        <v>1582</v>
      </c>
      <c r="C41" s="323" t="s">
        <v>2531</v>
      </c>
      <c r="D41" s="323" t="s">
        <v>122</v>
      </c>
      <c r="E41" s="371"/>
      <c r="F41" s="424">
        <v>200000.0</v>
      </c>
      <c r="G41" s="327" t="s">
        <v>2532</v>
      </c>
      <c r="H41" s="286" t="s">
        <v>29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">
        <v>1582</v>
      </c>
      <c r="C42" s="323" t="s">
        <v>2531</v>
      </c>
      <c r="D42" s="379" t="s">
        <v>84</v>
      </c>
      <c r="E42" s="425"/>
      <c r="F42" s="325">
        <v>1345643.0</v>
      </c>
      <c r="G42" s="354" t="s">
        <v>1660</v>
      </c>
      <c r="H42" s="450" t="s">
        <v>1642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">
        <v>1582</v>
      </c>
      <c r="C43" s="323" t="s">
        <v>2533</v>
      </c>
      <c r="D43" s="323" t="s">
        <v>2218</v>
      </c>
      <c r="E43" s="326">
        <v>11640.0</v>
      </c>
      <c r="F43" s="424"/>
      <c r="G43" s="327" t="s">
        <v>84</v>
      </c>
      <c r="H43" s="286" t="s">
        <v>75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">
        <v>14</v>
      </c>
      <c r="C44" s="323" t="s">
        <v>2534</v>
      </c>
      <c r="D44" s="323" t="s">
        <v>1202</v>
      </c>
      <c r="E44" s="325"/>
      <c r="F44" s="325">
        <v>110000.0</v>
      </c>
      <c r="G44" s="327" t="s">
        <v>1202</v>
      </c>
      <c r="H44" s="328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">
        <v>22</v>
      </c>
      <c r="C45" s="323" t="s">
        <v>2531</v>
      </c>
      <c r="D45" s="323" t="s">
        <v>2068</v>
      </c>
      <c r="E45" s="337">
        <v>369.06</v>
      </c>
      <c r="F45" s="325"/>
      <c r="G45" s="327" t="s">
        <v>2076</v>
      </c>
      <c r="H45" s="328" t="s">
        <v>2035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">
        <v>18</v>
      </c>
      <c r="C46" s="323" t="s">
        <v>2535</v>
      </c>
      <c r="D46" s="323" t="s">
        <v>1816</v>
      </c>
      <c r="E46" s="337"/>
      <c r="F46" s="337">
        <v>174.7</v>
      </c>
      <c r="G46" s="313" t="s">
        <v>1719</v>
      </c>
      <c r="H46" s="328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">
        <v>22</v>
      </c>
      <c r="C47" s="323" t="s">
        <v>2535</v>
      </c>
      <c r="D47" s="323" t="s">
        <v>1816</v>
      </c>
      <c r="E47" s="326"/>
      <c r="F47" s="337">
        <v>58.88</v>
      </c>
      <c r="G47" s="313" t="s">
        <v>1719</v>
      </c>
      <c r="H47" s="328" t="s">
        <v>33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">
        <v>552</v>
      </c>
      <c r="C48" s="323" t="s">
        <v>2536</v>
      </c>
      <c r="D48" s="379" t="s">
        <v>721</v>
      </c>
      <c r="E48" s="425"/>
      <c r="F48" s="425">
        <f>696700+1572339</f>
        <v>2269039</v>
      </c>
      <c r="G48" s="354" t="s">
        <v>721</v>
      </c>
      <c r="H48" s="450" t="s">
        <v>33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">
        <v>14</v>
      </c>
      <c r="C49" s="323" t="s">
        <v>2536</v>
      </c>
      <c r="D49" s="379" t="s">
        <v>1633</v>
      </c>
      <c r="E49" s="425"/>
      <c r="F49" s="325">
        <v>1017470.0</v>
      </c>
      <c r="G49" s="354" t="s">
        <v>1633</v>
      </c>
      <c r="H49" s="450" t="s">
        <v>33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">
        <v>1582</v>
      </c>
      <c r="C50" s="323" t="s">
        <v>2536</v>
      </c>
      <c r="D50" s="379" t="s">
        <v>1669</v>
      </c>
      <c r="E50" s="425"/>
      <c r="F50" s="325">
        <v>1261829.0</v>
      </c>
      <c r="G50" s="354" t="s">
        <v>1669</v>
      </c>
      <c r="H50" s="450" t="s">
        <v>33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">
        <v>14</v>
      </c>
      <c r="C51" s="323" t="s">
        <v>2536</v>
      </c>
      <c r="D51" s="379" t="s">
        <v>1950</v>
      </c>
      <c r="E51" s="455"/>
      <c r="F51" s="425">
        <v>55700.0</v>
      </c>
      <c r="G51" s="354" t="s">
        <v>1951</v>
      </c>
      <c r="H51" s="450" t="s">
        <v>27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">
        <v>14</v>
      </c>
      <c r="C52" s="323" t="s">
        <v>2536</v>
      </c>
      <c r="D52" s="379" t="s">
        <v>497</v>
      </c>
      <c r="E52" s="455"/>
      <c r="F52" s="425">
        <v>330000.0</v>
      </c>
      <c r="G52" s="354" t="s">
        <v>1952</v>
      </c>
      <c r="H52" s="450" t="s">
        <v>33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">
        <v>14</v>
      </c>
      <c r="C53" s="323" t="s">
        <v>2536</v>
      </c>
      <c r="D53" s="379" t="s">
        <v>1953</v>
      </c>
      <c r="E53" s="455"/>
      <c r="F53" s="459">
        <v>37430.0</v>
      </c>
      <c r="G53" s="426" t="s">
        <v>1038</v>
      </c>
      <c r="H53" s="450" t="s">
        <v>4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">
        <v>14</v>
      </c>
      <c r="C54" s="323" t="s">
        <v>2536</v>
      </c>
      <c r="D54" s="379" t="s">
        <v>1953</v>
      </c>
      <c r="E54" s="455"/>
      <c r="F54" s="425">
        <v>37430.0</v>
      </c>
      <c r="G54" s="354" t="s">
        <v>1038</v>
      </c>
      <c r="H54" s="450" t="s">
        <v>4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">
        <v>14</v>
      </c>
      <c r="C55" s="323" t="s">
        <v>2536</v>
      </c>
      <c r="D55" s="379" t="s">
        <v>1953</v>
      </c>
      <c r="E55" s="455"/>
      <c r="F55" s="425">
        <v>50250.0</v>
      </c>
      <c r="G55" s="354" t="s">
        <v>1040</v>
      </c>
      <c r="H55" s="457" t="s">
        <v>4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">
        <v>14</v>
      </c>
      <c r="C56" s="323" t="s">
        <v>2536</v>
      </c>
      <c r="D56" s="379" t="s">
        <v>1953</v>
      </c>
      <c r="E56" s="455"/>
      <c r="F56" s="425">
        <v>20660.0</v>
      </c>
      <c r="G56" s="354" t="s">
        <v>1039</v>
      </c>
      <c r="H56" s="450" t="s">
        <v>4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50" t="s">
        <v>14</v>
      </c>
      <c r="C57" s="323" t="s">
        <v>2536</v>
      </c>
      <c r="D57" s="379" t="s">
        <v>1953</v>
      </c>
      <c r="E57" s="455"/>
      <c r="F57" s="425">
        <v>20660.0</v>
      </c>
      <c r="G57" s="354" t="s">
        <v>1039</v>
      </c>
      <c r="H57" s="450" t="s">
        <v>4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350" t="s">
        <v>14</v>
      </c>
      <c r="C58" s="323" t="s">
        <v>2536</v>
      </c>
      <c r="D58" s="379" t="s">
        <v>1954</v>
      </c>
      <c r="E58" s="455"/>
      <c r="F58" s="425">
        <v>98000.0</v>
      </c>
      <c r="G58" s="354" t="s">
        <v>1047</v>
      </c>
      <c r="H58" s="450" t="s">
        <v>4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50" t="s">
        <v>1582</v>
      </c>
      <c r="C59" s="323" t="s">
        <v>2536</v>
      </c>
      <c r="D59" s="323" t="s">
        <v>122</v>
      </c>
      <c r="E59" s="337"/>
      <c r="F59" s="325">
        <v>200000.0</v>
      </c>
      <c r="G59" s="327" t="s">
        <v>2532</v>
      </c>
      <c r="H59" s="328" t="s">
        <v>29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50" t="s">
        <v>1582</v>
      </c>
      <c r="C60" s="323" t="s">
        <v>2536</v>
      </c>
      <c r="D60" s="379" t="s">
        <v>41</v>
      </c>
      <c r="E60" s="455"/>
      <c r="F60" s="325">
        <v>3.6064967E7</v>
      </c>
      <c r="G60" s="354" t="s">
        <v>41</v>
      </c>
      <c r="H60" s="450" t="s">
        <v>41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 t="s">
        <v>1582</v>
      </c>
      <c r="C61" s="323" t="s">
        <v>2535</v>
      </c>
      <c r="D61" s="379" t="s">
        <v>1991</v>
      </c>
      <c r="E61" s="425"/>
      <c r="F61" s="414">
        <v>9021423.0</v>
      </c>
      <c r="G61" s="313" t="s">
        <v>2100</v>
      </c>
      <c r="H61" s="450" t="s">
        <v>33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">
        <v>1582</v>
      </c>
      <c r="C62" s="323" t="s">
        <v>2535</v>
      </c>
      <c r="D62" s="323" t="s">
        <v>2528</v>
      </c>
      <c r="E62" s="337"/>
      <c r="F62" s="325">
        <v>7926700.0</v>
      </c>
      <c r="G62" s="327" t="s">
        <v>2537</v>
      </c>
      <c r="H62" s="450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">
        <v>14</v>
      </c>
      <c r="C63" s="323" t="s">
        <v>2538</v>
      </c>
      <c r="D63" s="323" t="s">
        <v>920</v>
      </c>
      <c r="E63" s="337"/>
      <c r="F63" s="414">
        <v>77000.0</v>
      </c>
      <c r="G63" s="327" t="s">
        <v>1006</v>
      </c>
      <c r="H63" s="286" t="s">
        <v>33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 t="s">
        <v>22</v>
      </c>
      <c r="C64" s="323" t="s">
        <v>2538</v>
      </c>
      <c r="D64" s="323" t="s">
        <v>1110</v>
      </c>
      <c r="E64" s="337"/>
      <c r="F64" s="337">
        <v>768.82</v>
      </c>
      <c r="G64" s="327" t="s">
        <v>679</v>
      </c>
      <c r="H64" s="328" t="s">
        <v>556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">
        <v>18</v>
      </c>
      <c r="C65" s="323" t="s">
        <v>2538</v>
      </c>
      <c r="D65" s="323" t="s">
        <v>1110</v>
      </c>
      <c r="E65" s="337">
        <v>589.97</v>
      </c>
      <c r="F65" s="337"/>
      <c r="G65" s="327" t="s">
        <v>679</v>
      </c>
      <c r="H65" s="328" t="s">
        <v>556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281"/>
      <c r="C66" s="323"/>
      <c r="D66" s="323"/>
      <c r="E66" s="325"/>
      <c r="F66" s="325"/>
      <c r="G66" s="327"/>
      <c r="H66" s="328"/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281"/>
      <c r="C67" s="323"/>
      <c r="D67" s="323"/>
      <c r="E67" s="326"/>
      <c r="F67" s="326"/>
      <c r="G67" s="327"/>
      <c r="H67" s="328"/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281"/>
      <c r="C68" s="323"/>
      <c r="D68" s="323"/>
      <c r="E68" s="326"/>
      <c r="F68" s="326"/>
      <c r="G68" s="327"/>
      <c r="H68" s="328"/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281"/>
      <c r="C69" s="323"/>
      <c r="D69" s="323"/>
      <c r="E69" s="326"/>
      <c r="F69" s="326"/>
      <c r="G69" s="327"/>
      <c r="H69" s="328"/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/>
      <c r="C70" s="323"/>
      <c r="D70" s="323"/>
      <c r="E70" s="326"/>
      <c r="F70" s="326"/>
      <c r="G70" s="327"/>
      <c r="H70" s="328"/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281"/>
      <c r="C71" s="323"/>
      <c r="D71" s="323"/>
      <c r="E71" s="325"/>
      <c r="F71" s="325"/>
      <c r="G71" s="327"/>
      <c r="H71" s="328"/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281"/>
      <c r="C72" s="323"/>
      <c r="D72" s="323"/>
      <c r="E72" s="371"/>
      <c r="F72" s="424"/>
      <c r="G72" s="327"/>
      <c r="H72" s="286"/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281"/>
      <c r="C73" s="323"/>
      <c r="D73" s="323"/>
      <c r="E73" s="371"/>
      <c r="F73" s="424"/>
      <c r="G73" s="327"/>
      <c r="H73" s="286"/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281"/>
      <c r="C74" s="323"/>
      <c r="D74" s="323"/>
      <c r="E74" s="337"/>
      <c r="F74" s="337"/>
      <c r="G74" s="327"/>
      <c r="H74" s="328"/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281"/>
      <c r="C75" s="323"/>
      <c r="D75" s="323"/>
      <c r="E75" s="337"/>
      <c r="F75" s="337"/>
      <c r="G75" s="327"/>
      <c r="H75" s="328"/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281"/>
      <c r="C76" s="323"/>
      <c r="D76" s="323"/>
      <c r="E76" s="337"/>
      <c r="F76" s="337"/>
      <c r="G76" s="327"/>
      <c r="H76" s="328"/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281"/>
      <c r="C77" s="323"/>
      <c r="D77" s="323"/>
      <c r="E77" s="337"/>
      <c r="F77" s="337"/>
      <c r="G77" s="313"/>
      <c r="H77" s="328"/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281"/>
      <c r="C78" s="323"/>
      <c r="D78" s="323"/>
      <c r="E78" s="337"/>
      <c r="F78" s="414"/>
      <c r="G78" s="327"/>
      <c r="H78" s="286"/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281"/>
      <c r="C79" s="323"/>
      <c r="D79" s="323"/>
      <c r="E79" s="337"/>
      <c r="F79" s="325"/>
      <c r="G79" s="327"/>
      <c r="H79" s="328"/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281"/>
      <c r="C80" s="323"/>
      <c r="D80" s="323"/>
      <c r="E80" s="337"/>
      <c r="F80" s="325"/>
      <c r="G80" s="327"/>
      <c r="H80" s="328"/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281"/>
      <c r="C81" s="323"/>
      <c r="D81" s="323"/>
      <c r="E81" s="337"/>
      <c r="F81" s="414"/>
      <c r="G81" s="313"/>
      <c r="H81" s="328"/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281"/>
      <c r="C82" s="323"/>
      <c r="D82" s="323"/>
      <c r="E82" s="337"/>
      <c r="F82" s="325"/>
      <c r="G82" s="327"/>
      <c r="H82" s="328"/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281"/>
      <c r="C83" s="323"/>
      <c r="D83" s="323"/>
      <c r="E83" s="337"/>
      <c r="F83" s="414"/>
      <c r="G83" s="313"/>
      <c r="H83" s="328"/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281"/>
      <c r="C84" s="323"/>
      <c r="D84" s="323"/>
      <c r="E84" s="337"/>
      <c r="F84" s="325"/>
      <c r="G84" s="313"/>
      <c r="H84" s="328"/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281"/>
      <c r="C85" s="323"/>
      <c r="D85" s="323"/>
      <c r="E85" s="337"/>
      <c r="F85" s="325"/>
      <c r="G85" s="313"/>
      <c r="H85" s="328"/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281"/>
      <c r="C86" s="323"/>
      <c r="D86" s="323"/>
      <c r="E86" s="325"/>
      <c r="F86" s="325"/>
      <c r="G86" s="327"/>
      <c r="H86" s="328"/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281"/>
      <c r="C87" s="323"/>
      <c r="D87" s="323"/>
      <c r="E87" s="325"/>
      <c r="F87" s="325"/>
      <c r="G87" s="327"/>
      <c r="H87" s="328"/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281"/>
      <c r="C88" s="323"/>
      <c r="D88" s="323"/>
      <c r="E88" s="325"/>
      <c r="F88" s="325"/>
      <c r="G88" s="327"/>
      <c r="H88" s="328"/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281"/>
      <c r="C89" s="323"/>
      <c r="D89" s="323"/>
      <c r="E89" s="325"/>
      <c r="F89" s="325"/>
      <c r="G89" s="327"/>
      <c r="H89" s="328"/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281"/>
      <c r="C90" s="323"/>
      <c r="D90" s="323"/>
      <c r="E90" s="326"/>
      <c r="F90" s="424"/>
      <c r="G90" s="327"/>
      <c r="H90" s="328"/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281"/>
      <c r="C91" s="323"/>
      <c r="D91" s="391"/>
      <c r="F91" s="443"/>
      <c r="G91" s="327"/>
      <c r="H91" s="328"/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281"/>
      <c r="C92" s="323"/>
      <c r="D92" s="429"/>
      <c r="E92" s="430"/>
      <c r="F92" s="424"/>
      <c r="G92" s="415"/>
      <c r="H92" s="412"/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281"/>
      <c r="C93" s="323"/>
      <c r="D93" s="323"/>
      <c r="E93" s="337"/>
      <c r="F93" s="325"/>
      <c r="G93" s="327"/>
      <c r="H93" s="328"/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281"/>
      <c r="C94" s="323"/>
      <c r="D94" s="323"/>
      <c r="E94" s="337"/>
      <c r="F94" s="325"/>
      <c r="G94" s="327"/>
      <c r="H94" s="328"/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281"/>
      <c r="C95" s="323"/>
      <c r="D95" s="323"/>
      <c r="E95" s="337"/>
      <c r="F95" s="325"/>
      <c r="G95" s="327"/>
      <c r="H95" s="328"/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281"/>
      <c r="C96" s="323"/>
      <c r="D96" s="323"/>
      <c r="E96" s="337"/>
      <c r="F96" s="325"/>
      <c r="G96" s="327"/>
      <c r="H96" s="328"/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281"/>
      <c r="C97" s="323"/>
      <c r="D97" s="323"/>
      <c r="E97" s="337"/>
      <c r="F97" s="325"/>
      <c r="G97" s="327"/>
      <c r="H97" s="328"/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281"/>
      <c r="C98" s="323"/>
      <c r="D98" s="323"/>
      <c r="E98" s="337"/>
      <c r="F98" s="325"/>
      <c r="G98" s="327"/>
      <c r="H98" s="328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281"/>
      <c r="C99" s="323"/>
      <c r="D99" s="323"/>
      <c r="E99" s="337"/>
      <c r="F99" s="325"/>
      <c r="G99" s="313"/>
      <c r="H99" s="328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281"/>
      <c r="C100" s="323"/>
      <c r="D100" s="323"/>
      <c r="E100" s="337"/>
      <c r="F100" s="325"/>
      <c r="G100" s="313"/>
      <c r="H100" s="328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281"/>
      <c r="C101" s="323"/>
      <c r="D101" s="323"/>
      <c r="E101" s="337"/>
      <c r="F101" s="325"/>
      <c r="G101" s="313"/>
      <c r="H101" s="328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281"/>
      <c r="C102" s="323"/>
      <c r="D102" s="323"/>
      <c r="E102" s="325"/>
      <c r="F102" s="414"/>
      <c r="G102" s="327"/>
      <c r="H102" s="286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281"/>
      <c r="C103" s="323"/>
      <c r="D103" s="323"/>
      <c r="E103" s="325"/>
      <c r="F103" s="414"/>
      <c r="G103" s="327"/>
      <c r="H103" s="286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281"/>
      <c r="C104" s="323"/>
      <c r="D104" s="323"/>
      <c r="E104" s="326"/>
      <c r="F104" s="424"/>
      <c r="G104" s="327"/>
      <c r="H104" s="286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281"/>
      <c r="C105" s="323"/>
      <c r="D105" s="323"/>
      <c r="E105" s="326"/>
      <c r="F105" s="424"/>
      <c r="G105" s="327"/>
      <c r="H105" s="286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281"/>
      <c r="C106" s="323"/>
      <c r="D106" s="323"/>
      <c r="E106" s="326"/>
      <c r="F106" s="424"/>
      <c r="G106" s="327"/>
      <c r="H106" s="286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281"/>
      <c r="C107" s="323"/>
      <c r="D107" s="323"/>
      <c r="E107" s="337"/>
      <c r="F107" s="325"/>
      <c r="G107" s="327"/>
      <c r="H107" s="286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281"/>
      <c r="C108" s="323"/>
      <c r="D108" s="323"/>
      <c r="E108" s="337"/>
      <c r="F108" s="325"/>
      <c r="G108" s="327"/>
      <c r="H108" s="286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281"/>
      <c r="C109" s="323"/>
      <c r="D109" s="323"/>
      <c r="E109" s="337"/>
      <c r="F109" s="325"/>
      <c r="G109" s="327"/>
      <c r="H109" s="328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281"/>
      <c r="C110" s="323"/>
      <c r="D110" s="323"/>
      <c r="E110" s="337"/>
      <c r="F110" s="325"/>
      <c r="G110" s="327"/>
      <c r="H110" s="328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281"/>
      <c r="C111" s="323"/>
      <c r="D111" s="323"/>
      <c r="E111" s="337"/>
      <c r="F111" s="325"/>
      <c r="G111" s="327"/>
      <c r="H111" s="328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281"/>
      <c r="C112" s="323"/>
      <c r="D112" s="323"/>
      <c r="E112" s="337"/>
      <c r="F112" s="325"/>
      <c r="G112" s="327"/>
      <c r="H112" s="328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281"/>
      <c r="C113" s="323"/>
      <c r="D113" s="323"/>
      <c r="E113" s="337"/>
      <c r="F113" s="325"/>
      <c r="G113" s="327"/>
      <c r="H113" s="328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281"/>
      <c r="C114" s="323"/>
      <c r="D114" s="323"/>
      <c r="E114" s="337"/>
      <c r="F114" s="325"/>
      <c r="G114" s="327"/>
      <c r="H114" s="328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281"/>
      <c r="C115" s="323"/>
      <c r="D115" s="323"/>
      <c r="E115" s="337"/>
      <c r="F115" s="414"/>
      <c r="G115" s="313"/>
      <c r="H115" s="328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281"/>
      <c r="C116" s="323"/>
      <c r="D116" s="323"/>
      <c r="E116" s="337"/>
      <c r="F116" s="414"/>
      <c r="G116" s="313"/>
      <c r="H116" s="328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B117" s="350"/>
      <c r="C117" s="323"/>
      <c r="D117" s="323" t="s">
        <v>2189</v>
      </c>
      <c r="E117" s="337">
        <v>132.22</v>
      </c>
      <c r="F117" s="337">
        <f>E117*J3</f>
        <v>194723.6995</v>
      </c>
      <c r="G117" s="415" t="s">
        <v>2511</v>
      </c>
      <c r="H117" s="328" t="s">
        <v>930</v>
      </c>
      <c r="I117" s="107"/>
      <c r="J117" s="141"/>
      <c r="K117" s="138"/>
      <c r="L117" s="83"/>
      <c r="M117" s="84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B118" s="412"/>
      <c r="C118" s="323"/>
      <c r="D118" s="444" t="s">
        <v>2187</v>
      </c>
      <c r="E118" s="337">
        <v>148.93</v>
      </c>
      <c r="F118" s="337">
        <f>E118*J3</f>
        <v>219332.9343</v>
      </c>
      <c r="G118" s="415" t="s">
        <v>2512</v>
      </c>
      <c r="H118" s="328" t="s">
        <v>930</v>
      </c>
      <c r="I118" s="107"/>
      <c r="J118" s="141"/>
      <c r="K118" s="138"/>
      <c r="L118" s="83"/>
      <c r="M118" s="84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B119" s="350"/>
      <c r="C119" s="323"/>
      <c r="D119" s="323"/>
      <c r="E119" s="337"/>
      <c r="F119" s="404"/>
      <c r="G119" s="327"/>
      <c r="H119" s="328"/>
      <c r="I119" s="107"/>
      <c r="J119" s="141"/>
      <c r="K119" s="138"/>
      <c r="L119" s="83"/>
      <c r="M119" s="84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B120" s="350"/>
      <c r="C120" s="323"/>
      <c r="D120" s="323"/>
      <c r="E120" s="449"/>
      <c r="F120" s="325"/>
      <c r="G120" s="327"/>
      <c r="H120" s="412"/>
      <c r="I120" s="107"/>
      <c r="J120" s="141"/>
      <c r="K120" s="138"/>
      <c r="L120" s="83"/>
      <c r="M120" s="84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B121" s="350"/>
      <c r="C121" s="323"/>
      <c r="D121" s="323"/>
      <c r="E121" s="449"/>
      <c r="F121" s="325"/>
      <c r="G121" s="327"/>
      <c r="H121" s="328"/>
      <c r="I121" s="107"/>
      <c r="J121" s="141"/>
      <c r="K121" s="138"/>
      <c r="L121" s="83"/>
      <c r="M121" s="84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B122" s="350"/>
      <c r="C122" s="323"/>
      <c r="D122" s="323"/>
      <c r="E122" s="452" t="s">
        <v>2513</v>
      </c>
      <c r="F122" s="453">
        <f>SUM(F114:F121)</f>
        <v>414056.6338</v>
      </c>
      <c r="G122" s="454">
        <f>F122/J3</f>
        <v>281.15</v>
      </c>
      <c r="H122" s="328"/>
      <c r="I122" s="107"/>
      <c r="J122" s="141"/>
      <c r="K122" s="138"/>
      <c r="L122" s="83"/>
      <c r="M122" s="84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C123" s="323"/>
      <c r="D123" s="323"/>
      <c r="E123" s="325"/>
      <c r="F123" s="414"/>
      <c r="G123" s="327"/>
      <c r="H123" s="328"/>
      <c r="I123" s="107"/>
      <c r="J123" s="141"/>
      <c r="K123" s="138"/>
      <c r="L123" s="83"/>
      <c r="M123" s="84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C124" s="323" t="s">
        <v>2539</v>
      </c>
      <c r="D124" s="379" t="s">
        <v>1552</v>
      </c>
      <c r="E124" s="455"/>
      <c r="F124" s="325"/>
      <c r="G124" s="327" t="s">
        <v>2102</v>
      </c>
      <c r="H124" s="450" t="s">
        <v>33</v>
      </c>
      <c r="I124" s="107"/>
      <c r="J124" s="141"/>
      <c r="K124" s="138"/>
      <c r="L124" s="83"/>
      <c r="M124" s="84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C125" s="323"/>
      <c r="D125" s="379" t="s">
        <v>789</v>
      </c>
      <c r="E125" s="456"/>
      <c r="F125" s="326"/>
      <c r="G125" s="327" t="s">
        <v>1510</v>
      </c>
      <c r="H125" s="457" t="s">
        <v>33</v>
      </c>
      <c r="I125" s="107"/>
      <c r="J125" s="141"/>
      <c r="K125" s="138"/>
      <c r="L125" s="83"/>
      <c r="M125" s="84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C126" s="323"/>
      <c r="D126" s="379" t="s">
        <v>2398</v>
      </c>
      <c r="E126" s="458"/>
      <c r="F126" s="424"/>
      <c r="G126" s="354" t="s">
        <v>2398</v>
      </c>
      <c r="H126" s="457" t="s">
        <v>31</v>
      </c>
      <c r="I126" s="107"/>
      <c r="J126" s="141"/>
      <c r="K126" s="138"/>
      <c r="L126" s="83"/>
      <c r="M126" s="84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C127" s="323"/>
      <c r="D127" s="379" t="s">
        <v>2399</v>
      </c>
      <c r="E127" s="458"/>
      <c r="F127" s="424"/>
      <c r="G127" s="354" t="s">
        <v>2399</v>
      </c>
      <c r="H127" s="457" t="s">
        <v>31</v>
      </c>
      <c r="I127" s="107"/>
      <c r="J127" s="141"/>
      <c r="K127" s="138"/>
      <c r="L127" s="83"/>
      <c r="M127" s="84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C128" s="323"/>
      <c r="D128" s="379" t="s">
        <v>2400</v>
      </c>
      <c r="E128" s="458"/>
      <c r="F128" s="424"/>
      <c r="G128" s="354" t="s">
        <v>2400</v>
      </c>
      <c r="H128" s="457" t="s">
        <v>31</v>
      </c>
      <c r="I128" s="107"/>
      <c r="J128" s="141"/>
      <c r="K128" s="138"/>
      <c r="L128" s="83"/>
      <c r="M128" s="84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C129" s="323"/>
      <c r="D129" s="379" t="s">
        <v>2401</v>
      </c>
      <c r="E129" s="455"/>
      <c r="F129" s="325"/>
      <c r="G129" s="354" t="s">
        <v>2401</v>
      </c>
      <c r="H129" s="457" t="s">
        <v>31</v>
      </c>
      <c r="I129" s="107"/>
      <c r="J129" s="141"/>
      <c r="K129" s="138"/>
      <c r="L129" s="83"/>
      <c r="M129" s="84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C130" s="323"/>
      <c r="D130" s="379" t="s">
        <v>84</v>
      </c>
      <c r="E130" s="425"/>
      <c r="F130" s="325"/>
      <c r="G130" s="354" t="s">
        <v>1660</v>
      </c>
      <c r="H130" s="457" t="s">
        <v>1642</v>
      </c>
      <c r="I130" s="107"/>
      <c r="J130" s="141"/>
      <c r="K130" s="138"/>
      <c r="L130" s="83"/>
      <c r="M130" s="84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C131" s="323"/>
      <c r="D131" s="323" t="s">
        <v>1202</v>
      </c>
      <c r="E131" s="325"/>
      <c r="F131" s="325"/>
      <c r="G131" s="327" t="s">
        <v>1202</v>
      </c>
      <c r="H131" s="328" t="s">
        <v>33</v>
      </c>
      <c r="I131" s="107"/>
      <c r="J131" s="141"/>
      <c r="K131" s="138"/>
      <c r="L131" s="83"/>
      <c r="M131" s="84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C132" s="323"/>
      <c r="D132" s="379" t="s">
        <v>721</v>
      </c>
      <c r="E132" s="425"/>
      <c r="F132" s="425"/>
      <c r="G132" s="354" t="s">
        <v>721</v>
      </c>
      <c r="H132" s="450" t="s">
        <v>33</v>
      </c>
      <c r="I132" s="107"/>
      <c r="J132" s="141"/>
      <c r="K132" s="138"/>
      <c r="L132" s="83"/>
      <c r="M132" s="84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C133" s="323"/>
      <c r="D133" s="379" t="s">
        <v>1633</v>
      </c>
      <c r="E133" s="425"/>
      <c r="F133" s="325"/>
      <c r="G133" s="354" t="s">
        <v>1633</v>
      </c>
      <c r="H133" s="450" t="s">
        <v>33</v>
      </c>
      <c r="I133" s="107"/>
      <c r="J133" s="141"/>
      <c r="K133" s="138"/>
      <c r="L133" s="83"/>
      <c r="M133" s="84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C134" s="323"/>
      <c r="D134" s="379" t="s">
        <v>1669</v>
      </c>
      <c r="E134" s="425"/>
      <c r="F134" s="325"/>
      <c r="G134" s="354" t="s">
        <v>1669</v>
      </c>
      <c r="H134" s="450" t="s">
        <v>33</v>
      </c>
      <c r="I134" s="107"/>
      <c r="J134" s="141"/>
      <c r="K134" s="138"/>
      <c r="L134" s="83"/>
      <c r="M134" s="84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C135" s="323"/>
      <c r="D135" s="379" t="s">
        <v>1950</v>
      </c>
      <c r="E135" s="455"/>
      <c r="F135" s="425"/>
      <c r="G135" s="354" t="s">
        <v>1951</v>
      </c>
      <c r="H135" s="450" t="s">
        <v>27</v>
      </c>
      <c r="I135" s="107"/>
      <c r="J135" s="141"/>
      <c r="K135" s="138"/>
      <c r="L135" s="83"/>
      <c r="M135" s="84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C136" s="323"/>
      <c r="D136" s="379" t="s">
        <v>497</v>
      </c>
      <c r="E136" s="455"/>
      <c r="F136" s="425"/>
      <c r="G136" s="354" t="s">
        <v>1952</v>
      </c>
      <c r="H136" s="450" t="s">
        <v>33</v>
      </c>
      <c r="I136" s="107"/>
      <c r="J136" s="141"/>
      <c r="K136" s="138"/>
      <c r="L136" s="83"/>
      <c r="M136" s="84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C137" s="323"/>
      <c r="D137" s="379" t="s">
        <v>1953</v>
      </c>
      <c r="E137" s="455"/>
      <c r="F137" s="459"/>
      <c r="G137" s="426" t="s">
        <v>1038</v>
      </c>
      <c r="H137" s="450" t="s">
        <v>4</v>
      </c>
      <c r="I137" s="107"/>
      <c r="J137" s="141"/>
      <c r="K137" s="138"/>
      <c r="L137" s="83"/>
      <c r="M137" s="84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C138" s="323"/>
      <c r="D138" s="379" t="s">
        <v>1953</v>
      </c>
      <c r="E138" s="455"/>
      <c r="F138" s="425"/>
      <c r="G138" s="354" t="s">
        <v>1038</v>
      </c>
      <c r="H138" s="450" t="s">
        <v>4</v>
      </c>
      <c r="I138" s="107"/>
      <c r="J138" s="141"/>
      <c r="K138" s="138"/>
      <c r="L138" s="83"/>
      <c r="M138" s="84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C139" s="323"/>
      <c r="D139" s="379" t="s">
        <v>1953</v>
      </c>
      <c r="E139" s="455"/>
      <c r="F139" s="425"/>
      <c r="G139" s="354" t="s">
        <v>1040</v>
      </c>
      <c r="H139" s="457" t="s">
        <v>4</v>
      </c>
      <c r="I139" s="107"/>
      <c r="J139" s="141"/>
      <c r="K139" s="138"/>
      <c r="L139" s="83"/>
      <c r="M139" s="84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C140" s="323"/>
      <c r="D140" s="379" t="s">
        <v>1953</v>
      </c>
      <c r="E140" s="455"/>
      <c r="F140" s="425"/>
      <c r="G140" s="354" t="s">
        <v>1039</v>
      </c>
      <c r="H140" s="450" t="s">
        <v>4</v>
      </c>
      <c r="I140" s="107"/>
      <c r="J140" s="141"/>
      <c r="K140" s="138"/>
      <c r="L140" s="83"/>
      <c r="M140" s="84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C141" s="323"/>
      <c r="D141" s="379" t="s">
        <v>1953</v>
      </c>
      <c r="E141" s="455"/>
      <c r="F141" s="425"/>
      <c r="G141" s="354" t="s">
        <v>1039</v>
      </c>
      <c r="H141" s="450" t="s">
        <v>4</v>
      </c>
      <c r="I141" s="107"/>
      <c r="J141" s="141"/>
      <c r="K141" s="138"/>
      <c r="L141" s="83"/>
      <c r="M141" s="84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C142" s="323"/>
      <c r="D142" s="379" t="s">
        <v>1954</v>
      </c>
      <c r="E142" s="455"/>
      <c r="F142" s="425"/>
      <c r="G142" s="354" t="s">
        <v>1047</v>
      </c>
      <c r="H142" s="450" t="s">
        <v>4</v>
      </c>
      <c r="I142" s="107"/>
      <c r="J142" s="141"/>
      <c r="K142" s="138"/>
      <c r="L142" s="83"/>
      <c r="M142" s="84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C143" s="323"/>
      <c r="D143" s="379" t="s">
        <v>41</v>
      </c>
      <c r="E143" s="455"/>
      <c r="F143" s="325"/>
      <c r="G143" s="354" t="s">
        <v>41</v>
      </c>
      <c r="H143" s="450" t="s">
        <v>41</v>
      </c>
      <c r="I143" s="107"/>
      <c r="J143" s="141"/>
      <c r="K143" s="138"/>
      <c r="L143" s="83"/>
      <c r="M143" s="84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C144" s="323"/>
      <c r="D144" s="379" t="s">
        <v>1991</v>
      </c>
      <c r="E144" s="425"/>
      <c r="F144" s="414"/>
      <c r="G144" s="313" t="s">
        <v>2100</v>
      </c>
      <c r="H144" s="450" t="s">
        <v>33</v>
      </c>
      <c r="I144" s="107"/>
      <c r="J144" s="141"/>
      <c r="K144" s="138"/>
      <c r="L144" s="83"/>
      <c r="M144" s="84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C145" s="323"/>
      <c r="D145" s="323" t="s">
        <v>2528</v>
      </c>
      <c r="E145" s="337"/>
      <c r="F145" s="325"/>
      <c r="G145" s="327" t="s">
        <v>2537</v>
      </c>
      <c r="H145" s="450" t="s">
        <v>33</v>
      </c>
      <c r="I145" s="107"/>
      <c r="J145" s="141"/>
      <c r="K145" s="138"/>
      <c r="L145" s="83"/>
      <c r="M145" s="84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C146" s="323"/>
      <c r="D146" s="323"/>
      <c r="E146" s="325" t="s">
        <v>2515</v>
      </c>
      <c r="F146" s="460">
        <f>SUM(F124:F145)</f>
        <v>0</v>
      </c>
      <c r="G146" s="461">
        <f>F146/$J$3</f>
        <v>0</v>
      </c>
      <c r="H146" s="328"/>
      <c r="I146" s="107"/>
      <c r="J146" s="141"/>
      <c r="K146" s="138"/>
      <c r="L146" s="83"/>
      <c r="M146" s="84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C147" s="323"/>
      <c r="D147" s="323"/>
      <c r="E147" s="337"/>
      <c r="F147" s="325"/>
      <c r="G147" s="327"/>
      <c r="H147" s="328"/>
      <c r="I147" s="107"/>
      <c r="J147" s="141"/>
      <c r="K147" s="138"/>
      <c r="L147" s="83"/>
      <c r="M147" s="84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C148" s="323"/>
      <c r="D148" s="417"/>
      <c r="E148" s="462" t="s">
        <v>2516</v>
      </c>
      <c r="F148" s="462">
        <f>F146+F122</f>
        <v>414056.6338</v>
      </c>
      <c r="G148" s="463">
        <f>F148/$J$3</f>
        <v>281.15</v>
      </c>
      <c r="H148" s="416"/>
      <c r="I148" s="107"/>
      <c r="J148" s="141"/>
      <c r="K148" s="138"/>
      <c r="L148" s="83"/>
      <c r="M148" s="84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C149" s="323"/>
      <c r="D149" s="464"/>
      <c r="E149" s="465" t="s">
        <v>2517</v>
      </c>
      <c r="F149" s="466">
        <f>G5+G7+G9+H12-F148</f>
        <v>103101756.9</v>
      </c>
      <c r="G149" s="467"/>
      <c r="H149" s="468"/>
      <c r="I149" s="107"/>
      <c r="J149" s="141"/>
      <c r="K149" s="138"/>
      <c r="L149" s="83"/>
      <c r="M149" s="84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C150" s="323" t="s">
        <v>2540</v>
      </c>
      <c r="D150" s="323"/>
      <c r="E150" s="337"/>
      <c r="F150" s="414"/>
      <c r="G150" s="313"/>
      <c r="H150" s="328"/>
      <c r="I150" s="107"/>
      <c r="J150" s="141"/>
      <c r="K150" s="138"/>
      <c r="L150" s="83"/>
      <c r="M150" s="84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C151" s="323"/>
      <c r="D151" s="323" t="s">
        <v>2189</v>
      </c>
      <c r="E151" s="337">
        <v>150.0</v>
      </c>
      <c r="F151" s="337">
        <f>E151*J4</f>
        <v>171582.75</v>
      </c>
      <c r="G151" s="415" t="s">
        <v>2511</v>
      </c>
      <c r="H151" s="328" t="s">
        <v>930</v>
      </c>
      <c r="I151" s="107"/>
      <c r="J151" s="141"/>
      <c r="K151" s="138"/>
      <c r="L151" s="83"/>
      <c r="M151" s="84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C152" s="323"/>
      <c r="D152" s="444" t="s">
        <v>2187</v>
      </c>
      <c r="E152" s="337">
        <v>150.0</v>
      </c>
      <c r="F152" s="337">
        <f>E152*J4</f>
        <v>171582.75</v>
      </c>
      <c r="G152" s="415" t="s">
        <v>2512</v>
      </c>
      <c r="H152" s="328" t="s">
        <v>930</v>
      </c>
      <c r="I152" s="107"/>
      <c r="J152" s="141"/>
      <c r="K152" s="138"/>
      <c r="L152" s="83"/>
      <c r="M152" s="84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 ht="15.0" customHeight="1">
      <c r="A153" s="105"/>
      <c r="C153" s="323"/>
      <c r="D153" s="323"/>
      <c r="E153" s="337"/>
      <c r="F153" s="325"/>
      <c r="G153" s="327"/>
      <c r="H153" s="328"/>
      <c r="I153" s="107"/>
      <c r="J153" s="141"/>
      <c r="K153" s="138"/>
      <c r="L153" s="83"/>
      <c r="M153" s="84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105"/>
      <c r="C154" s="323"/>
      <c r="D154" s="323"/>
      <c r="E154" s="452" t="s">
        <v>2513</v>
      </c>
      <c r="F154" s="453">
        <f>SUM(F150:F153)</f>
        <v>343165.5</v>
      </c>
      <c r="G154" s="454">
        <f>F154/J3</f>
        <v>233.0139707</v>
      </c>
      <c r="H154" s="328"/>
      <c r="I154" s="107"/>
      <c r="J154" s="141"/>
      <c r="K154" s="138"/>
      <c r="L154" s="83"/>
      <c r="M154" s="84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C155" s="323"/>
      <c r="D155" s="323" t="s">
        <v>1297</v>
      </c>
      <c r="E155" s="337"/>
      <c r="F155" s="325">
        <v>1450000.0</v>
      </c>
      <c r="G155" s="327" t="s">
        <v>865</v>
      </c>
      <c r="H155" s="457" t="s">
        <v>31</v>
      </c>
      <c r="I155" s="107"/>
      <c r="J155" s="141"/>
      <c r="K155" s="138"/>
      <c r="L155" s="83"/>
      <c r="M155" s="84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C156" s="323"/>
      <c r="D156" s="323" t="s">
        <v>1299</v>
      </c>
      <c r="E156" s="337"/>
      <c r="F156" s="325">
        <v>145000.0</v>
      </c>
      <c r="G156" s="327" t="s">
        <v>2354</v>
      </c>
      <c r="H156" s="457" t="s">
        <v>31</v>
      </c>
      <c r="I156" s="107"/>
      <c r="J156" s="141"/>
      <c r="K156" s="138"/>
      <c r="L156" s="83"/>
      <c r="M156" s="84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C157" s="323"/>
      <c r="D157" s="323" t="s">
        <v>2483</v>
      </c>
      <c r="E157" s="337"/>
      <c r="F157" s="325">
        <v>3550000.0</v>
      </c>
      <c r="G157" s="327" t="s">
        <v>2484</v>
      </c>
      <c r="H157" s="328" t="s">
        <v>39</v>
      </c>
      <c r="I157" s="107"/>
      <c r="J157" s="141"/>
      <c r="K157" s="138"/>
      <c r="L157" s="83"/>
      <c r="M157" s="84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C158" s="323"/>
      <c r="D158" s="379" t="s">
        <v>1552</v>
      </c>
      <c r="E158" s="455"/>
      <c r="F158" s="325">
        <v>6600000.0</v>
      </c>
      <c r="G158" s="327" t="s">
        <v>2102</v>
      </c>
      <c r="H158" s="450" t="s">
        <v>33</v>
      </c>
      <c r="I158" s="107"/>
      <c r="J158" s="141"/>
      <c r="K158" s="138"/>
      <c r="L158" s="83"/>
      <c r="M158" s="84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C159" s="323"/>
      <c r="D159" s="379" t="s">
        <v>789</v>
      </c>
      <c r="E159" s="456"/>
      <c r="F159" s="326">
        <v>132660.0</v>
      </c>
      <c r="G159" s="327" t="s">
        <v>1510</v>
      </c>
      <c r="H159" s="457" t="s">
        <v>33</v>
      </c>
      <c r="I159" s="107"/>
      <c r="J159" s="141"/>
      <c r="K159" s="138"/>
      <c r="L159" s="83"/>
      <c r="M159" s="84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C160" s="323"/>
      <c r="D160" s="379" t="s">
        <v>2398</v>
      </c>
      <c r="E160" s="458"/>
      <c r="F160" s="424">
        <v>257930.0</v>
      </c>
      <c r="G160" s="354" t="s">
        <v>2398</v>
      </c>
      <c r="H160" s="457" t="s">
        <v>31</v>
      </c>
      <c r="I160" s="107"/>
      <c r="J160" s="141"/>
      <c r="K160" s="138"/>
      <c r="L160" s="83"/>
      <c r="M160" s="84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C161" s="323"/>
      <c r="D161" s="379" t="s">
        <v>2399</v>
      </c>
      <c r="E161" s="458"/>
      <c r="F161" s="424">
        <v>3421560.0</v>
      </c>
      <c r="G161" s="354" t="s">
        <v>2399</v>
      </c>
      <c r="H161" s="457" t="s">
        <v>31</v>
      </c>
      <c r="I161" s="107"/>
      <c r="J161" s="141"/>
      <c r="K161" s="138"/>
      <c r="L161" s="83"/>
      <c r="M161" s="84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C162" s="323"/>
      <c r="D162" s="379" t="s">
        <v>2400</v>
      </c>
      <c r="E162" s="458"/>
      <c r="F162" s="424">
        <v>734350.0</v>
      </c>
      <c r="G162" s="354" t="s">
        <v>2400</v>
      </c>
      <c r="H162" s="457" t="s">
        <v>31</v>
      </c>
      <c r="I162" s="107"/>
      <c r="J162" s="141"/>
      <c r="K162" s="138"/>
      <c r="L162" s="83"/>
      <c r="M162" s="84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C163" s="323"/>
      <c r="D163" s="379" t="s">
        <v>2401</v>
      </c>
      <c r="E163" s="455"/>
      <c r="F163" s="325">
        <v>2862100.0</v>
      </c>
      <c r="G163" s="354" t="s">
        <v>2401</v>
      </c>
      <c r="H163" s="457" t="s">
        <v>31</v>
      </c>
      <c r="I163" s="107"/>
      <c r="J163" s="141"/>
      <c r="K163" s="138"/>
      <c r="L163" s="83"/>
      <c r="M163" s="84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C164" s="323"/>
      <c r="D164" s="379" t="s">
        <v>84</v>
      </c>
      <c r="E164" s="425"/>
      <c r="F164" s="325">
        <v>1400000.0</v>
      </c>
      <c r="G164" s="354" t="s">
        <v>1660</v>
      </c>
      <c r="H164" s="457" t="s">
        <v>1642</v>
      </c>
      <c r="I164" s="107"/>
      <c r="J164" s="141"/>
      <c r="K164" s="138"/>
      <c r="L164" s="83"/>
      <c r="M164" s="84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C165" s="323"/>
      <c r="D165" s="323" t="s">
        <v>1202</v>
      </c>
      <c r="E165" s="325"/>
      <c r="F165" s="325">
        <v>110000.0</v>
      </c>
      <c r="G165" s="327" t="s">
        <v>1202</v>
      </c>
      <c r="H165" s="328" t="s">
        <v>33</v>
      </c>
      <c r="I165" s="107"/>
      <c r="J165" s="141"/>
      <c r="K165" s="138"/>
      <c r="L165" s="83"/>
      <c r="M165" s="84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C166" s="323"/>
      <c r="D166" s="379" t="s">
        <v>721</v>
      </c>
      <c r="E166" s="425"/>
      <c r="F166" s="425">
        <f>696700+1572339</f>
        <v>2269039</v>
      </c>
      <c r="G166" s="354" t="s">
        <v>721</v>
      </c>
      <c r="H166" s="450" t="s">
        <v>33</v>
      </c>
      <c r="I166" s="107"/>
      <c r="J166" s="141"/>
      <c r="K166" s="138"/>
      <c r="L166" s="83"/>
      <c r="M166" s="84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C167" s="323"/>
      <c r="D167" s="379" t="s">
        <v>1633</v>
      </c>
      <c r="E167" s="425"/>
      <c r="F167" s="325">
        <v>1017470.0</v>
      </c>
      <c r="G167" s="354" t="s">
        <v>1633</v>
      </c>
      <c r="H167" s="450" t="s">
        <v>33</v>
      </c>
      <c r="I167" s="107"/>
      <c r="J167" s="141"/>
      <c r="K167" s="138"/>
      <c r="L167" s="83"/>
      <c r="M167" s="84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C168" s="323"/>
      <c r="D168" s="379" t="s">
        <v>1669</v>
      </c>
      <c r="E168" s="425"/>
      <c r="F168" s="325">
        <v>966329.0</v>
      </c>
      <c r="G168" s="354" t="s">
        <v>1669</v>
      </c>
      <c r="H168" s="450" t="s">
        <v>33</v>
      </c>
      <c r="I168" s="107"/>
      <c r="J168" s="141"/>
      <c r="K168" s="138"/>
      <c r="L168" s="83"/>
      <c r="M168" s="84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C169" s="323"/>
      <c r="D169" s="379" t="s">
        <v>1950</v>
      </c>
      <c r="E169" s="455"/>
      <c r="F169" s="425">
        <v>55700.0</v>
      </c>
      <c r="G169" s="354" t="s">
        <v>1951</v>
      </c>
      <c r="H169" s="450" t="s">
        <v>27</v>
      </c>
      <c r="I169" s="107"/>
      <c r="J169" s="141"/>
      <c r="K169" s="138"/>
      <c r="L169" s="83"/>
      <c r="M169" s="84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C170" s="323"/>
      <c r="D170" s="379" t="s">
        <v>497</v>
      </c>
      <c r="E170" s="455"/>
      <c r="F170" s="425">
        <v>330000.0</v>
      </c>
      <c r="G170" s="354" t="s">
        <v>1952</v>
      </c>
      <c r="H170" s="450" t="s">
        <v>33</v>
      </c>
      <c r="I170" s="107"/>
      <c r="J170" s="141"/>
      <c r="K170" s="138"/>
      <c r="L170" s="83"/>
      <c r="M170" s="84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C171" s="323"/>
      <c r="D171" s="379" t="s">
        <v>1953</v>
      </c>
      <c r="E171" s="455"/>
      <c r="F171" s="459">
        <v>37430.0</v>
      </c>
      <c r="G171" s="426" t="s">
        <v>1038</v>
      </c>
      <c r="H171" s="450" t="s">
        <v>4</v>
      </c>
      <c r="I171" s="107"/>
      <c r="J171" s="141"/>
      <c r="K171" s="138"/>
      <c r="L171" s="83"/>
      <c r="M171" s="84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C172" s="323"/>
      <c r="D172" s="379" t="s">
        <v>1953</v>
      </c>
      <c r="E172" s="455"/>
      <c r="F172" s="425">
        <v>37430.0</v>
      </c>
      <c r="G172" s="354" t="s">
        <v>1038</v>
      </c>
      <c r="H172" s="450" t="s">
        <v>4</v>
      </c>
      <c r="I172" s="107"/>
      <c r="J172" s="141"/>
      <c r="K172" s="138"/>
      <c r="L172" s="83"/>
      <c r="M172" s="84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C173" s="323"/>
      <c r="D173" s="379" t="s">
        <v>1953</v>
      </c>
      <c r="E173" s="455"/>
      <c r="F173" s="425">
        <v>50250.0</v>
      </c>
      <c r="G173" s="354" t="s">
        <v>1040</v>
      </c>
      <c r="H173" s="457" t="s">
        <v>4</v>
      </c>
      <c r="I173" s="107"/>
      <c r="J173" s="141"/>
      <c r="K173" s="138"/>
      <c r="L173" s="83"/>
      <c r="M173" s="84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C174" s="323"/>
      <c r="D174" s="379" t="s">
        <v>1953</v>
      </c>
      <c r="E174" s="455"/>
      <c r="F174" s="425">
        <v>20660.0</v>
      </c>
      <c r="G174" s="354" t="s">
        <v>1039</v>
      </c>
      <c r="H174" s="450" t="s">
        <v>4</v>
      </c>
      <c r="I174" s="107"/>
      <c r="J174" s="141"/>
      <c r="K174" s="138"/>
      <c r="L174" s="83"/>
      <c r="M174" s="84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C175" s="323"/>
      <c r="D175" s="379" t="s">
        <v>1953</v>
      </c>
      <c r="E175" s="455"/>
      <c r="F175" s="425">
        <v>20660.0</v>
      </c>
      <c r="G175" s="354" t="s">
        <v>1039</v>
      </c>
      <c r="H175" s="450" t="s">
        <v>4</v>
      </c>
      <c r="I175" s="107"/>
      <c r="J175" s="141"/>
      <c r="K175" s="138"/>
      <c r="L175" s="83"/>
      <c r="M175" s="84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C176" s="323"/>
      <c r="D176" s="379" t="s">
        <v>1954</v>
      </c>
      <c r="E176" s="455"/>
      <c r="F176" s="425">
        <v>98000.0</v>
      </c>
      <c r="G176" s="354" t="s">
        <v>1047</v>
      </c>
      <c r="H176" s="450" t="s">
        <v>4</v>
      </c>
      <c r="I176" s="107"/>
      <c r="J176" s="141"/>
      <c r="K176" s="138"/>
      <c r="L176" s="83"/>
      <c r="M176" s="84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C177" s="323"/>
      <c r="D177" s="379" t="s">
        <v>41</v>
      </c>
      <c r="E177" s="455"/>
      <c r="F177" s="325">
        <v>3.65E7</v>
      </c>
      <c r="G177" s="354" t="s">
        <v>41</v>
      </c>
      <c r="H177" s="450" t="s">
        <v>41</v>
      </c>
      <c r="I177" s="107"/>
      <c r="J177" s="141"/>
      <c r="K177" s="138"/>
      <c r="L177" s="83"/>
      <c r="M177" s="84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C178" s="323"/>
      <c r="D178" s="379" t="s">
        <v>1991</v>
      </c>
      <c r="E178" s="425"/>
      <c r="F178" s="414">
        <v>7000000.0</v>
      </c>
      <c r="G178" s="313" t="s">
        <v>2163</v>
      </c>
      <c r="H178" s="450" t="s">
        <v>33</v>
      </c>
      <c r="I178" s="107"/>
      <c r="J178" s="141"/>
      <c r="K178" s="138"/>
      <c r="L178" s="83"/>
      <c r="M178" s="84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C179" s="323"/>
      <c r="D179" s="323"/>
      <c r="E179" s="337"/>
      <c r="F179" s="414"/>
      <c r="G179" s="313"/>
      <c r="H179" s="328"/>
      <c r="I179" s="107"/>
      <c r="J179" s="141"/>
      <c r="K179" s="138"/>
      <c r="L179" s="83"/>
      <c r="M179" s="84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C180" s="323"/>
      <c r="D180" s="323"/>
      <c r="E180" s="337"/>
      <c r="F180" s="325"/>
      <c r="G180" s="313"/>
      <c r="H180" s="328"/>
      <c r="I180" s="107"/>
      <c r="J180" s="141"/>
      <c r="K180" s="138"/>
      <c r="L180" s="83"/>
      <c r="M180" s="84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C181" s="323"/>
      <c r="D181" s="323"/>
      <c r="E181" s="325" t="s">
        <v>2515</v>
      </c>
      <c r="F181" s="460">
        <f>SUM(F155:F180)</f>
        <v>69066568</v>
      </c>
      <c r="G181" s="461">
        <f>F181/$J$3</f>
        <v>46897.12472</v>
      </c>
      <c r="H181" s="328"/>
      <c r="I181" s="107"/>
      <c r="J181" s="141"/>
      <c r="K181" s="138"/>
      <c r="L181" s="83"/>
      <c r="M181" s="84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C182" s="323"/>
      <c r="D182" s="323"/>
      <c r="E182" s="325"/>
      <c r="F182" s="414"/>
      <c r="G182" s="327"/>
      <c r="H182" s="328"/>
      <c r="I182" s="107"/>
      <c r="J182" s="141"/>
      <c r="K182" s="138"/>
      <c r="L182" s="83"/>
      <c r="M182" s="84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C183" s="323"/>
      <c r="D183" s="417"/>
      <c r="E183" s="462" t="s">
        <v>2516</v>
      </c>
      <c r="F183" s="462">
        <f>F181+F154</f>
        <v>69409733.5</v>
      </c>
      <c r="G183" s="463">
        <f>F183/$J$3</f>
        <v>47130.13869</v>
      </c>
      <c r="H183" s="416"/>
      <c r="I183" s="107"/>
      <c r="J183" s="141"/>
      <c r="K183" s="141"/>
      <c r="L183" s="83"/>
      <c r="M183" s="84"/>
      <c r="N183" s="141"/>
      <c r="O183" s="141"/>
      <c r="P183" s="141"/>
      <c r="Q183" s="141"/>
      <c r="R183" s="141"/>
      <c r="S183" s="141"/>
      <c r="T183" s="141"/>
      <c r="U183" s="141"/>
      <c r="V183" s="141"/>
      <c r="W183" s="141"/>
      <c r="X183" s="141"/>
      <c r="Y183" s="141"/>
    </row>
    <row r="184" ht="15.0" customHeight="1">
      <c r="A184" s="105"/>
      <c r="C184" s="323"/>
      <c r="D184" s="464"/>
      <c r="E184" s="465" t="s">
        <v>2517</v>
      </c>
      <c r="F184" s="466">
        <f>F149-F183</f>
        <v>33692023.43</v>
      </c>
      <c r="G184" s="467"/>
      <c r="H184" s="468"/>
      <c r="I184" s="107"/>
      <c r="J184" s="141"/>
      <c r="K184" s="141"/>
      <c r="L184" s="83"/>
      <c r="M184" s="84"/>
      <c r="N184" s="141"/>
      <c r="O184" s="141"/>
      <c r="P184" s="141"/>
      <c r="Q184" s="141"/>
      <c r="R184" s="141"/>
      <c r="S184" s="141"/>
      <c r="T184" s="141"/>
      <c r="U184" s="141"/>
      <c r="V184" s="141"/>
      <c r="W184" s="141"/>
      <c r="X184" s="141"/>
      <c r="Y184" s="141"/>
    </row>
    <row r="185" ht="15.0" customHeight="1">
      <c r="A185" s="105"/>
      <c r="C185" s="323"/>
      <c r="D185" s="323"/>
      <c r="E185" s="325"/>
      <c r="F185" s="414"/>
      <c r="G185" s="327"/>
      <c r="H185" s="328"/>
      <c r="I185" s="107"/>
      <c r="J185" s="141"/>
      <c r="K185" s="141"/>
      <c r="L185" s="83"/>
      <c r="M185" s="84"/>
      <c r="N185" s="141"/>
      <c r="O185" s="141"/>
      <c r="P185" s="141"/>
      <c r="Q185" s="141"/>
      <c r="R185" s="141"/>
      <c r="S185" s="141"/>
      <c r="T185" s="141"/>
      <c r="U185" s="141"/>
      <c r="V185" s="141"/>
      <c r="W185" s="141"/>
      <c r="X185" s="141"/>
      <c r="Y185" s="141"/>
    </row>
    <row r="186" ht="15.0" customHeight="1">
      <c r="A186" s="105"/>
      <c r="C186" s="323" t="s">
        <v>2541</v>
      </c>
      <c r="D186" s="323"/>
      <c r="E186" s="337"/>
      <c r="F186" s="414"/>
      <c r="G186" s="313"/>
      <c r="H186" s="328"/>
      <c r="I186" s="107"/>
      <c r="J186" s="141"/>
      <c r="K186" s="141"/>
      <c r="L186" s="83"/>
      <c r="M186" s="84"/>
      <c r="N186" s="141"/>
      <c r="O186" s="141"/>
      <c r="P186" s="141"/>
      <c r="Q186" s="141"/>
      <c r="R186" s="141"/>
      <c r="S186" s="141"/>
      <c r="T186" s="141"/>
      <c r="U186" s="141"/>
      <c r="V186" s="141"/>
      <c r="W186" s="141"/>
      <c r="X186" s="141"/>
      <c r="Y186" s="141"/>
    </row>
    <row r="187" ht="15.0" customHeight="1">
      <c r="A187" s="105"/>
      <c r="C187" s="323"/>
      <c r="D187" s="323" t="s">
        <v>2189</v>
      </c>
      <c r="E187" s="337">
        <v>150.0</v>
      </c>
      <c r="F187" s="337">
        <f>E187*J3</f>
        <v>220908.75</v>
      </c>
      <c r="G187" s="415" t="s">
        <v>2511</v>
      </c>
      <c r="H187" s="328" t="s">
        <v>930</v>
      </c>
      <c r="I187" s="107"/>
      <c r="J187" s="141"/>
      <c r="K187" s="141"/>
      <c r="L187" s="83"/>
      <c r="M187" s="84"/>
      <c r="N187" s="141"/>
      <c r="O187" s="141"/>
      <c r="P187" s="141"/>
      <c r="Q187" s="141"/>
      <c r="R187" s="141"/>
      <c r="S187" s="141"/>
      <c r="T187" s="141"/>
      <c r="U187" s="141"/>
      <c r="V187" s="141"/>
      <c r="W187" s="141"/>
      <c r="X187" s="141"/>
      <c r="Y187" s="141"/>
    </row>
    <row r="188" ht="15.0" customHeight="1">
      <c r="A188" s="105"/>
      <c r="C188" s="323"/>
      <c r="D188" s="444" t="s">
        <v>2187</v>
      </c>
      <c r="E188" s="337">
        <v>150.0</v>
      </c>
      <c r="F188" s="337">
        <f>E188*J3</f>
        <v>220908.75</v>
      </c>
      <c r="G188" s="415" t="s">
        <v>2512</v>
      </c>
      <c r="H188" s="328" t="s">
        <v>930</v>
      </c>
      <c r="I188" s="107"/>
      <c r="J188" s="141"/>
      <c r="K188" s="141"/>
      <c r="L188" s="83"/>
      <c r="M188" s="84"/>
      <c r="N188" s="141"/>
      <c r="O188" s="141"/>
      <c r="P188" s="141"/>
      <c r="Q188" s="141"/>
      <c r="R188" s="141"/>
      <c r="S188" s="141"/>
      <c r="T188" s="141"/>
      <c r="U188" s="141"/>
      <c r="V188" s="141"/>
      <c r="W188" s="141"/>
      <c r="X188" s="141"/>
      <c r="Y188" s="141"/>
    </row>
    <row r="189" ht="15.0" customHeight="1">
      <c r="A189" s="105"/>
      <c r="C189" s="323"/>
      <c r="D189" s="323"/>
      <c r="E189" s="337"/>
      <c r="F189" s="325"/>
      <c r="G189" s="327"/>
      <c r="H189" s="328"/>
      <c r="I189" s="107"/>
      <c r="J189" s="141"/>
      <c r="K189" s="141"/>
      <c r="L189" s="83"/>
      <c r="M189" s="84"/>
      <c r="N189" s="141"/>
      <c r="O189" s="141"/>
      <c r="P189" s="141"/>
      <c r="Q189" s="141"/>
      <c r="R189" s="141"/>
      <c r="S189" s="141"/>
      <c r="T189" s="141"/>
      <c r="U189" s="141"/>
      <c r="V189" s="141"/>
      <c r="W189" s="141"/>
      <c r="X189" s="141"/>
      <c r="Y189" s="141"/>
    </row>
    <row r="190" ht="15.0" customHeight="1">
      <c r="A190" s="105"/>
      <c r="C190" s="323"/>
      <c r="D190" s="323"/>
      <c r="E190" s="452" t="s">
        <v>2513</v>
      </c>
      <c r="F190" s="453">
        <f>SUM(F186:F189)</f>
        <v>441817.5</v>
      </c>
      <c r="G190" s="454">
        <f>F190/J3</f>
        <v>300</v>
      </c>
      <c r="H190" s="328"/>
      <c r="I190" s="107"/>
      <c r="J190" s="141"/>
      <c r="K190" s="141"/>
      <c r="L190" s="83"/>
      <c r="M190" s="84"/>
      <c r="N190" s="141"/>
      <c r="O190" s="141"/>
      <c r="P190" s="141"/>
      <c r="Q190" s="141"/>
      <c r="R190" s="141"/>
      <c r="S190" s="141"/>
      <c r="T190" s="141"/>
      <c r="U190" s="141"/>
      <c r="V190" s="141"/>
      <c r="W190" s="141"/>
      <c r="X190" s="141"/>
      <c r="Y190" s="141"/>
    </row>
    <row r="191" ht="15.0" customHeight="1">
      <c r="A191" s="105"/>
      <c r="C191" s="323"/>
      <c r="D191" s="323" t="s">
        <v>1297</v>
      </c>
      <c r="E191" s="337"/>
      <c r="F191" s="325">
        <v>1450000.0</v>
      </c>
      <c r="G191" s="327" t="s">
        <v>865</v>
      </c>
      <c r="H191" s="457" t="s">
        <v>31</v>
      </c>
      <c r="I191" s="107"/>
      <c r="J191" s="141"/>
      <c r="K191" s="141"/>
      <c r="L191" s="83"/>
      <c r="M191" s="84"/>
      <c r="N191" s="141"/>
      <c r="O191" s="141"/>
      <c r="P191" s="141"/>
      <c r="Q191" s="141"/>
      <c r="R191" s="141"/>
      <c r="S191" s="141"/>
      <c r="T191" s="141"/>
      <c r="U191" s="141"/>
      <c r="V191" s="141"/>
      <c r="W191" s="141"/>
      <c r="X191" s="141"/>
      <c r="Y191" s="141"/>
    </row>
    <row r="192" ht="15.0" customHeight="1">
      <c r="A192" s="105"/>
      <c r="C192" s="323"/>
      <c r="D192" s="323" t="s">
        <v>1299</v>
      </c>
      <c r="E192" s="337"/>
      <c r="F192" s="325">
        <v>145000.0</v>
      </c>
      <c r="G192" s="327" t="s">
        <v>2354</v>
      </c>
      <c r="H192" s="457" t="s">
        <v>31</v>
      </c>
      <c r="I192" s="107"/>
      <c r="J192" s="141"/>
      <c r="K192" s="141"/>
      <c r="L192" s="83"/>
      <c r="M192" s="84"/>
      <c r="N192" s="141"/>
      <c r="O192" s="141"/>
      <c r="P192" s="141"/>
      <c r="Q192" s="141"/>
      <c r="R192" s="141"/>
      <c r="S192" s="141"/>
      <c r="T192" s="141"/>
      <c r="U192" s="141"/>
      <c r="V192" s="141"/>
      <c r="W192" s="141"/>
      <c r="X192" s="141"/>
      <c r="Y192" s="141"/>
    </row>
    <row r="193" ht="15.0" customHeight="1">
      <c r="A193" s="105"/>
      <c r="C193" s="323"/>
      <c r="D193" s="323" t="s">
        <v>2483</v>
      </c>
      <c r="E193" s="337"/>
      <c r="F193" s="325">
        <v>3550000.0</v>
      </c>
      <c r="G193" s="327" t="s">
        <v>2484</v>
      </c>
      <c r="H193" s="328" t="s">
        <v>39</v>
      </c>
      <c r="I193" s="107"/>
      <c r="J193" s="141"/>
      <c r="K193" s="141"/>
      <c r="L193" s="83"/>
      <c r="M193" s="84"/>
      <c r="N193" s="141"/>
      <c r="O193" s="141"/>
      <c r="P193" s="141"/>
      <c r="Q193" s="141"/>
      <c r="R193" s="141"/>
      <c r="S193" s="141"/>
      <c r="T193" s="141"/>
      <c r="U193" s="141"/>
      <c r="V193" s="141"/>
      <c r="W193" s="141"/>
      <c r="X193" s="141"/>
      <c r="Y193" s="141"/>
    </row>
    <row r="194" ht="15.0" customHeight="1">
      <c r="A194" s="105"/>
      <c r="C194" s="323"/>
      <c r="D194" s="379" t="s">
        <v>1552</v>
      </c>
      <c r="E194" s="455"/>
      <c r="F194" s="325">
        <v>6600000.0</v>
      </c>
      <c r="G194" s="327" t="s">
        <v>2102</v>
      </c>
      <c r="H194" s="450" t="s">
        <v>33</v>
      </c>
      <c r="I194" s="107"/>
      <c r="J194" s="141"/>
      <c r="K194" s="141"/>
      <c r="L194" s="83"/>
      <c r="M194" s="84"/>
      <c r="N194" s="141"/>
      <c r="O194" s="141"/>
      <c r="P194" s="141"/>
      <c r="Q194" s="141"/>
      <c r="R194" s="141"/>
      <c r="S194" s="141"/>
      <c r="T194" s="141"/>
      <c r="U194" s="141"/>
      <c r="V194" s="141"/>
      <c r="W194" s="141"/>
      <c r="X194" s="141"/>
      <c r="Y194" s="141"/>
    </row>
    <row r="195" ht="15.0" customHeight="1">
      <c r="A195" s="105"/>
      <c r="C195" s="323"/>
      <c r="D195" s="379" t="s">
        <v>789</v>
      </c>
      <c r="E195" s="456"/>
      <c r="F195" s="326">
        <v>132660.0</v>
      </c>
      <c r="G195" s="327" t="s">
        <v>1510</v>
      </c>
      <c r="H195" s="457" t="s">
        <v>33</v>
      </c>
      <c r="I195" s="107"/>
      <c r="J195" s="141"/>
      <c r="K195" s="141"/>
      <c r="L195" s="83"/>
      <c r="M195" s="84"/>
      <c r="N195" s="141"/>
      <c r="O195" s="141"/>
      <c r="P195" s="141"/>
      <c r="Q195" s="141"/>
      <c r="R195" s="141"/>
      <c r="S195" s="141"/>
      <c r="T195" s="141"/>
      <c r="U195" s="141"/>
      <c r="V195" s="141"/>
      <c r="W195" s="141"/>
      <c r="X195" s="141"/>
      <c r="Y195" s="141"/>
    </row>
    <row r="196" ht="15.0" customHeight="1">
      <c r="A196" s="105"/>
      <c r="C196" s="323"/>
      <c r="D196" s="379" t="s">
        <v>2398</v>
      </c>
      <c r="E196" s="458"/>
      <c r="F196" s="424">
        <v>257930.0</v>
      </c>
      <c r="G196" s="354" t="s">
        <v>2398</v>
      </c>
      <c r="H196" s="457" t="s">
        <v>31</v>
      </c>
      <c r="I196" s="107"/>
      <c r="J196" s="141"/>
      <c r="K196" s="141"/>
      <c r="L196" s="83"/>
      <c r="M196" s="84"/>
      <c r="N196" s="141"/>
      <c r="O196" s="141"/>
      <c r="P196" s="141"/>
      <c r="Q196" s="141"/>
      <c r="R196" s="141"/>
      <c r="S196" s="141"/>
      <c r="T196" s="141"/>
      <c r="U196" s="141"/>
      <c r="V196" s="141"/>
      <c r="W196" s="141"/>
      <c r="X196" s="141"/>
      <c r="Y196" s="141"/>
    </row>
    <row r="197" ht="15.0" customHeight="1">
      <c r="A197" s="105"/>
      <c r="C197" s="323"/>
      <c r="D197" s="379" t="s">
        <v>2399</v>
      </c>
      <c r="E197" s="458"/>
      <c r="F197" s="424">
        <v>3421560.0</v>
      </c>
      <c r="G197" s="354" t="s">
        <v>2399</v>
      </c>
      <c r="H197" s="457" t="s">
        <v>31</v>
      </c>
      <c r="I197" s="107"/>
      <c r="J197" s="141"/>
      <c r="K197" s="141"/>
      <c r="L197" s="83"/>
      <c r="M197" s="84"/>
      <c r="N197" s="141"/>
      <c r="O197" s="141"/>
      <c r="P197" s="141"/>
      <c r="Q197" s="141"/>
      <c r="R197" s="141"/>
      <c r="S197" s="141"/>
      <c r="T197" s="141"/>
      <c r="U197" s="141"/>
      <c r="V197" s="141"/>
      <c r="W197" s="141"/>
      <c r="X197" s="141"/>
      <c r="Y197" s="141"/>
    </row>
    <row r="198" ht="15.0" customHeight="1">
      <c r="A198" s="105"/>
      <c r="C198" s="323"/>
      <c r="D198" s="379" t="s">
        <v>2400</v>
      </c>
      <c r="E198" s="458"/>
      <c r="F198" s="424">
        <v>734350.0</v>
      </c>
      <c r="G198" s="354" t="s">
        <v>2400</v>
      </c>
      <c r="H198" s="457" t="s">
        <v>31</v>
      </c>
      <c r="I198" s="107"/>
      <c r="J198" s="141"/>
      <c r="K198" s="141"/>
      <c r="L198" s="83"/>
      <c r="M198" s="84"/>
      <c r="N198" s="141"/>
      <c r="O198" s="141"/>
      <c r="P198" s="141"/>
      <c r="Q198" s="141"/>
      <c r="R198" s="141"/>
      <c r="S198" s="141"/>
      <c r="T198" s="141"/>
      <c r="U198" s="141"/>
      <c r="V198" s="141"/>
      <c r="W198" s="141"/>
      <c r="X198" s="141"/>
      <c r="Y198" s="141"/>
    </row>
    <row r="199" ht="15.0" customHeight="1">
      <c r="A199" s="105"/>
      <c r="C199" s="323"/>
      <c r="D199" s="379" t="s">
        <v>2401</v>
      </c>
      <c r="E199" s="455"/>
      <c r="F199" s="325">
        <v>2862100.0</v>
      </c>
      <c r="G199" s="354" t="s">
        <v>2401</v>
      </c>
      <c r="H199" s="457" t="s">
        <v>31</v>
      </c>
      <c r="I199" s="107"/>
      <c r="J199" s="141"/>
      <c r="K199" s="141"/>
      <c r="L199" s="83"/>
      <c r="M199" s="84"/>
      <c r="N199" s="141"/>
      <c r="O199" s="141"/>
      <c r="P199" s="141"/>
      <c r="Q199" s="141"/>
      <c r="R199" s="141"/>
      <c r="S199" s="141"/>
      <c r="T199" s="141"/>
      <c r="U199" s="141"/>
      <c r="V199" s="141"/>
      <c r="W199" s="141"/>
      <c r="X199" s="141"/>
      <c r="Y199" s="141"/>
    </row>
    <row r="200" ht="15.0" customHeight="1">
      <c r="A200" s="105"/>
      <c r="C200" s="323"/>
      <c r="D200" s="379" t="s">
        <v>84</v>
      </c>
      <c r="E200" s="425"/>
      <c r="F200" s="325">
        <v>1400000.0</v>
      </c>
      <c r="G200" s="354" t="s">
        <v>1660</v>
      </c>
      <c r="H200" s="457" t="s">
        <v>1642</v>
      </c>
      <c r="I200" s="107"/>
      <c r="J200" s="141"/>
      <c r="K200" s="141"/>
      <c r="L200" s="83"/>
      <c r="M200" s="84"/>
      <c r="N200" s="141"/>
      <c r="O200" s="141"/>
      <c r="P200" s="141"/>
      <c r="Q200" s="141"/>
      <c r="R200" s="141"/>
      <c r="S200" s="141"/>
      <c r="T200" s="141"/>
      <c r="U200" s="141"/>
      <c r="V200" s="141"/>
      <c r="W200" s="141"/>
      <c r="X200" s="141"/>
      <c r="Y200" s="141"/>
    </row>
    <row r="201" ht="15.0" customHeight="1">
      <c r="A201" s="105"/>
      <c r="C201" s="323"/>
      <c r="D201" s="323" t="s">
        <v>1202</v>
      </c>
      <c r="E201" s="325"/>
      <c r="F201" s="325">
        <v>110000.0</v>
      </c>
      <c r="G201" s="327" t="s">
        <v>1202</v>
      </c>
      <c r="H201" s="328" t="s">
        <v>33</v>
      </c>
      <c r="I201" s="107"/>
      <c r="J201" s="141"/>
      <c r="K201" s="141"/>
      <c r="L201" s="83"/>
      <c r="M201" s="84"/>
      <c r="N201" s="141"/>
      <c r="O201" s="141"/>
      <c r="P201" s="141"/>
      <c r="Q201" s="141"/>
      <c r="R201" s="141"/>
      <c r="S201" s="141"/>
      <c r="T201" s="141"/>
      <c r="U201" s="141"/>
      <c r="V201" s="141"/>
      <c r="W201" s="141"/>
      <c r="X201" s="141"/>
      <c r="Y201" s="141"/>
    </row>
    <row r="202" ht="15.0" customHeight="1">
      <c r="A202" s="105"/>
      <c r="C202" s="323"/>
      <c r="D202" s="379" t="s">
        <v>721</v>
      </c>
      <c r="E202" s="425"/>
      <c r="F202" s="425"/>
      <c r="G202" s="354" t="s">
        <v>721</v>
      </c>
      <c r="H202" s="450" t="s">
        <v>33</v>
      </c>
      <c r="I202" s="107"/>
      <c r="J202" s="141"/>
      <c r="K202" s="141"/>
      <c r="L202" s="83"/>
      <c r="M202" s="84"/>
      <c r="N202" s="141"/>
      <c r="O202" s="141"/>
      <c r="P202" s="141"/>
      <c r="Q202" s="141"/>
      <c r="R202" s="141"/>
      <c r="S202" s="141"/>
      <c r="T202" s="141"/>
      <c r="U202" s="141"/>
      <c r="V202" s="141"/>
      <c r="W202" s="141"/>
      <c r="X202" s="141"/>
      <c r="Y202" s="141"/>
    </row>
    <row r="203" ht="15.0" customHeight="1">
      <c r="A203" s="105"/>
      <c r="C203" s="323"/>
      <c r="D203" s="379" t="s">
        <v>1633</v>
      </c>
      <c r="E203" s="425"/>
      <c r="F203" s="325"/>
      <c r="G203" s="354" t="s">
        <v>1633</v>
      </c>
      <c r="H203" s="450" t="s">
        <v>33</v>
      </c>
      <c r="I203" s="107"/>
      <c r="J203" s="141"/>
      <c r="K203" s="141"/>
      <c r="L203" s="83"/>
      <c r="M203" s="84"/>
      <c r="N203" s="141"/>
      <c r="O203" s="141"/>
      <c r="P203" s="141"/>
      <c r="Q203" s="141"/>
      <c r="R203" s="141"/>
      <c r="S203" s="141"/>
      <c r="T203" s="141"/>
      <c r="U203" s="141"/>
      <c r="V203" s="141"/>
      <c r="W203" s="141"/>
      <c r="X203" s="141"/>
      <c r="Y203" s="141"/>
    </row>
    <row r="204" ht="15.0" customHeight="1">
      <c r="A204" s="105"/>
      <c r="C204" s="323"/>
      <c r="D204" s="379" t="s">
        <v>1669</v>
      </c>
      <c r="E204" s="425"/>
      <c r="F204" s="325"/>
      <c r="G204" s="354" t="s">
        <v>1669</v>
      </c>
      <c r="H204" s="450" t="s">
        <v>33</v>
      </c>
      <c r="I204" s="107"/>
      <c r="J204" s="141"/>
      <c r="K204" s="141"/>
      <c r="L204" s="83"/>
      <c r="M204" s="84"/>
      <c r="N204" s="141"/>
      <c r="O204" s="141"/>
      <c r="P204" s="141"/>
      <c r="Q204" s="141"/>
      <c r="R204" s="141"/>
      <c r="S204" s="141"/>
      <c r="T204" s="141"/>
      <c r="U204" s="141"/>
      <c r="V204" s="141"/>
      <c r="W204" s="141"/>
      <c r="X204" s="141"/>
      <c r="Y204" s="141"/>
    </row>
    <row r="205" ht="15.0" customHeight="1">
      <c r="A205" s="105"/>
      <c r="C205" s="323"/>
      <c r="D205" s="379" t="s">
        <v>1950</v>
      </c>
      <c r="E205" s="455"/>
      <c r="F205" s="425">
        <v>55700.0</v>
      </c>
      <c r="G205" s="354" t="s">
        <v>1951</v>
      </c>
      <c r="H205" s="450" t="s">
        <v>27</v>
      </c>
      <c r="I205" s="107"/>
      <c r="J205" s="141"/>
      <c r="K205" s="141"/>
      <c r="L205" s="83"/>
      <c r="M205" s="84"/>
      <c r="N205" s="141"/>
      <c r="O205" s="141"/>
      <c r="P205" s="141"/>
      <c r="Q205" s="141"/>
      <c r="R205" s="141"/>
      <c r="S205" s="141"/>
      <c r="T205" s="141"/>
      <c r="U205" s="141"/>
      <c r="V205" s="141"/>
      <c r="W205" s="141"/>
      <c r="X205" s="141"/>
      <c r="Y205" s="141"/>
    </row>
    <row r="206" ht="15.0" customHeight="1">
      <c r="A206" s="105"/>
      <c r="C206" s="323"/>
      <c r="D206" s="379" t="s">
        <v>497</v>
      </c>
      <c r="E206" s="455"/>
      <c r="F206" s="425">
        <v>330000.0</v>
      </c>
      <c r="G206" s="354" t="s">
        <v>1952</v>
      </c>
      <c r="H206" s="450" t="s">
        <v>33</v>
      </c>
      <c r="I206" s="107"/>
      <c r="J206" s="141"/>
      <c r="K206" s="141"/>
      <c r="L206" s="83"/>
      <c r="M206" s="84"/>
      <c r="N206" s="141"/>
      <c r="O206" s="141"/>
      <c r="P206" s="141"/>
      <c r="Q206" s="141"/>
      <c r="R206" s="141"/>
      <c r="S206" s="141"/>
      <c r="T206" s="141"/>
      <c r="U206" s="141"/>
      <c r="V206" s="141"/>
      <c r="W206" s="141"/>
      <c r="X206" s="141"/>
      <c r="Y206" s="141"/>
    </row>
    <row r="207" ht="15.0" customHeight="1">
      <c r="A207" s="105"/>
      <c r="C207" s="323"/>
      <c r="D207" s="379" t="s">
        <v>1953</v>
      </c>
      <c r="E207" s="455"/>
      <c r="F207" s="459">
        <v>37430.0</v>
      </c>
      <c r="G207" s="426" t="s">
        <v>1038</v>
      </c>
      <c r="H207" s="450" t="s">
        <v>4</v>
      </c>
      <c r="I207" s="107"/>
      <c r="J207" s="141"/>
      <c r="K207" s="141"/>
      <c r="L207" s="83"/>
      <c r="M207" s="84"/>
      <c r="N207" s="141"/>
      <c r="O207" s="141"/>
      <c r="P207" s="141"/>
      <c r="Q207" s="141"/>
      <c r="R207" s="141"/>
      <c r="S207" s="141"/>
      <c r="T207" s="141"/>
      <c r="U207" s="141"/>
      <c r="V207" s="141"/>
      <c r="W207" s="141"/>
      <c r="X207" s="141"/>
      <c r="Y207" s="141"/>
    </row>
    <row r="208" ht="15.0" customHeight="1">
      <c r="A208" s="105"/>
      <c r="C208" s="323"/>
      <c r="D208" s="379" t="s">
        <v>1953</v>
      </c>
      <c r="E208" s="455"/>
      <c r="F208" s="425">
        <v>37430.0</v>
      </c>
      <c r="G208" s="354" t="s">
        <v>1038</v>
      </c>
      <c r="H208" s="450" t="s">
        <v>4</v>
      </c>
      <c r="I208" s="107"/>
      <c r="J208" s="141"/>
      <c r="K208" s="141"/>
      <c r="L208" s="83"/>
      <c r="M208" s="84"/>
      <c r="N208" s="141"/>
      <c r="O208" s="141"/>
      <c r="P208" s="141"/>
      <c r="Q208" s="141"/>
      <c r="R208" s="141"/>
      <c r="S208" s="141"/>
      <c r="T208" s="141"/>
      <c r="U208" s="141"/>
      <c r="V208" s="141"/>
      <c r="W208" s="141"/>
      <c r="X208" s="141"/>
      <c r="Y208" s="141"/>
    </row>
    <row r="209" ht="15.0" customHeight="1">
      <c r="A209" s="105"/>
      <c r="C209" s="323"/>
      <c r="D209" s="379" t="s">
        <v>1953</v>
      </c>
      <c r="E209" s="455"/>
      <c r="F209" s="425">
        <v>50250.0</v>
      </c>
      <c r="G209" s="354" t="s">
        <v>1040</v>
      </c>
      <c r="H209" s="457" t="s">
        <v>4</v>
      </c>
      <c r="I209" s="107"/>
      <c r="J209" s="141"/>
      <c r="K209" s="141"/>
      <c r="L209" s="83"/>
      <c r="M209" s="84"/>
      <c r="N209" s="141"/>
      <c r="O209" s="141"/>
      <c r="P209" s="141"/>
      <c r="Q209" s="141"/>
      <c r="R209" s="141"/>
      <c r="S209" s="141"/>
      <c r="T209" s="141"/>
      <c r="U209" s="141"/>
      <c r="V209" s="141"/>
      <c r="W209" s="141"/>
      <c r="X209" s="141"/>
      <c r="Y209" s="141"/>
    </row>
    <row r="210" ht="15.0" customHeight="1">
      <c r="A210" s="105"/>
      <c r="C210" s="323"/>
      <c r="D210" s="379" t="s">
        <v>1953</v>
      </c>
      <c r="E210" s="455"/>
      <c r="F210" s="425">
        <v>20660.0</v>
      </c>
      <c r="G210" s="354" t="s">
        <v>1039</v>
      </c>
      <c r="H210" s="450" t="s">
        <v>4</v>
      </c>
      <c r="I210" s="107"/>
      <c r="J210" s="141"/>
      <c r="K210" s="141"/>
      <c r="L210" s="83"/>
      <c r="M210" s="84"/>
      <c r="N210" s="141"/>
      <c r="O210" s="141"/>
      <c r="P210" s="141"/>
      <c r="Q210" s="141"/>
      <c r="R210" s="141"/>
      <c r="S210" s="141"/>
      <c r="T210" s="141"/>
      <c r="U210" s="141"/>
      <c r="V210" s="141"/>
      <c r="W210" s="141"/>
      <c r="X210" s="141"/>
      <c r="Y210" s="141"/>
    </row>
    <row r="211" ht="15.0" customHeight="1">
      <c r="A211" s="105"/>
      <c r="C211" s="323"/>
      <c r="D211" s="379" t="s">
        <v>1953</v>
      </c>
      <c r="E211" s="455"/>
      <c r="F211" s="425">
        <v>20660.0</v>
      </c>
      <c r="G211" s="354" t="s">
        <v>1039</v>
      </c>
      <c r="H211" s="450" t="s">
        <v>4</v>
      </c>
      <c r="I211" s="107"/>
      <c r="J211" s="141"/>
      <c r="K211" s="141"/>
      <c r="L211" s="83"/>
      <c r="M211" s="84"/>
      <c r="N211" s="141"/>
      <c r="O211" s="141"/>
      <c r="P211" s="141"/>
      <c r="Q211" s="141"/>
      <c r="R211" s="141"/>
      <c r="S211" s="141"/>
      <c r="T211" s="141"/>
      <c r="U211" s="141"/>
      <c r="V211" s="141"/>
      <c r="W211" s="141"/>
      <c r="X211" s="141"/>
      <c r="Y211" s="141"/>
    </row>
    <row r="212" ht="15.0" customHeight="1">
      <c r="A212" s="105"/>
      <c r="C212" s="323"/>
      <c r="D212" s="379" t="s">
        <v>1954</v>
      </c>
      <c r="E212" s="455"/>
      <c r="F212" s="425">
        <v>98000.0</v>
      </c>
      <c r="G212" s="354" t="s">
        <v>1047</v>
      </c>
      <c r="H212" s="450" t="s">
        <v>4</v>
      </c>
      <c r="I212" s="107"/>
      <c r="J212" s="141"/>
      <c r="K212" s="141"/>
      <c r="L212" s="83"/>
      <c r="M212" s="84"/>
      <c r="N212" s="141"/>
      <c r="O212" s="141"/>
      <c r="P212" s="141"/>
      <c r="Q212" s="141"/>
      <c r="R212" s="141"/>
      <c r="S212" s="141"/>
      <c r="T212" s="141"/>
      <c r="U212" s="141"/>
      <c r="V212" s="141"/>
      <c r="W212" s="141"/>
      <c r="X212" s="141"/>
      <c r="Y212" s="141"/>
    </row>
    <row r="213" ht="15.0" customHeight="1">
      <c r="A213" s="105"/>
      <c r="C213" s="323"/>
      <c r="D213" s="379"/>
      <c r="E213" s="455"/>
      <c r="F213" s="325"/>
      <c r="G213" s="354"/>
      <c r="H213" s="450"/>
      <c r="I213" s="107"/>
      <c r="J213" s="141"/>
      <c r="K213" s="141"/>
      <c r="L213" s="83"/>
      <c r="M213" s="84"/>
      <c r="N213" s="141"/>
      <c r="O213" s="141"/>
      <c r="P213" s="141"/>
      <c r="Q213" s="141"/>
      <c r="R213" s="141"/>
      <c r="S213" s="141"/>
      <c r="T213" s="141"/>
      <c r="U213" s="141"/>
      <c r="V213" s="141"/>
      <c r="W213" s="141"/>
      <c r="X213" s="141"/>
      <c r="Y213" s="141"/>
    </row>
    <row r="214" ht="15.0" customHeight="1">
      <c r="A214" s="105"/>
      <c r="C214" s="323"/>
      <c r="D214" s="379" t="s">
        <v>1991</v>
      </c>
      <c r="E214" s="425"/>
      <c r="F214" s="414">
        <v>7000000.0</v>
      </c>
      <c r="G214" s="313" t="s">
        <v>2197</v>
      </c>
      <c r="H214" s="450" t="s">
        <v>33</v>
      </c>
      <c r="I214" s="107"/>
      <c r="J214" s="141"/>
      <c r="K214" s="141"/>
      <c r="L214" s="83"/>
      <c r="M214" s="84"/>
      <c r="N214" s="141"/>
      <c r="O214" s="141"/>
      <c r="P214" s="141"/>
      <c r="Q214" s="141"/>
      <c r="R214" s="141"/>
      <c r="S214" s="141"/>
      <c r="T214" s="141"/>
      <c r="U214" s="141"/>
      <c r="V214" s="141"/>
      <c r="W214" s="141"/>
      <c r="X214" s="141"/>
      <c r="Y214" s="141"/>
    </row>
    <row r="215" ht="15.0" customHeight="1">
      <c r="A215" s="105"/>
      <c r="C215" s="323"/>
      <c r="D215" s="323"/>
      <c r="E215" s="337"/>
      <c r="F215" s="325"/>
      <c r="G215" s="327"/>
      <c r="H215" s="328"/>
      <c r="I215" s="107"/>
      <c r="J215" s="141"/>
      <c r="K215" s="141"/>
      <c r="L215" s="83"/>
      <c r="M215" s="84"/>
      <c r="N215" s="141"/>
      <c r="O215" s="141"/>
      <c r="P215" s="141"/>
      <c r="Q215" s="141"/>
      <c r="R215" s="141"/>
      <c r="S215" s="141"/>
      <c r="T215" s="141"/>
      <c r="U215" s="141"/>
      <c r="V215" s="141"/>
      <c r="W215" s="141"/>
      <c r="X215" s="141"/>
      <c r="Y215" s="141"/>
    </row>
    <row r="216" ht="15.0" customHeight="1">
      <c r="A216" s="105"/>
      <c r="C216" s="323"/>
      <c r="D216" s="323"/>
      <c r="E216" s="325" t="s">
        <v>2515</v>
      </c>
      <c r="F216" s="460">
        <f>SUM(F190:F215)</f>
        <v>28755547.5</v>
      </c>
      <c r="G216" s="461">
        <f>F216/$J$3</f>
        <v>19525.40189</v>
      </c>
      <c r="H216" s="328"/>
      <c r="I216" s="107"/>
      <c r="J216" s="141"/>
      <c r="K216" s="141"/>
      <c r="L216" s="83"/>
      <c r="M216" s="84"/>
      <c r="N216" s="141"/>
      <c r="O216" s="141"/>
      <c r="P216" s="141"/>
      <c r="Q216" s="141"/>
      <c r="R216" s="141"/>
      <c r="S216" s="141"/>
      <c r="T216" s="141"/>
      <c r="U216" s="141"/>
      <c r="V216" s="141"/>
      <c r="W216" s="141"/>
      <c r="X216" s="141"/>
      <c r="Y216" s="141"/>
    </row>
    <row r="217" ht="15.0" customHeight="1">
      <c r="A217" s="105"/>
      <c r="C217" s="323"/>
      <c r="D217" s="323"/>
      <c r="E217" s="325"/>
      <c r="F217" s="414"/>
      <c r="G217" s="327"/>
      <c r="H217" s="328"/>
      <c r="I217" s="107"/>
      <c r="J217" s="141"/>
      <c r="K217" s="141"/>
      <c r="L217" s="83"/>
      <c r="M217" s="84"/>
      <c r="N217" s="141"/>
      <c r="O217" s="141"/>
      <c r="P217" s="141"/>
      <c r="Q217" s="141"/>
      <c r="R217" s="141"/>
      <c r="S217" s="141"/>
      <c r="T217" s="141"/>
      <c r="U217" s="141"/>
      <c r="V217" s="141"/>
      <c r="W217" s="141"/>
      <c r="X217" s="141"/>
      <c r="Y217" s="141"/>
    </row>
    <row r="218" ht="15.0" customHeight="1">
      <c r="A218" s="105"/>
      <c r="C218" s="323"/>
      <c r="D218" s="417"/>
      <c r="E218" s="462" t="s">
        <v>2516</v>
      </c>
      <c r="F218" s="462">
        <f>F216+F189</f>
        <v>28755547.5</v>
      </c>
      <c r="G218" s="463">
        <f>F218/$J$3</f>
        <v>19525.40189</v>
      </c>
      <c r="H218" s="416"/>
      <c r="I218" s="107"/>
      <c r="J218" s="141"/>
      <c r="K218" s="141"/>
      <c r="L218" s="83"/>
      <c r="M218" s="84"/>
      <c r="N218" s="141"/>
      <c r="O218" s="141"/>
      <c r="P218" s="141"/>
      <c r="Q218" s="141"/>
      <c r="R218" s="141"/>
      <c r="S218" s="141"/>
      <c r="T218" s="141"/>
      <c r="U218" s="141"/>
      <c r="V218" s="141"/>
      <c r="W218" s="141"/>
      <c r="X218" s="141"/>
      <c r="Y218" s="141"/>
    </row>
    <row r="219" ht="15.0" customHeight="1">
      <c r="A219" s="105"/>
      <c r="C219" s="323"/>
      <c r="D219" s="464"/>
      <c r="E219" s="465" t="s">
        <v>2517</v>
      </c>
      <c r="F219" s="466">
        <f>F184-F218</f>
        <v>4936475.934</v>
      </c>
      <c r="G219" s="467"/>
      <c r="H219" s="468"/>
      <c r="I219" s="107"/>
      <c r="J219" s="141"/>
      <c r="K219" s="141"/>
      <c r="L219" s="83"/>
      <c r="M219" s="84"/>
      <c r="N219" s="141"/>
      <c r="O219" s="141"/>
      <c r="P219" s="141"/>
      <c r="Q219" s="141"/>
      <c r="R219" s="141"/>
      <c r="S219" s="141"/>
      <c r="T219" s="141"/>
      <c r="U219" s="141"/>
      <c r="V219" s="141"/>
      <c r="W219" s="141"/>
      <c r="X219" s="141"/>
      <c r="Y219" s="141"/>
    </row>
    <row r="220" ht="15.0" customHeight="1">
      <c r="A220" s="105"/>
      <c r="C220" s="323"/>
      <c r="D220" s="323"/>
      <c r="E220" s="337"/>
      <c r="F220" s="325"/>
      <c r="G220" s="327"/>
      <c r="H220" s="328"/>
      <c r="I220" s="107"/>
      <c r="J220" s="141"/>
      <c r="K220" s="141"/>
      <c r="L220" s="83"/>
      <c r="M220" s="84"/>
      <c r="N220" s="141"/>
      <c r="O220" s="141"/>
      <c r="P220" s="141"/>
      <c r="Q220" s="141"/>
      <c r="R220" s="141"/>
      <c r="S220" s="141"/>
      <c r="T220" s="141"/>
      <c r="U220" s="141"/>
      <c r="V220" s="141"/>
      <c r="W220" s="141"/>
      <c r="X220" s="141"/>
      <c r="Y220" s="141"/>
    </row>
    <row r="221" ht="15.0" customHeight="1">
      <c r="A221" s="105"/>
      <c r="C221" s="323"/>
      <c r="D221" s="399" t="s">
        <v>2518</v>
      </c>
      <c r="E221" s="469"/>
      <c r="F221" s="470">
        <v>6.9379052E7</v>
      </c>
      <c r="G221" s="402" t="s">
        <v>2519</v>
      </c>
      <c r="H221" s="398" t="s">
        <v>41</v>
      </c>
      <c r="I221" s="107"/>
      <c r="J221" s="141"/>
      <c r="K221" s="141"/>
      <c r="L221" s="83"/>
      <c r="M221" s="84"/>
      <c r="N221" s="141"/>
      <c r="O221" s="141"/>
      <c r="P221" s="141"/>
      <c r="Q221" s="141"/>
      <c r="R221" s="141"/>
      <c r="S221" s="141"/>
      <c r="T221" s="141"/>
      <c r="U221" s="141"/>
      <c r="V221" s="141"/>
      <c r="W221" s="141"/>
      <c r="X221" s="141"/>
      <c r="Y221" s="141"/>
    </row>
    <row r="222" ht="15.0" customHeight="1">
      <c r="A222" s="105"/>
      <c r="C222" s="323"/>
      <c r="D222" s="399" t="s">
        <v>2518</v>
      </c>
      <c r="E222" s="469"/>
      <c r="F222" s="470">
        <v>1.9161411E7</v>
      </c>
      <c r="G222" s="402" t="s">
        <v>2520</v>
      </c>
      <c r="H222" s="398" t="s">
        <v>41</v>
      </c>
      <c r="I222" s="107"/>
      <c r="J222" s="141"/>
      <c r="K222" s="141"/>
      <c r="L222" s="83"/>
      <c r="M222" s="84"/>
      <c r="N222" s="141"/>
      <c r="O222" s="141"/>
      <c r="P222" s="141"/>
      <c r="Q222" s="141"/>
      <c r="R222" s="141"/>
      <c r="S222" s="141"/>
      <c r="T222" s="141"/>
      <c r="U222" s="141"/>
      <c r="V222" s="141"/>
      <c r="W222" s="141"/>
      <c r="X222" s="141"/>
      <c r="Y222" s="141"/>
    </row>
    <row r="223" ht="15.0" customHeight="1">
      <c r="A223" s="105"/>
      <c r="C223" s="323"/>
      <c r="D223" s="399" t="s">
        <v>2521</v>
      </c>
      <c r="E223" s="469"/>
      <c r="F223" s="470">
        <v>5.0850468E7</v>
      </c>
      <c r="G223" s="402" t="s">
        <v>2519</v>
      </c>
      <c r="H223" s="398" t="s">
        <v>41</v>
      </c>
      <c r="I223" s="107"/>
      <c r="J223" s="141"/>
      <c r="K223" s="141"/>
      <c r="L223" s="83"/>
      <c r="M223" s="84"/>
      <c r="N223" s="141"/>
      <c r="O223" s="141"/>
      <c r="P223" s="141"/>
      <c r="Q223" s="141"/>
      <c r="R223" s="141"/>
      <c r="S223" s="141"/>
      <c r="T223" s="141"/>
      <c r="U223" s="141"/>
      <c r="V223" s="141"/>
      <c r="W223" s="141"/>
      <c r="X223" s="141"/>
      <c r="Y223" s="141"/>
    </row>
    <row r="224">
      <c r="C224" s="323"/>
      <c r="D224" s="399" t="s">
        <v>2521</v>
      </c>
      <c r="E224" s="469"/>
      <c r="F224" s="470">
        <v>246570.0</v>
      </c>
      <c r="G224" s="402" t="s">
        <v>2520</v>
      </c>
      <c r="H224" s="398" t="s">
        <v>41</v>
      </c>
    </row>
    <row r="225" ht="15.0" customHeight="1">
      <c r="A225" s="105"/>
      <c r="C225" s="323"/>
      <c r="I225" s="107"/>
      <c r="J225" s="141"/>
      <c r="K225" s="141"/>
      <c r="L225" s="83"/>
      <c r="M225" s="84"/>
      <c r="N225" s="141"/>
      <c r="O225" s="141"/>
      <c r="P225" s="141"/>
      <c r="Q225" s="141"/>
      <c r="R225" s="141"/>
      <c r="S225" s="141"/>
      <c r="T225" s="141"/>
      <c r="U225" s="141"/>
      <c r="V225" s="141"/>
      <c r="W225" s="141"/>
      <c r="X225" s="141"/>
      <c r="Y225" s="141"/>
    </row>
    <row r="226" ht="15.0" customHeight="1">
      <c r="A226" s="105"/>
      <c r="C226" s="323"/>
      <c r="D226" s="464"/>
      <c r="E226" s="465" t="s">
        <v>2517</v>
      </c>
      <c r="F226" s="466">
        <f>F219-F221-F222-F223-F224</f>
        <v>-134701025.1</v>
      </c>
      <c r="G226" s="467"/>
      <c r="H226" s="468"/>
      <c r="I226" s="107"/>
      <c r="J226" s="141"/>
      <c r="K226" s="138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</row>
    <row r="227" ht="15.0" customHeight="1">
      <c r="A227" s="105"/>
      <c r="C227" s="323"/>
      <c r="D227" s="323"/>
      <c r="E227" s="326"/>
      <c r="F227" s="424"/>
      <c r="G227" s="327"/>
      <c r="H227" s="286"/>
      <c r="I227" s="107"/>
      <c r="J227" s="141"/>
      <c r="K227" s="138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</row>
    <row r="228" ht="15.0" customHeight="1">
      <c r="A228" s="105"/>
      <c r="C228" s="323"/>
      <c r="D228" s="323"/>
      <c r="E228" s="326"/>
      <c r="F228" s="424">
        <v>8.0E7</v>
      </c>
      <c r="G228" s="327">
        <f>H9+F228+F229</f>
        <v>222646950</v>
      </c>
      <c r="H228" s="286"/>
      <c r="I228" s="107"/>
      <c r="J228" s="141"/>
      <c r="K228" s="138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</row>
    <row r="229" ht="15.0" customHeight="1">
      <c r="A229" s="105"/>
      <c r="C229" s="323"/>
      <c r="D229" s="323"/>
      <c r="E229" s="326"/>
      <c r="F229" s="424">
        <v>4.0E7</v>
      </c>
      <c r="G229" s="327">
        <f>G228-F224-F223-F222-F221-F143</f>
        <v>83009449</v>
      </c>
      <c r="H229" s="286"/>
      <c r="I229" s="107"/>
      <c r="J229" s="141"/>
      <c r="K229" s="138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</row>
    <row r="230" ht="15.0" customHeight="1">
      <c r="A230" s="105"/>
      <c r="C230" s="323"/>
      <c r="D230" s="323"/>
      <c r="E230" s="337"/>
      <c r="F230" s="325">
        <f>F226+F228+F229</f>
        <v>-14701025.07</v>
      </c>
      <c r="G230" s="327"/>
      <c r="H230" s="286"/>
      <c r="I230" s="107"/>
      <c r="J230" s="141"/>
      <c r="K230" s="138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</row>
    <row r="231">
      <c r="C231" s="323"/>
      <c r="D231" s="323"/>
      <c r="E231" s="337"/>
      <c r="F231" s="325"/>
      <c r="G231" s="327"/>
      <c r="H231" s="286"/>
      <c r="I231" s="107"/>
      <c r="J231" s="141"/>
      <c r="K231" s="138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</row>
    <row r="232" ht="15.0" customHeight="1">
      <c r="A232" s="341"/>
      <c r="C232" s="323"/>
      <c r="D232" s="323"/>
      <c r="E232" s="337"/>
      <c r="F232" s="325"/>
      <c r="G232" s="327"/>
      <c r="H232" s="328"/>
      <c r="I232" s="107"/>
      <c r="J232" s="141"/>
      <c r="K232" s="138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</row>
    <row r="233" ht="15.0" customHeight="1">
      <c r="A233" s="105"/>
      <c r="C233" s="323"/>
      <c r="D233" s="323"/>
      <c r="E233" s="337"/>
      <c r="F233" s="325"/>
      <c r="G233" s="327"/>
      <c r="H233" s="328"/>
      <c r="I233" s="107"/>
      <c r="J233" s="141"/>
      <c r="K233" s="138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</row>
    <row r="234" ht="15.0" customHeight="1">
      <c r="A234" s="105"/>
      <c r="D234" s="323"/>
      <c r="E234" s="337"/>
      <c r="F234" s="325"/>
      <c r="G234" s="327"/>
      <c r="H234" s="328"/>
      <c r="I234" s="107"/>
      <c r="J234" s="141"/>
      <c r="K234" s="138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</row>
    <row r="235" ht="15.0" customHeight="1">
      <c r="A235" s="105"/>
      <c r="D235" s="323"/>
      <c r="E235" s="337"/>
      <c r="F235" s="325"/>
      <c r="G235" s="327"/>
      <c r="H235" s="328"/>
      <c r="I235" s="107"/>
      <c r="J235" s="141"/>
      <c r="K235" s="138"/>
      <c r="L235" s="99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</row>
    <row r="236" ht="15.0" customHeight="1">
      <c r="A236" s="105"/>
      <c r="D236" s="323"/>
      <c r="E236" s="337"/>
      <c r="F236" s="325"/>
      <c r="G236" s="327"/>
      <c r="H236" s="328"/>
      <c r="I236" s="107"/>
      <c r="J236" s="141"/>
      <c r="K236" s="138"/>
      <c r="L236" s="99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</row>
    <row r="237" ht="15.0" customHeight="1">
      <c r="A237" s="105"/>
      <c r="D237" s="323"/>
      <c r="E237" s="337"/>
      <c r="F237" s="325"/>
      <c r="G237" s="327"/>
      <c r="H237" s="328"/>
      <c r="I237" s="107"/>
      <c r="J237" s="141"/>
      <c r="K237" s="138"/>
      <c r="L237" s="99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</row>
    <row r="238" ht="15.0" customHeight="1">
      <c r="A238" s="105"/>
      <c r="D238" s="323"/>
      <c r="E238" s="337"/>
      <c r="F238" s="414"/>
      <c r="G238" s="313"/>
      <c r="H238" s="328"/>
      <c r="I238" s="107"/>
      <c r="J238" s="141"/>
      <c r="K238" s="138"/>
      <c r="L238" s="99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</row>
    <row r="239" ht="15.0" customHeight="1">
      <c r="A239" s="105"/>
      <c r="D239" s="444"/>
      <c r="E239" s="337"/>
      <c r="F239" s="337"/>
      <c r="G239" s="415"/>
      <c r="H239" s="328"/>
      <c r="I239" s="107"/>
      <c r="J239" s="141"/>
      <c r="K239" s="138"/>
      <c r="L239" s="99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</row>
    <row r="240" ht="15.0" customHeight="1">
      <c r="A240" s="105"/>
      <c r="D240" s="323"/>
      <c r="E240" s="337"/>
      <c r="F240" s="404"/>
      <c r="G240" s="327"/>
      <c r="H240" s="328"/>
      <c r="I240" s="107"/>
      <c r="J240" s="141"/>
      <c r="K240" s="138"/>
      <c r="L240" s="99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</row>
    <row r="241" ht="15.0" customHeight="1">
      <c r="A241" s="105"/>
      <c r="H241" s="328"/>
      <c r="I241" s="107"/>
      <c r="J241" s="141"/>
      <c r="K241" s="138"/>
      <c r="L241" s="99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</row>
    <row r="242" ht="15.0" customHeight="1">
      <c r="A242" s="105"/>
      <c r="H242" s="328"/>
      <c r="I242" s="107"/>
      <c r="J242" s="141"/>
      <c r="K242" s="138"/>
      <c r="L242" s="99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</row>
    <row r="243" ht="15.0" customHeight="1">
      <c r="A243" s="105"/>
      <c r="H243" s="328"/>
      <c r="I243" s="107"/>
      <c r="J243" s="141"/>
      <c r="K243" s="138"/>
      <c r="L243" s="99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</row>
    <row r="244" ht="15.0" customHeight="1">
      <c r="A244" s="105"/>
      <c r="H244" s="328"/>
      <c r="I244" s="107"/>
      <c r="J244" s="141"/>
      <c r="K244" s="138"/>
      <c r="L244" s="99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</row>
    <row r="245" ht="15.0" customHeight="1">
      <c r="A245" s="105"/>
      <c r="H245" s="328"/>
      <c r="I245" s="107"/>
      <c r="J245" s="141"/>
      <c r="K245" s="138"/>
      <c r="L245" s="99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</row>
    <row r="246" ht="15.0" customHeight="1">
      <c r="A246" s="105"/>
      <c r="H246" s="328"/>
      <c r="I246" s="107"/>
      <c r="J246" s="141"/>
      <c r="K246" s="138"/>
      <c r="L246" s="99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</row>
    <row r="247" ht="15.0" customHeight="1">
      <c r="A247" s="105"/>
      <c r="H247" s="328"/>
      <c r="I247" s="107"/>
      <c r="J247" s="141"/>
      <c r="K247" s="138"/>
      <c r="L247" s="99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</row>
    <row r="248" ht="15.0" customHeight="1">
      <c r="A248" s="105"/>
      <c r="H248" s="328"/>
      <c r="I248" s="107"/>
      <c r="J248" s="141"/>
      <c r="K248" s="138"/>
      <c r="L248" s="99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</row>
    <row r="249" ht="15.0" customHeight="1">
      <c r="A249" s="105"/>
      <c r="H249" s="328"/>
      <c r="I249" s="107"/>
      <c r="J249" s="141"/>
      <c r="K249" s="138"/>
      <c r="L249" s="99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</row>
    <row r="250" ht="15.0" customHeight="1">
      <c r="A250" s="105"/>
      <c r="H250" s="328"/>
      <c r="I250" s="107"/>
      <c r="J250" s="141"/>
      <c r="K250" s="138"/>
      <c r="L250" s="99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</row>
    <row r="251" ht="15.0" customHeight="1">
      <c r="A251" s="105"/>
      <c r="H251" s="328"/>
      <c r="I251" s="107"/>
      <c r="J251" s="141"/>
      <c r="K251" s="138"/>
      <c r="L251" s="99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</row>
    <row r="252" ht="15.0" customHeight="1">
      <c r="A252" s="105"/>
      <c r="H252" s="328"/>
      <c r="I252" s="107"/>
      <c r="J252" s="141"/>
      <c r="K252" s="138"/>
      <c r="L252" s="99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</row>
    <row r="253" ht="15.0" customHeight="1">
      <c r="A253" s="105"/>
      <c r="H253" s="328"/>
      <c r="I253" s="107"/>
      <c r="J253" s="141"/>
      <c r="K253" s="138"/>
      <c r="L253" s="99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</row>
    <row r="254" ht="15.0" customHeight="1">
      <c r="A254" s="105"/>
      <c r="H254" s="328"/>
      <c r="I254" s="107"/>
      <c r="J254" s="141"/>
      <c r="K254" s="138"/>
      <c r="L254" s="99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</row>
    <row r="255" ht="15.0" customHeight="1">
      <c r="A255" s="105"/>
      <c r="H255" s="328"/>
      <c r="I255" s="107"/>
      <c r="J255" s="141"/>
      <c r="K255" s="138"/>
      <c r="L255" s="99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</row>
    <row r="256" ht="15.0" customHeight="1">
      <c r="A256" s="105"/>
      <c r="H256" s="328"/>
      <c r="I256" s="107"/>
      <c r="J256" s="141"/>
      <c r="K256" s="138"/>
      <c r="L256" s="99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</row>
    <row r="257" ht="15.0" customHeight="1">
      <c r="A257" s="105"/>
      <c r="H257" s="328"/>
      <c r="I257" s="107"/>
      <c r="J257" s="141"/>
      <c r="K257" s="138"/>
      <c r="L257" s="99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</row>
    <row r="258" ht="15.0" customHeight="1">
      <c r="A258" s="105"/>
      <c r="H258" s="328"/>
      <c r="I258" s="107"/>
      <c r="J258" s="141"/>
      <c r="K258" s="138"/>
      <c r="L258" s="99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</row>
    <row r="259" ht="15.0" customHeight="1">
      <c r="A259" s="105"/>
      <c r="H259" s="328"/>
      <c r="I259" s="107"/>
      <c r="J259" s="141"/>
      <c r="K259" s="138"/>
      <c r="L259" s="99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</row>
    <row r="260" ht="15.0" customHeight="1">
      <c r="A260" s="105"/>
      <c r="H260" s="328"/>
      <c r="I260" s="107"/>
      <c r="J260" s="141"/>
      <c r="K260" s="138"/>
      <c r="L260" s="99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</row>
    <row r="261" ht="15.0" customHeight="1">
      <c r="A261" s="105"/>
      <c r="H261" s="328"/>
      <c r="I261" s="107"/>
      <c r="J261" s="141"/>
      <c r="K261" s="138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</row>
    <row r="262" ht="15.0" customHeight="1">
      <c r="A262" s="105"/>
      <c r="H262" s="328"/>
      <c r="I262" s="107"/>
      <c r="J262" s="141"/>
      <c r="K262" s="138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</row>
    <row r="263" ht="15.0" customHeight="1">
      <c r="A263" s="105"/>
      <c r="H263" s="328"/>
      <c r="I263" s="107"/>
      <c r="J263" s="141"/>
      <c r="K263" s="138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</row>
    <row r="264" ht="15.0" customHeight="1">
      <c r="A264" s="105"/>
      <c r="H264" s="328"/>
      <c r="I264" s="107"/>
      <c r="J264" s="141"/>
      <c r="K264" s="138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</row>
    <row r="265" ht="15.0" customHeight="1">
      <c r="A265" s="105"/>
      <c r="H265" s="328"/>
      <c r="I265" s="107"/>
      <c r="J265" s="141"/>
      <c r="K265" s="138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</row>
    <row r="266" ht="15.0" customHeight="1">
      <c r="A266" s="105"/>
      <c r="H266" s="328"/>
      <c r="I266" s="107"/>
      <c r="J266" s="141"/>
      <c r="K266" s="138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</row>
    <row r="267" ht="15.0" customHeight="1">
      <c r="A267" s="105"/>
      <c r="I267" s="107"/>
      <c r="J267" s="141"/>
      <c r="K267" s="138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</row>
    <row r="268" ht="15.0" customHeight="1">
      <c r="A268" s="105"/>
      <c r="I268" s="107"/>
      <c r="J268" s="141"/>
      <c r="K268" s="138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</row>
    <row r="269" ht="15.0" customHeight="1">
      <c r="A269" s="105"/>
      <c r="I269" s="107"/>
      <c r="J269" s="141"/>
      <c r="K269" s="138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</row>
    <row r="270" ht="15.0" customHeight="1">
      <c r="A270" s="105"/>
      <c r="I270" s="107"/>
      <c r="J270" s="141"/>
      <c r="K270" s="138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</row>
    <row r="271" ht="15.0" customHeight="1">
      <c r="A271" s="105"/>
      <c r="I271" s="107"/>
      <c r="J271" s="141"/>
      <c r="K271" s="138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</row>
    <row r="272" ht="15.0" customHeight="1">
      <c r="A272" s="105"/>
      <c r="I272" s="107"/>
      <c r="J272" s="141"/>
      <c r="K272" s="138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</row>
    <row r="273" ht="15.0" customHeight="1">
      <c r="A273" s="105"/>
      <c r="I273" s="107"/>
      <c r="J273" s="141"/>
      <c r="K273" s="138"/>
      <c r="L273" s="99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</row>
    <row r="274" ht="15.0" customHeight="1">
      <c r="A274" s="105"/>
      <c r="I274" s="107"/>
      <c r="J274" s="141"/>
      <c r="K274" s="138"/>
      <c r="L274" s="99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</row>
    <row r="275" ht="15.0" customHeight="1">
      <c r="A275" s="105"/>
      <c r="I275" s="107"/>
      <c r="J275" s="141"/>
      <c r="K275" s="138"/>
      <c r="L275" s="99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</row>
    <row r="276" ht="15.0" customHeight="1">
      <c r="A276" s="105"/>
      <c r="I276" s="107"/>
      <c r="J276" s="141"/>
      <c r="K276" s="138"/>
      <c r="L276" s="99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</row>
    <row r="277" ht="15.0" customHeight="1">
      <c r="A277" s="105"/>
      <c r="I277" s="107"/>
      <c r="J277" s="141"/>
      <c r="K277" s="138"/>
      <c r="L277" s="99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</row>
    <row r="278" ht="15.0" customHeight="1">
      <c r="A278" s="105"/>
      <c r="I278" s="107"/>
      <c r="J278" s="141"/>
      <c r="K278" s="138"/>
      <c r="L278" s="99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</row>
    <row r="279" ht="15.0" customHeight="1">
      <c r="A279" s="105"/>
      <c r="I279" s="107"/>
      <c r="J279" s="141"/>
      <c r="K279" s="138"/>
      <c r="L279" s="99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</row>
    <row r="280" ht="15.0" customHeight="1">
      <c r="A280" s="105"/>
      <c r="I280" s="107"/>
      <c r="J280" s="141"/>
      <c r="K280" s="138"/>
      <c r="L280" s="99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</row>
    <row r="281" ht="15.0" customHeight="1">
      <c r="A281" s="105"/>
      <c r="I281" s="107"/>
      <c r="J281" s="141"/>
      <c r="K281" s="138"/>
      <c r="L281" s="99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</row>
    <row r="282" ht="15.0" customHeight="1">
      <c r="A282" s="105"/>
      <c r="I282" s="107"/>
      <c r="J282" s="141"/>
      <c r="K282" s="138"/>
      <c r="L282" s="99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</row>
    <row r="283" ht="15.0" customHeight="1">
      <c r="A283" s="105"/>
      <c r="I283" s="107"/>
      <c r="J283" s="141"/>
      <c r="K283" s="138"/>
      <c r="L283" s="99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</row>
  </sheetData>
  <autoFilter ref="$B$24:$H$183">
    <sortState ref="B24:H183">
      <sortCondition ref="B24:B183"/>
    </sortState>
  </autoFilter>
  <customSheetViews>
    <customSheetView guid="{CD2BF927-9D79-47FC-BBA8-927062D6B3F5}" filter="1" showAutoFilter="1">
      <autoFilter ref="$B$24:$H$183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224 H226:H266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2542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'25.10월'!G5</f>
        <v>242604</v>
      </c>
      <c r="E5" s="355">
        <f t="shared" ref="E5:E17" si="1">sumif($B$25:$B$168,B5,$E$25:$E$168)</f>
        <v>3000000</v>
      </c>
      <c r="F5" s="356">
        <f t="shared" ref="F5:F17" si="2">sumif($B$25:$B$168,B5,$F$25:$F$168)</f>
        <v>2949771</v>
      </c>
      <c r="G5" s="229">
        <f t="shared" ref="G5:G17" si="3">D5+E5-F5</f>
        <v>292833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'25.10월'!G6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'25.10월'!G7</f>
        <v>767049</v>
      </c>
      <c r="E7" s="359">
        <f t="shared" si="1"/>
        <v>15000000</v>
      </c>
      <c r="F7" s="360">
        <f t="shared" si="2"/>
        <v>11607694</v>
      </c>
      <c r="G7" s="239">
        <f t="shared" si="3"/>
        <v>4159355</v>
      </c>
      <c r="H7" s="422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'25.10월'!G8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'25.10월'!G9</f>
        <v>101637297</v>
      </c>
      <c r="E9" s="359">
        <f t="shared" si="1"/>
        <v>6674</v>
      </c>
      <c r="F9" s="360">
        <f t="shared" si="2"/>
        <v>88206067</v>
      </c>
      <c r="G9" s="239">
        <f t="shared" si="3"/>
        <v>13437904</v>
      </c>
      <c r="H9" s="439">
        <f>G5+G7+G9</f>
        <v>17890092</v>
      </c>
      <c r="I9" s="440">
        <f>(G5+G7+G9)/J3</f>
        <v>12147.61208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'25.10월'!G10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'25.10월'!G11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'25.10월'!G12</f>
        <v>589.97</v>
      </c>
      <c r="E12" s="361">
        <f t="shared" si="1"/>
        <v>54.11</v>
      </c>
      <c r="F12" s="362">
        <f t="shared" si="2"/>
        <v>601.06</v>
      </c>
      <c r="G12" s="329">
        <f t="shared" si="3"/>
        <v>43.02</v>
      </c>
      <c r="H12" s="422">
        <f>G12*J3</f>
        <v>63356.6295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'25.10월'!G13</f>
        <v>0</v>
      </c>
      <c r="E13" s="363">
        <f t="shared" si="1"/>
        <v>165.01</v>
      </c>
      <c r="F13" s="364">
        <f t="shared" si="2"/>
        <v>0</v>
      </c>
      <c r="G13" s="320">
        <f t="shared" si="3"/>
        <v>165.01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'25.10월'!G14</f>
        <v>0</v>
      </c>
      <c r="E14" s="365">
        <f t="shared" si="1"/>
        <v>79800</v>
      </c>
      <c r="F14" s="360">
        <f t="shared" si="2"/>
        <v>79800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'25.10월'!G15</f>
        <v>21.33</v>
      </c>
      <c r="E15" s="361">
        <f t="shared" si="1"/>
        <v>0</v>
      </c>
      <c r="F15" s="358">
        <f t="shared" si="2"/>
        <v>0</v>
      </c>
      <c r="G15" s="235">
        <f t="shared" si="3"/>
        <v>21.33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'25.10월'!G16</f>
        <v>0</v>
      </c>
      <c r="E16" s="366">
        <f t="shared" si="1"/>
        <v>0</v>
      </c>
      <c r="F16" s="367">
        <f t="shared" si="2"/>
        <v>0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'25.10월'!G17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102646955</v>
      </c>
      <c r="E18" s="262">
        <f t="shared" si="4"/>
        <v>18086474</v>
      </c>
      <c r="F18" s="263">
        <f t="shared" si="4"/>
        <v>102843332</v>
      </c>
      <c r="G18" s="345">
        <f t="shared" si="4"/>
        <v>17890097</v>
      </c>
      <c r="H18" s="353">
        <f>G18</f>
        <v>17890097</v>
      </c>
      <c r="I18" s="353">
        <f>D18</f>
        <v>102646955</v>
      </c>
      <c r="J18" s="133">
        <f>G18</f>
        <v>17890097</v>
      </c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729.145998</v>
      </c>
      <c r="E19" s="269">
        <f t="shared" si="5"/>
        <v>54.11</v>
      </c>
      <c r="F19" s="270">
        <f t="shared" si="5"/>
        <v>601.06</v>
      </c>
      <c r="G19" s="346">
        <f t="shared" si="5"/>
        <v>182.195998</v>
      </c>
      <c r="H19" s="265">
        <f>rounddown(G19*$J$3,0)</f>
        <v>268324</v>
      </c>
      <c r="I19" s="265">
        <f>rounddown(D19*$J$3,0)</f>
        <v>1073831</v>
      </c>
      <c r="J19" s="134">
        <f>G19*1464.8</f>
        <v>266880.6979</v>
      </c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0</v>
      </c>
      <c r="E20" s="274">
        <f t="shared" si="6"/>
        <v>165.01</v>
      </c>
      <c r="F20" s="275">
        <f t="shared" si="6"/>
        <v>0</v>
      </c>
      <c r="G20" s="347">
        <f t="shared" si="6"/>
        <v>165.01</v>
      </c>
      <c r="H20" s="277">
        <f>rounddown(G20*$J$4,0)</f>
        <v>188752</v>
      </c>
      <c r="I20" s="277">
        <f>rounddown(D20*$J$4,0)</f>
        <v>0</v>
      </c>
      <c r="J20" s="103">
        <f>G20*1129.55</f>
        <v>186387.0455</v>
      </c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J21" si="7">SUM(H18:H20)</f>
        <v>18347173</v>
      </c>
      <c r="I21" s="279">
        <f t="shared" si="7"/>
        <v>103720786</v>
      </c>
      <c r="J21" s="279">
        <f t="shared" si="7"/>
        <v>18343364.74</v>
      </c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471"/>
      <c r="B22" s="280"/>
      <c r="C22" s="280"/>
      <c r="D22" s="280"/>
      <c r="E22" s="311"/>
      <c r="F22" s="311"/>
      <c r="G22" s="280"/>
      <c r="H22" s="336">
        <f>H21-I21</f>
        <v>-85373613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-57969.82668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">
        <v>1582</v>
      </c>
      <c r="C25" s="323" t="s">
        <v>2543</v>
      </c>
      <c r="D25" s="323" t="s">
        <v>1552</v>
      </c>
      <c r="E25" s="337"/>
      <c r="F25" s="325">
        <v>125400.0</v>
      </c>
      <c r="G25" s="313" t="s">
        <v>2044</v>
      </c>
      <c r="H25" s="328" t="s">
        <v>33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">
        <v>1582</v>
      </c>
      <c r="C26" s="323" t="s">
        <v>2543</v>
      </c>
      <c r="D26" s="323" t="s">
        <v>789</v>
      </c>
      <c r="E26" s="425"/>
      <c r="F26" s="325">
        <v>6338530.0</v>
      </c>
      <c r="G26" s="327" t="s">
        <v>1466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">
        <v>552</v>
      </c>
      <c r="C27" s="323" t="s">
        <v>2543</v>
      </c>
      <c r="D27" s="323" t="s">
        <v>2483</v>
      </c>
      <c r="E27" s="337"/>
      <c r="F27" s="325">
        <v>3603025.0</v>
      </c>
      <c r="G27" s="327" t="s">
        <v>2484</v>
      </c>
      <c r="H27" s="328" t="s">
        <v>39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">
        <v>552</v>
      </c>
      <c r="C28" s="323" t="s">
        <v>2543</v>
      </c>
      <c r="D28" s="323" t="s">
        <v>1115</v>
      </c>
      <c r="E28" s="326"/>
      <c r="F28" s="326">
        <v>52078.0</v>
      </c>
      <c r="G28" s="327" t="s">
        <v>2485</v>
      </c>
      <c r="H28" s="286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">
        <v>1582</v>
      </c>
      <c r="C29" s="323" t="s">
        <v>2543</v>
      </c>
      <c r="D29" s="323" t="s">
        <v>1981</v>
      </c>
      <c r="E29" s="337"/>
      <c r="F29" s="325">
        <v>4000000.0</v>
      </c>
      <c r="G29" s="327" t="s">
        <v>1035</v>
      </c>
      <c r="H29" s="286" t="s">
        <v>556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">
        <v>1582</v>
      </c>
      <c r="C30" s="323" t="s">
        <v>2543</v>
      </c>
      <c r="D30" s="323" t="s">
        <v>1981</v>
      </c>
      <c r="E30" s="337"/>
      <c r="F30" s="325">
        <v>2000000.0</v>
      </c>
      <c r="G30" s="327" t="s">
        <v>1035</v>
      </c>
      <c r="H30" s="286" t="s">
        <v>556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">
        <v>14</v>
      </c>
      <c r="C31" s="323" t="s">
        <v>2543</v>
      </c>
      <c r="D31" s="323" t="s">
        <v>1981</v>
      </c>
      <c r="E31" s="325">
        <v>2000000.0</v>
      </c>
      <c r="F31" s="424"/>
      <c r="G31" s="327" t="s">
        <v>1035</v>
      </c>
      <c r="H31" s="286" t="s">
        <v>556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">
        <v>552</v>
      </c>
      <c r="C32" s="323" t="s">
        <v>2543</v>
      </c>
      <c r="D32" s="323" t="s">
        <v>1981</v>
      </c>
      <c r="E32" s="325">
        <v>4000000.0</v>
      </c>
      <c r="F32" s="424"/>
      <c r="G32" s="327" t="s">
        <v>1035</v>
      </c>
      <c r="H32" s="286" t="s">
        <v>556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">
        <v>1582</v>
      </c>
      <c r="C33" s="323" t="s">
        <v>2543</v>
      </c>
      <c r="D33" s="323" t="s">
        <v>1297</v>
      </c>
      <c r="E33" s="371"/>
      <c r="F33" s="424">
        <v>1425300.0</v>
      </c>
      <c r="G33" s="327" t="s">
        <v>1521</v>
      </c>
      <c r="H33" s="286" t="s">
        <v>31</v>
      </c>
      <c r="I33" s="107"/>
      <c r="J33" s="141"/>
      <c r="K33" s="138"/>
      <c r="L33" s="83"/>
      <c r="M33" s="83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">
        <v>1582</v>
      </c>
      <c r="C34" s="323" t="s">
        <v>2543</v>
      </c>
      <c r="D34" s="323" t="s">
        <v>1299</v>
      </c>
      <c r="E34" s="371"/>
      <c r="F34" s="424">
        <v>142710.0</v>
      </c>
      <c r="G34" s="327" t="s">
        <v>1523</v>
      </c>
      <c r="H34" s="286" t="s">
        <v>31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281" t="s">
        <v>18</v>
      </c>
      <c r="C35" s="323" t="s">
        <v>2543</v>
      </c>
      <c r="D35" s="323" t="s">
        <v>2189</v>
      </c>
      <c r="E35" s="337"/>
      <c r="F35" s="337">
        <v>132.22</v>
      </c>
      <c r="G35" s="327" t="s">
        <v>2511</v>
      </c>
      <c r="H35" s="328" t="s">
        <v>930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281" t="s">
        <v>18</v>
      </c>
      <c r="C36" s="323" t="s">
        <v>2543</v>
      </c>
      <c r="D36" s="323" t="s">
        <v>1072</v>
      </c>
      <c r="E36" s="337"/>
      <c r="F36" s="337">
        <v>36.13</v>
      </c>
      <c r="G36" s="327" t="s">
        <v>1565</v>
      </c>
      <c r="H36" s="328" t="s">
        <v>33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281" t="s">
        <v>18</v>
      </c>
      <c r="C37" s="323" t="s">
        <v>2543</v>
      </c>
      <c r="D37" s="323" t="s">
        <v>2187</v>
      </c>
      <c r="E37" s="337"/>
      <c r="F37" s="337">
        <v>148.93</v>
      </c>
      <c r="G37" s="327" t="s">
        <v>2512</v>
      </c>
      <c r="H37" s="328" t="s">
        <v>930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281" t="s">
        <v>18</v>
      </c>
      <c r="C38" s="323" t="s">
        <v>2543</v>
      </c>
      <c r="D38" s="323" t="s">
        <v>1072</v>
      </c>
      <c r="E38" s="337"/>
      <c r="F38" s="337">
        <v>8.54</v>
      </c>
      <c r="G38" s="313" t="s">
        <v>1565</v>
      </c>
      <c r="H38" s="328" t="s">
        <v>33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">
        <v>1582</v>
      </c>
      <c r="C39" s="323" t="s">
        <v>2544</v>
      </c>
      <c r="D39" s="323" t="s">
        <v>2398</v>
      </c>
      <c r="E39" s="337"/>
      <c r="F39" s="414">
        <v>248050.0</v>
      </c>
      <c r="G39" s="327" t="s">
        <v>2398</v>
      </c>
      <c r="H39" s="286" t="s">
        <v>31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">
        <v>1582</v>
      </c>
      <c r="C40" s="323" t="s">
        <v>2544</v>
      </c>
      <c r="D40" s="323" t="s">
        <v>2399</v>
      </c>
      <c r="E40" s="371"/>
      <c r="F40" s="424">
        <v>2997480.0</v>
      </c>
      <c r="G40" s="327" t="s">
        <v>2399</v>
      </c>
      <c r="H40" s="286" t="s">
        <v>31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281" t="s">
        <v>1582</v>
      </c>
      <c r="C41" s="323" t="s">
        <v>2544</v>
      </c>
      <c r="D41" s="323" t="s">
        <v>2400</v>
      </c>
      <c r="E41" s="371"/>
      <c r="F41" s="424">
        <v>706710.0</v>
      </c>
      <c r="G41" s="327" t="s">
        <v>2400</v>
      </c>
      <c r="H41" s="286" t="s">
        <v>31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281" t="s">
        <v>1582</v>
      </c>
      <c r="C42" s="323" t="s">
        <v>2544</v>
      </c>
      <c r="D42" s="323" t="s">
        <v>2401</v>
      </c>
      <c r="E42" s="371"/>
      <c r="F42" s="424">
        <v>2754740.0</v>
      </c>
      <c r="G42" s="327" t="s">
        <v>2401</v>
      </c>
      <c r="H42" s="286" t="s">
        <v>31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281" t="s">
        <v>1582</v>
      </c>
      <c r="C43" s="323" t="s">
        <v>2545</v>
      </c>
      <c r="D43" s="323" t="s">
        <v>2228</v>
      </c>
      <c r="E43" s="326"/>
      <c r="F43" s="424">
        <v>3630000.0</v>
      </c>
      <c r="G43" s="327" t="s">
        <v>2546</v>
      </c>
      <c r="H43" s="286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281" t="s">
        <v>1582</v>
      </c>
      <c r="C44" s="323" t="s">
        <v>2545</v>
      </c>
      <c r="D44" s="323" t="s">
        <v>2228</v>
      </c>
      <c r="E44" s="325"/>
      <c r="F44" s="325">
        <v>1155000.0</v>
      </c>
      <c r="G44" s="327" t="s">
        <v>2546</v>
      </c>
      <c r="H44" s="286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281" t="s">
        <v>1582</v>
      </c>
      <c r="C45" s="323" t="s">
        <v>2547</v>
      </c>
      <c r="D45" s="323" t="s">
        <v>84</v>
      </c>
      <c r="E45" s="337"/>
      <c r="F45" s="325">
        <v>1397293.0</v>
      </c>
      <c r="G45" s="354" t="s">
        <v>1660</v>
      </c>
      <c r="H45" s="450" t="s">
        <v>1642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281" t="s">
        <v>1582</v>
      </c>
      <c r="C46" s="323" t="s">
        <v>2547</v>
      </c>
      <c r="D46" s="323" t="s">
        <v>2218</v>
      </c>
      <c r="E46" s="325">
        <v>6674.0</v>
      </c>
      <c r="F46" s="337"/>
      <c r="G46" s="327" t="s">
        <v>84</v>
      </c>
      <c r="H46" s="286" t="s">
        <v>75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281" t="s">
        <v>14</v>
      </c>
      <c r="C47" s="323" t="s">
        <v>2548</v>
      </c>
      <c r="D47" s="323" t="s">
        <v>1202</v>
      </c>
      <c r="E47" s="326"/>
      <c r="F47" s="325">
        <v>110000.0</v>
      </c>
      <c r="G47" s="313" t="s">
        <v>1202</v>
      </c>
      <c r="H47" s="328" t="s">
        <v>33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281" t="s">
        <v>552</v>
      </c>
      <c r="C48" s="323" t="s">
        <v>2549</v>
      </c>
      <c r="D48" s="379" t="s">
        <v>721</v>
      </c>
      <c r="E48" s="425"/>
      <c r="F48" s="425">
        <f>7602791+349800</f>
        <v>7952591</v>
      </c>
      <c r="G48" s="354" t="s">
        <v>721</v>
      </c>
      <c r="H48" s="450" t="s">
        <v>33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">
        <v>14</v>
      </c>
      <c r="C49" s="323" t="s">
        <v>2549</v>
      </c>
      <c r="D49" s="379" t="s">
        <v>1633</v>
      </c>
      <c r="E49" s="425"/>
      <c r="F49" s="325">
        <v>2189771.0</v>
      </c>
      <c r="G49" s="354" t="s">
        <v>1633</v>
      </c>
      <c r="H49" s="450" t="s">
        <v>33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">
        <v>1582</v>
      </c>
      <c r="C50" s="323" t="s">
        <v>2549</v>
      </c>
      <c r="D50" s="379" t="s">
        <v>1669</v>
      </c>
      <c r="E50" s="425"/>
      <c r="F50" s="325">
        <v>2200899.0</v>
      </c>
      <c r="G50" s="354" t="s">
        <v>1669</v>
      </c>
      <c r="H50" s="450" t="s">
        <v>33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">
        <v>14</v>
      </c>
      <c r="C51" s="323" t="s">
        <v>2549</v>
      </c>
      <c r="D51" s="379" t="s">
        <v>1950</v>
      </c>
      <c r="E51" s="455"/>
      <c r="F51" s="325">
        <v>55570.0</v>
      </c>
      <c r="G51" s="354" t="s">
        <v>1951</v>
      </c>
      <c r="H51" s="450" t="s">
        <v>27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">
        <v>14</v>
      </c>
      <c r="C52" s="323" t="s">
        <v>2549</v>
      </c>
      <c r="D52" s="379" t="s">
        <v>497</v>
      </c>
      <c r="E52" s="455"/>
      <c r="F52" s="425">
        <v>330000.0</v>
      </c>
      <c r="G52" s="354" t="s">
        <v>1952</v>
      </c>
      <c r="H52" s="450" t="s">
        <v>33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">
        <v>14</v>
      </c>
      <c r="C53" s="323" t="s">
        <v>2549</v>
      </c>
      <c r="D53" s="379" t="s">
        <v>1953</v>
      </c>
      <c r="E53" s="455"/>
      <c r="F53" s="459">
        <v>37430.0</v>
      </c>
      <c r="G53" s="426" t="s">
        <v>1038</v>
      </c>
      <c r="H53" s="450" t="s">
        <v>4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">
        <v>14</v>
      </c>
      <c r="C54" s="323" t="s">
        <v>2549</v>
      </c>
      <c r="D54" s="379" t="s">
        <v>1953</v>
      </c>
      <c r="E54" s="455"/>
      <c r="F54" s="425">
        <v>37430.0</v>
      </c>
      <c r="G54" s="354" t="s">
        <v>1038</v>
      </c>
      <c r="H54" s="450" t="s">
        <v>4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">
        <v>14</v>
      </c>
      <c r="C55" s="323" t="s">
        <v>2549</v>
      </c>
      <c r="D55" s="379" t="s">
        <v>1953</v>
      </c>
      <c r="E55" s="455"/>
      <c r="F55" s="425">
        <v>50250.0</v>
      </c>
      <c r="G55" s="354" t="s">
        <v>1040</v>
      </c>
      <c r="H55" s="457" t="s">
        <v>4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">
        <v>14</v>
      </c>
      <c r="C56" s="323" t="s">
        <v>2549</v>
      </c>
      <c r="D56" s="379" t="s">
        <v>1953</v>
      </c>
      <c r="E56" s="455"/>
      <c r="F56" s="425">
        <v>20660.0</v>
      </c>
      <c r="G56" s="354" t="s">
        <v>1039</v>
      </c>
      <c r="H56" s="450" t="s">
        <v>4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50" t="s">
        <v>14</v>
      </c>
      <c r="C57" s="323" t="s">
        <v>2549</v>
      </c>
      <c r="D57" s="379" t="s">
        <v>1953</v>
      </c>
      <c r="E57" s="455"/>
      <c r="F57" s="425">
        <v>20660.0</v>
      </c>
      <c r="G57" s="354" t="s">
        <v>1039</v>
      </c>
      <c r="H57" s="450" t="s">
        <v>4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350" t="s">
        <v>14</v>
      </c>
      <c r="C58" s="323" t="s">
        <v>2549</v>
      </c>
      <c r="D58" s="379" t="s">
        <v>1954</v>
      </c>
      <c r="E58" s="455"/>
      <c r="F58" s="425">
        <v>98000.0</v>
      </c>
      <c r="G58" s="354" t="s">
        <v>1047</v>
      </c>
      <c r="H58" s="450" t="s">
        <v>4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50" t="s">
        <v>1582</v>
      </c>
      <c r="C59" s="323" t="s">
        <v>2549</v>
      </c>
      <c r="D59" s="379" t="s">
        <v>41</v>
      </c>
      <c r="E59" s="455"/>
      <c r="F59" s="325">
        <v>3.5583337E7</v>
      </c>
      <c r="G59" s="354" t="s">
        <v>41</v>
      </c>
      <c r="H59" s="450" t="s">
        <v>41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50" t="s">
        <v>1582</v>
      </c>
      <c r="C60" s="323" t="s">
        <v>2549</v>
      </c>
      <c r="D60" s="323" t="s">
        <v>1981</v>
      </c>
      <c r="E60" s="337"/>
      <c r="F60" s="325">
        <v>1000000.0</v>
      </c>
      <c r="G60" s="327" t="s">
        <v>1035</v>
      </c>
      <c r="H60" s="286" t="s">
        <v>556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 t="s">
        <v>1582</v>
      </c>
      <c r="C61" s="323" t="s">
        <v>2549</v>
      </c>
      <c r="D61" s="323" t="s">
        <v>1981</v>
      </c>
      <c r="E61" s="337"/>
      <c r="F61" s="325">
        <v>1.1E7</v>
      </c>
      <c r="G61" s="327" t="s">
        <v>1035</v>
      </c>
      <c r="H61" s="286" t="s">
        <v>556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">
        <v>14</v>
      </c>
      <c r="C62" s="323" t="s">
        <v>2549</v>
      </c>
      <c r="D62" s="323" t="s">
        <v>1981</v>
      </c>
      <c r="E62" s="325">
        <v>1000000.0</v>
      </c>
      <c r="F62" s="424"/>
      <c r="G62" s="327" t="s">
        <v>1035</v>
      </c>
      <c r="H62" s="286" t="s">
        <v>556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281" t="s">
        <v>552</v>
      </c>
      <c r="C63" s="323" t="s">
        <v>2549</v>
      </c>
      <c r="D63" s="323" t="s">
        <v>1981</v>
      </c>
      <c r="E63" s="325">
        <v>1.1E7</v>
      </c>
      <c r="F63" s="424"/>
      <c r="G63" s="327" t="s">
        <v>1035</v>
      </c>
      <c r="H63" s="286" t="s">
        <v>556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 t="s">
        <v>1582</v>
      </c>
      <c r="C64" s="323" t="s">
        <v>2549</v>
      </c>
      <c r="D64" s="379" t="s">
        <v>1991</v>
      </c>
      <c r="E64" s="425"/>
      <c r="F64" s="325">
        <v>9080618.0</v>
      </c>
      <c r="G64" s="327" t="s">
        <v>2163</v>
      </c>
      <c r="H64" s="450" t="s">
        <v>33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">
        <v>1582</v>
      </c>
      <c r="C65" s="323" t="s">
        <v>2550</v>
      </c>
      <c r="D65" s="323" t="s">
        <v>2228</v>
      </c>
      <c r="E65" s="337"/>
      <c r="F65" s="414">
        <v>2420000.0</v>
      </c>
      <c r="G65" s="313" t="s">
        <v>2551</v>
      </c>
      <c r="H65" s="450" t="s">
        <v>33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350" t="s">
        <v>18</v>
      </c>
      <c r="C66" s="323" t="s">
        <v>2552</v>
      </c>
      <c r="D66" s="323" t="s">
        <v>2553</v>
      </c>
      <c r="E66" s="337"/>
      <c r="F66" s="404">
        <v>55.24</v>
      </c>
      <c r="G66" s="313" t="s">
        <v>2554</v>
      </c>
      <c r="H66" s="450" t="s">
        <v>33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350" t="s">
        <v>26</v>
      </c>
      <c r="C67" s="323" t="s">
        <v>2552</v>
      </c>
      <c r="D67" s="323" t="s">
        <v>2553</v>
      </c>
      <c r="E67" s="325">
        <v>79800.0</v>
      </c>
      <c r="F67" s="337"/>
      <c r="G67" s="313" t="s">
        <v>2554</v>
      </c>
      <c r="H67" s="450" t="s">
        <v>33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350" t="s">
        <v>26</v>
      </c>
      <c r="C68" s="323" t="s">
        <v>2555</v>
      </c>
      <c r="D68" s="323" t="s">
        <v>1072</v>
      </c>
      <c r="E68" s="337"/>
      <c r="F68" s="325">
        <v>79800.0</v>
      </c>
      <c r="G68" s="415" t="s">
        <v>679</v>
      </c>
      <c r="H68" s="286" t="s">
        <v>556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 t="s">
        <v>18</v>
      </c>
      <c r="C69" s="323" t="s">
        <v>2555</v>
      </c>
      <c r="D69" s="323" t="s">
        <v>1072</v>
      </c>
      <c r="E69" s="337">
        <v>54.11</v>
      </c>
      <c r="F69" s="404"/>
      <c r="G69" s="415" t="s">
        <v>679</v>
      </c>
      <c r="H69" s="286" t="s">
        <v>556</v>
      </c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 t="s">
        <v>22</v>
      </c>
      <c r="C70" s="323" t="s">
        <v>2555</v>
      </c>
      <c r="D70" s="323" t="s">
        <v>2068</v>
      </c>
      <c r="E70" s="337">
        <v>165.01</v>
      </c>
      <c r="F70" s="325"/>
      <c r="G70" s="327" t="s">
        <v>2129</v>
      </c>
      <c r="H70" s="328" t="s">
        <v>2035</v>
      </c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350" t="s">
        <v>18</v>
      </c>
      <c r="C71" s="323" t="s">
        <v>2556</v>
      </c>
      <c r="D71" s="323" t="s">
        <v>1816</v>
      </c>
      <c r="E71" s="326"/>
      <c r="F71" s="337">
        <v>220.0</v>
      </c>
      <c r="G71" s="313" t="s">
        <v>1719</v>
      </c>
      <c r="H71" s="328" t="s">
        <v>33</v>
      </c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350"/>
      <c r="C72" s="323"/>
      <c r="D72" s="323"/>
      <c r="E72" s="449"/>
      <c r="F72" s="325"/>
      <c r="G72" s="327"/>
      <c r="H72" s="412"/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350"/>
      <c r="C73" s="323"/>
      <c r="D73" s="323"/>
      <c r="E73" s="449"/>
      <c r="F73" s="325"/>
      <c r="G73" s="327"/>
      <c r="H73" s="412"/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350"/>
      <c r="C74" s="323"/>
      <c r="D74" s="323"/>
      <c r="E74" s="449"/>
      <c r="F74" s="325"/>
      <c r="G74" s="327"/>
      <c r="H74" s="328"/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350"/>
      <c r="C75" s="323"/>
      <c r="D75" s="323"/>
      <c r="E75" s="452" t="s">
        <v>2513</v>
      </c>
      <c r="F75" s="453">
        <f>SUM(F74)</f>
        <v>0</v>
      </c>
      <c r="G75" s="454">
        <f>F75/J3</f>
        <v>0</v>
      </c>
      <c r="H75" s="328"/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C76" s="323"/>
      <c r="D76" s="323"/>
      <c r="E76" s="325"/>
      <c r="F76" s="414"/>
      <c r="G76" s="327"/>
      <c r="H76" s="328"/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C77" s="323"/>
      <c r="D77" s="379"/>
      <c r="E77" s="455"/>
      <c r="F77" s="325"/>
      <c r="G77" s="327"/>
      <c r="H77" s="450"/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C78" s="323"/>
      <c r="D78" s="323"/>
      <c r="E78" s="325" t="s">
        <v>2515</v>
      </c>
      <c r="F78" s="460">
        <f>SUM(F77)</f>
        <v>0</v>
      </c>
      <c r="G78" s="461">
        <f>F78/$J$3</f>
        <v>0</v>
      </c>
      <c r="H78" s="328"/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C79" s="323"/>
      <c r="D79" s="323"/>
      <c r="E79" s="337"/>
      <c r="F79" s="325"/>
      <c r="G79" s="327"/>
      <c r="H79" s="328"/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C80" s="323"/>
      <c r="D80" s="417"/>
      <c r="E80" s="462" t="s">
        <v>2516</v>
      </c>
      <c r="F80" s="462">
        <f>F78+F75</f>
        <v>0</v>
      </c>
      <c r="G80" s="463">
        <f>F80/$J$3</f>
        <v>0</v>
      </c>
      <c r="H80" s="416"/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C81" s="323"/>
      <c r="D81" s="464"/>
      <c r="E81" s="465" t="s">
        <v>2517</v>
      </c>
      <c r="F81" s="466">
        <f>G5+G7+G9+H12-F80</f>
        <v>17953448.63</v>
      </c>
      <c r="G81" s="467"/>
      <c r="H81" s="468"/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C82" s="323" t="s">
        <v>2540</v>
      </c>
      <c r="D82" s="323"/>
      <c r="E82" s="337"/>
      <c r="F82" s="414"/>
      <c r="G82" s="313"/>
      <c r="H82" s="328"/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C83" s="323"/>
      <c r="D83" s="323" t="s">
        <v>2189</v>
      </c>
      <c r="E83" s="337">
        <v>74.93</v>
      </c>
      <c r="F83" s="337">
        <f>E83*J4</f>
        <v>85711.30305</v>
      </c>
      <c r="G83" s="415" t="s">
        <v>2511</v>
      </c>
      <c r="H83" s="328" t="s">
        <v>930</v>
      </c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C84" s="323"/>
      <c r="D84" s="444" t="s">
        <v>2187</v>
      </c>
      <c r="E84" s="337">
        <v>84.39</v>
      </c>
      <c r="F84" s="337">
        <f>E84*J4</f>
        <v>96532.45515</v>
      </c>
      <c r="G84" s="415" t="s">
        <v>2512</v>
      </c>
      <c r="H84" s="328" t="s">
        <v>930</v>
      </c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C85" s="323"/>
      <c r="D85" s="323"/>
      <c r="E85" s="337"/>
      <c r="F85" s="325"/>
      <c r="G85" s="327"/>
      <c r="H85" s="328"/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C86" s="323"/>
      <c r="D86" s="323"/>
      <c r="E86" s="452" t="s">
        <v>2513</v>
      </c>
      <c r="F86" s="453">
        <f>SUM(F82:F85)</f>
        <v>182243.7582</v>
      </c>
      <c r="G86" s="454">
        <f>F86/J3</f>
        <v>123.7459527</v>
      </c>
      <c r="H86" s="328"/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C87" s="323"/>
      <c r="D87" s="379" t="s">
        <v>721</v>
      </c>
      <c r="E87" s="425"/>
      <c r="F87" s="425"/>
      <c r="G87" s="354" t="s">
        <v>721</v>
      </c>
      <c r="H87" s="450" t="s">
        <v>33</v>
      </c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C88" s="323"/>
      <c r="D88" s="379" t="s">
        <v>1633</v>
      </c>
      <c r="E88" s="425"/>
      <c r="F88" s="325"/>
      <c r="G88" s="354" t="s">
        <v>1633</v>
      </c>
      <c r="H88" s="450" t="s">
        <v>33</v>
      </c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C89" s="323"/>
      <c r="D89" s="379" t="s">
        <v>1669</v>
      </c>
      <c r="E89" s="425"/>
      <c r="F89" s="325"/>
      <c r="G89" s="354" t="s">
        <v>1669</v>
      </c>
      <c r="H89" s="450" t="s">
        <v>33</v>
      </c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C90" s="323"/>
      <c r="D90" s="379" t="s">
        <v>1950</v>
      </c>
      <c r="E90" s="455"/>
      <c r="F90" s="425"/>
      <c r="G90" s="354" t="s">
        <v>1951</v>
      </c>
      <c r="H90" s="450" t="s">
        <v>27</v>
      </c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C91" s="323"/>
      <c r="D91" s="379" t="s">
        <v>497</v>
      </c>
      <c r="E91" s="455"/>
      <c r="F91" s="425"/>
      <c r="G91" s="354" t="s">
        <v>1952</v>
      </c>
      <c r="H91" s="450" t="s">
        <v>33</v>
      </c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C92" s="323"/>
      <c r="D92" s="379" t="s">
        <v>1953</v>
      </c>
      <c r="E92" s="455"/>
      <c r="F92" s="459"/>
      <c r="G92" s="426" t="s">
        <v>1038</v>
      </c>
      <c r="H92" s="450" t="s">
        <v>4</v>
      </c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C93" s="323"/>
      <c r="D93" s="379" t="s">
        <v>1953</v>
      </c>
      <c r="E93" s="455"/>
      <c r="F93" s="425"/>
      <c r="G93" s="354" t="s">
        <v>1038</v>
      </c>
      <c r="H93" s="450" t="s">
        <v>4</v>
      </c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C94" s="323"/>
      <c r="D94" s="379" t="s">
        <v>1953</v>
      </c>
      <c r="E94" s="455"/>
      <c r="F94" s="425"/>
      <c r="G94" s="354" t="s">
        <v>1040</v>
      </c>
      <c r="H94" s="457" t="s">
        <v>4</v>
      </c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C95" s="323"/>
      <c r="D95" s="379" t="s">
        <v>1953</v>
      </c>
      <c r="E95" s="455"/>
      <c r="F95" s="425"/>
      <c r="G95" s="354" t="s">
        <v>1039</v>
      </c>
      <c r="H95" s="450" t="s">
        <v>4</v>
      </c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C96" s="323"/>
      <c r="D96" s="379" t="s">
        <v>1953</v>
      </c>
      <c r="E96" s="455"/>
      <c r="F96" s="425"/>
      <c r="G96" s="354" t="s">
        <v>1039</v>
      </c>
      <c r="H96" s="450" t="s">
        <v>4</v>
      </c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C97" s="323"/>
      <c r="D97" s="379" t="s">
        <v>1954</v>
      </c>
      <c r="E97" s="455"/>
      <c r="F97" s="425"/>
      <c r="G97" s="354" t="s">
        <v>1047</v>
      </c>
      <c r="H97" s="450" t="s">
        <v>4</v>
      </c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C98" s="323"/>
      <c r="D98" s="379" t="s">
        <v>41</v>
      </c>
      <c r="E98" s="455"/>
      <c r="F98" s="325"/>
      <c r="G98" s="354" t="s">
        <v>41</v>
      </c>
      <c r="H98" s="450" t="s">
        <v>41</v>
      </c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C99" s="323"/>
      <c r="D99" s="379"/>
      <c r="E99" s="425"/>
      <c r="F99" s="414"/>
      <c r="G99" s="313"/>
      <c r="H99" s="450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C100" s="323"/>
      <c r="D100" s="323"/>
      <c r="E100" s="337"/>
      <c r="F100" s="414"/>
      <c r="G100" s="313"/>
      <c r="H100" s="328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C101" s="323"/>
      <c r="D101" s="323"/>
      <c r="E101" s="337"/>
      <c r="F101" s="325"/>
      <c r="G101" s="313"/>
      <c r="H101" s="328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C102" s="323"/>
      <c r="D102" s="323"/>
      <c r="E102" s="325" t="s">
        <v>2515</v>
      </c>
      <c r="F102" s="460">
        <f>SUM(F87:F101)</f>
        <v>0</v>
      </c>
      <c r="G102" s="461">
        <f>F102/$J$3</f>
        <v>0</v>
      </c>
      <c r="H102" s="328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C103" s="323"/>
      <c r="D103" s="323"/>
      <c r="E103" s="325"/>
      <c r="F103" s="414"/>
      <c r="G103" s="327"/>
      <c r="H103" s="328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C104" s="323"/>
      <c r="D104" s="417"/>
      <c r="E104" s="462" t="s">
        <v>2516</v>
      </c>
      <c r="F104" s="462">
        <f>F102+F86</f>
        <v>182243.7582</v>
      </c>
      <c r="G104" s="463">
        <f>F104/$J$3</f>
        <v>123.7459527</v>
      </c>
      <c r="H104" s="416"/>
      <c r="I104" s="107"/>
      <c r="J104" s="141"/>
      <c r="K104" s="141"/>
      <c r="L104" s="83"/>
      <c r="M104" s="84"/>
      <c r="N104" s="141"/>
      <c r="O104" s="141"/>
      <c r="P104" s="141"/>
      <c r="Q104" s="141"/>
      <c r="R104" s="141"/>
      <c r="S104" s="141"/>
      <c r="T104" s="141"/>
      <c r="U104" s="141"/>
      <c r="V104" s="141"/>
      <c r="W104" s="141"/>
      <c r="X104" s="141"/>
      <c r="Y104" s="141"/>
    </row>
    <row r="105" ht="15.0" customHeight="1">
      <c r="A105" s="105"/>
      <c r="C105" s="323"/>
      <c r="D105" s="464"/>
      <c r="E105" s="465" t="s">
        <v>2517</v>
      </c>
      <c r="F105" s="466">
        <f>F81-F104</f>
        <v>17771204.87</v>
      </c>
      <c r="G105" s="467"/>
      <c r="H105" s="468"/>
      <c r="I105" s="107"/>
      <c r="J105" s="141"/>
      <c r="K105" s="141"/>
      <c r="L105" s="83"/>
      <c r="M105" s="84"/>
      <c r="N105" s="141"/>
      <c r="O105" s="141"/>
      <c r="P105" s="141"/>
      <c r="Q105" s="141"/>
      <c r="R105" s="141"/>
      <c r="S105" s="141"/>
      <c r="T105" s="141"/>
      <c r="U105" s="141"/>
      <c r="V105" s="141"/>
      <c r="W105" s="141"/>
      <c r="X105" s="141"/>
      <c r="Y105" s="141"/>
    </row>
    <row r="106" ht="15.0" customHeight="1">
      <c r="A106" s="105"/>
      <c r="C106" s="323"/>
      <c r="D106" s="323"/>
      <c r="E106" s="325"/>
      <c r="F106" s="414"/>
      <c r="G106" s="327"/>
      <c r="H106" s="328"/>
      <c r="I106" s="107"/>
      <c r="J106" s="141"/>
      <c r="K106" s="141"/>
      <c r="L106" s="83"/>
      <c r="M106" s="84"/>
      <c r="N106" s="141"/>
      <c r="O106" s="141"/>
      <c r="P106" s="141"/>
      <c r="Q106" s="141"/>
      <c r="R106" s="141"/>
      <c r="S106" s="141"/>
      <c r="T106" s="141"/>
      <c r="U106" s="141"/>
      <c r="V106" s="141"/>
      <c r="W106" s="141"/>
      <c r="X106" s="141"/>
      <c r="Y106" s="141"/>
    </row>
    <row r="107" ht="15.0" customHeight="1">
      <c r="A107" s="105"/>
      <c r="C107" s="323" t="s">
        <v>2541</v>
      </c>
      <c r="D107" s="323"/>
      <c r="E107" s="337"/>
      <c r="F107" s="414"/>
      <c r="G107" s="313"/>
      <c r="H107" s="328"/>
      <c r="I107" s="107"/>
      <c r="J107" s="141"/>
      <c r="K107" s="141"/>
      <c r="L107" s="83"/>
      <c r="M107" s="84"/>
      <c r="N107" s="141"/>
      <c r="O107" s="141"/>
      <c r="P107" s="141"/>
      <c r="Q107" s="141"/>
      <c r="R107" s="141"/>
      <c r="S107" s="141"/>
      <c r="T107" s="141"/>
      <c r="U107" s="141"/>
      <c r="V107" s="141"/>
      <c r="W107" s="141"/>
      <c r="X107" s="141"/>
      <c r="Y107" s="141"/>
    </row>
    <row r="108" ht="15.0" customHeight="1">
      <c r="A108" s="105"/>
      <c r="C108" s="323"/>
      <c r="D108" s="323" t="s">
        <v>2189</v>
      </c>
      <c r="E108" s="337">
        <v>50.0</v>
      </c>
      <c r="F108" s="337">
        <f>E108*J3</f>
        <v>73636.25</v>
      </c>
      <c r="G108" s="415" t="s">
        <v>2511</v>
      </c>
      <c r="H108" s="328" t="s">
        <v>930</v>
      </c>
      <c r="I108" s="107"/>
      <c r="J108" s="141"/>
      <c r="K108" s="141"/>
      <c r="L108" s="83"/>
      <c r="M108" s="84"/>
      <c r="N108" s="141"/>
      <c r="O108" s="141"/>
      <c r="P108" s="141"/>
      <c r="Q108" s="141"/>
      <c r="R108" s="141"/>
      <c r="S108" s="141"/>
      <c r="T108" s="141"/>
      <c r="U108" s="141"/>
      <c r="V108" s="141"/>
      <c r="W108" s="141"/>
      <c r="X108" s="141"/>
      <c r="Y108" s="141"/>
    </row>
    <row r="109" ht="15.0" customHeight="1">
      <c r="A109" s="105"/>
      <c r="C109" s="323"/>
      <c r="D109" s="444" t="s">
        <v>2187</v>
      </c>
      <c r="E109" s="337">
        <v>65.0</v>
      </c>
      <c r="F109" s="337">
        <f>E109*J3</f>
        <v>95727.125</v>
      </c>
      <c r="G109" s="415" t="s">
        <v>2512</v>
      </c>
      <c r="H109" s="328" t="s">
        <v>930</v>
      </c>
      <c r="I109" s="107"/>
      <c r="J109" s="141"/>
      <c r="K109" s="141"/>
      <c r="L109" s="83"/>
      <c r="M109" s="84"/>
      <c r="N109" s="141"/>
      <c r="O109" s="141"/>
      <c r="P109" s="141"/>
      <c r="Q109" s="141"/>
      <c r="R109" s="141"/>
      <c r="S109" s="141"/>
      <c r="T109" s="141"/>
      <c r="U109" s="141"/>
      <c r="V109" s="141"/>
      <c r="W109" s="141"/>
      <c r="X109" s="141"/>
      <c r="Y109" s="141"/>
    </row>
    <row r="110" ht="15.0" customHeight="1">
      <c r="A110" s="105"/>
      <c r="C110" s="323"/>
      <c r="D110" s="323"/>
      <c r="E110" s="337"/>
      <c r="F110" s="325"/>
      <c r="G110" s="327"/>
      <c r="H110" s="328"/>
      <c r="I110" s="107"/>
      <c r="J110" s="141"/>
      <c r="K110" s="141"/>
      <c r="L110" s="83"/>
      <c r="M110" s="84"/>
      <c r="N110" s="141"/>
      <c r="O110" s="141"/>
      <c r="P110" s="141"/>
      <c r="Q110" s="141"/>
      <c r="R110" s="141"/>
      <c r="S110" s="141"/>
      <c r="T110" s="141"/>
      <c r="U110" s="141"/>
      <c r="V110" s="141"/>
      <c r="W110" s="141"/>
      <c r="X110" s="141"/>
      <c r="Y110" s="141"/>
    </row>
    <row r="111" ht="15.0" customHeight="1">
      <c r="A111" s="105"/>
      <c r="C111" s="323"/>
      <c r="D111" s="323"/>
      <c r="E111" s="452" t="s">
        <v>2513</v>
      </c>
      <c r="F111" s="453">
        <f>SUM(F107:F110)</f>
        <v>169363.375</v>
      </c>
      <c r="G111" s="454">
        <f>F111/J3</f>
        <v>115</v>
      </c>
      <c r="H111" s="328"/>
      <c r="I111" s="107"/>
      <c r="J111" s="141"/>
      <c r="K111" s="141"/>
      <c r="L111" s="83"/>
      <c r="M111" s="84"/>
      <c r="N111" s="141"/>
      <c r="O111" s="141"/>
      <c r="P111" s="141"/>
      <c r="Q111" s="141"/>
      <c r="R111" s="141"/>
      <c r="S111" s="141"/>
      <c r="T111" s="141"/>
      <c r="U111" s="141"/>
      <c r="V111" s="141"/>
      <c r="W111" s="141"/>
      <c r="X111" s="141"/>
      <c r="Y111" s="141"/>
    </row>
    <row r="112" ht="15.0" customHeight="1">
      <c r="A112" s="105"/>
      <c r="C112" s="323"/>
      <c r="D112" s="323" t="s">
        <v>1297</v>
      </c>
      <c r="E112" s="337"/>
      <c r="F112" s="325">
        <v>2083790.0</v>
      </c>
      <c r="G112" s="327" t="s">
        <v>865</v>
      </c>
      <c r="H112" s="457" t="s">
        <v>31</v>
      </c>
      <c r="I112" s="107"/>
      <c r="J112" s="141"/>
      <c r="K112" s="141"/>
      <c r="L112" s="83"/>
      <c r="M112" s="84"/>
      <c r="N112" s="141"/>
      <c r="O112" s="141"/>
      <c r="P112" s="141"/>
      <c r="Q112" s="141"/>
      <c r="R112" s="141"/>
      <c r="S112" s="141"/>
      <c r="T112" s="141"/>
      <c r="U112" s="141"/>
      <c r="V112" s="141"/>
      <c r="W112" s="141"/>
      <c r="X112" s="141"/>
      <c r="Y112" s="141"/>
    </row>
    <row r="113" ht="15.0" customHeight="1">
      <c r="A113" s="105"/>
      <c r="C113" s="323"/>
      <c r="D113" s="323" t="s">
        <v>1299</v>
      </c>
      <c r="E113" s="337"/>
      <c r="F113" s="325">
        <v>208610.0</v>
      </c>
      <c r="G113" s="327" t="s">
        <v>2354</v>
      </c>
      <c r="H113" s="457" t="s">
        <v>31</v>
      </c>
      <c r="I113" s="107"/>
      <c r="J113" s="141"/>
      <c r="K113" s="141"/>
      <c r="L113" s="83"/>
      <c r="M113" s="84"/>
      <c r="N113" s="141"/>
      <c r="O113" s="141"/>
      <c r="P113" s="141"/>
      <c r="Q113" s="141"/>
      <c r="R113" s="141"/>
      <c r="S113" s="141"/>
      <c r="T113" s="141"/>
      <c r="U113" s="141"/>
      <c r="V113" s="141"/>
      <c r="W113" s="141"/>
      <c r="X113" s="141"/>
      <c r="Y113" s="141"/>
    </row>
    <row r="114" ht="15.0" customHeight="1">
      <c r="A114" s="105"/>
      <c r="C114" s="323"/>
      <c r="D114" s="323" t="s">
        <v>2483</v>
      </c>
      <c r="E114" s="337"/>
      <c r="F114" s="325">
        <v>3550000.0</v>
      </c>
      <c r="G114" s="327" t="s">
        <v>2484</v>
      </c>
      <c r="H114" s="328" t="s">
        <v>39</v>
      </c>
      <c r="I114" s="107"/>
      <c r="J114" s="141"/>
      <c r="K114" s="141"/>
      <c r="L114" s="83"/>
      <c r="M114" s="84"/>
      <c r="N114" s="141"/>
      <c r="O114" s="141"/>
      <c r="P114" s="141"/>
      <c r="Q114" s="141"/>
      <c r="R114" s="141"/>
      <c r="S114" s="141"/>
      <c r="T114" s="141"/>
      <c r="U114" s="141"/>
      <c r="V114" s="141"/>
      <c r="W114" s="141"/>
      <c r="X114" s="141"/>
      <c r="Y114" s="141"/>
    </row>
    <row r="115" ht="15.0" customHeight="1">
      <c r="A115" s="105"/>
      <c r="C115" s="323"/>
      <c r="D115" s="323" t="s">
        <v>1825</v>
      </c>
      <c r="E115" s="455"/>
      <c r="F115" s="325">
        <f>25239698+11288857+16974749+5381766+5489468</f>
        <v>64374538</v>
      </c>
      <c r="G115" s="327" t="s">
        <v>1825</v>
      </c>
      <c r="H115" s="328" t="s">
        <v>41</v>
      </c>
      <c r="I115" s="107"/>
      <c r="J115" s="141"/>
      <c r="K115" s="141"/>
      <c r="L115" s="83"/>
      <c r="M115" s="84"/>
      <c r="N115" s="141"/>
      <c r="O115" s="141"/>
      <c r="P115" s="141"/>
      <c r="Q115" s="141"/>
      <c r="R115" s="141"/>
      <c r="S115" s="141"/>
      <c r="T115" s="141"/>
      <c r="U115" s="141"/>
      <c r="V115" s="141"/>
      <c r="W115" s="141"/>
      <c r="X115" s="141"/>
      <c r="Y115" s="141"/>
    </row>
    <row r="116" ht="15.0" customHeight="1">
      <c r="A116" s="105"/>
      <c r="C116" s="323"/>
      <c r="D116" s="323" t="s">
        <v>2557</v>
      </c>
      <c r="E116" s="456"/>
      <c r="F116" s="326">
        <f>797450+1076558+1594875+956925+645930+223280</f>
        <v>5295018</v>
      </c>
      <c r="G116" s="327" t="s">
        <v>2557</v>
      </c>
      <c r="H116" s="286" t="s">
        <v>41</v>
      </c>
      <c r="I116" s="107"/>
      <c r="J116" s="141"/>
      <c r="K116" s="141"/>
      <c r="L116" s="83"/>
      <c r="M116" s="84"/>
      <c r="N116" s="141"/>
      <c r="O116" s="141"/>
      <c r="P116" s="141"/>
      <c r="Q116" s="141"/>
      <c r="R116" s="141"/>
      <c r="S116" s="141"/>
      <c r="T116" s="141"/>
      <c r="U116" s="141"/>
      <c r="V116" s="141"/>
      <c r="W116" s="141"/>
      <c r="X116" s="141"/>
      <c r="Y116" s="141"/>
    </row>
    <row r="117" ht="15.0" customHeight="1">
      <c r="A117" s="105"/>
      <c r="C117" s="323"/>
      <c r="D117" s="379" t="s">
        <v>789</v>
      </c>
      <c r="E117" s="456"/>
      <c r="F117" s="326">
        <v>6600000.0</v>
      </c>
      <c r="G117" s="327" t="s">
        <v>1510</v>
      </c>
      <c r="H117" s="457" t="s">
        <v>33</v>
      </c>
      <c r="I117" s="107"/>
      <c r="J117" s="141"/>
      <c r="K117" s="141"/>
      <c r="L117" s="83"/>
      <c r="M117" s="84"/>
      <c r="N117" s="141"/>
      <c r="O117" s="141"/>
      <c r="P117" s="141"/>
      <c r="Q117" s="141"/>
      <c r="R117" s="141"/>
      <c r="S117" s="141"/>
      <c r="T117" s="141"/>
      <c r="U117" s="141"/>
      <c r="V117" s="141"/>
      <c r="W117" s="141"/>
      <c r="X117" s="141"/>
      <c r="Y117" s="141"/>
    </row>
    <row r="118" ht="15.0" customHeight="1">
      <c r="A118" s="105"/>
      <c r="C118" s="323"/>
      <c r="D118" s="379" t="s">
        <v>2398</v>
      </c>
      <c r="E118" s="458"/>
      <c r="F118" s="424">
        <v>248300.0</v>
      </c>
      <c r="G118" s="354" t="s">
        <v>2398</v>
      </c>
      <c r="H118" s="457" t="s">
        <v>31</v>
      </c>
      <c r="I118" s="107"/>
      <c r="J118" s="141"/>
      <c r="K118" s="141"/>
      <c r="L118" s="83"/>
      <c r="M118" s="84"/>
      <c r="N118" s="141"/>
      <c r="O118" s="141"/>
      <c r="P118" s="141"/>
      <c r="Q118" s="141"/>
      <c r="R118" s="141"/>
      <c r="S118" s="141"/>
      <c r="T118" s="141"/>
      <c r="U118" s="141"/>
      <c r="V118" s="141"/>
      <c r="W118" s="141"/>
      <c r="X118" s="141"/>
      <c r="Y118" s="141"/>
    </row>
    <row r="119" ht="15.0" customHeight="1">
      <c r="A119" s="105"/>
      <c r="C119" s="323"/>
      <c r="D119" s="379" t="s">
        <v>2399</v>
      </c>
      <c r="E119" s="458"/>
      <c r="F119" s="424">
        <v>2997480.0</v>
      </c>
      <c r="G119" s="354" t="s">
        <v>2399</v>
      </c>
      <c r="H119" s="457" t="s">
        <v>31</v>
      </c>
      <c r="I119" s="107"/>
      <c r="J119" s="141"/>
      <c r="K119" s="141"/>
      <c r="L119" s="83"/>
      <c r="M119" s="84"/>
      <c r="N119" s="141"/>
      <c r="O119" s="141"/>
      <c r="P119" s="141"/>
      <c r="Q119" s="141"/>
      <c r="R119" s="141"/>
      <c r="S119" s="141"/>
      <c r="T119" s="141"/>
      <c r="U119" s="141"/>
      <c r="V119" s="141"/>
      <c r="W119" s="141"/>
      <c r="X119" s="141"/>
      <c r="Y119" s="141"/>
    </row>
    <row r="120" ht="15.0" customHeight="1">
      <c r="A120" s="105"/>
      <c r="C120" s="323"/>
      <c r="D120" s="379" t="s">
        <v>2400</v>
      </c>
      <c r="E120" s="458"/>
      <c r="F120" s="424">
        <v>706960.0</v>
      </c>
      <c r="G120" s="354" t="s">
        <v>2400</v>
      </c>
      <c r="H120" s="457" t="s">
        <v>31</v>
      </c>
      <c r="I120" s="107"/>
      <c r="J120" s="141"/>
      <c r="K120" s="141"/>
      <c r="L120" s="83"/>
      <c r="M120" s="84"/>
      <c r="N120" s="141"/>
      <c r="O120" s="141"/>
      <c r="P120" s="141"/>
      <c r="Q120" s="141"/>
      <c r="R120" s="141"/>
      <c r="S120" s="141"/>
      <c r="T120" s="141"/>
      <c r="U120" s="141"/>
      <c r="V120" s="141"/>
      <c r="W120" s="141"/>
      <c r="X120" s="141"/>
      <c r="Y120" s="141"/>
    </row>
    <row r="121" ht="15.0" customHeight="1">
      <c r="A121" s="105"/>
      <c r="C121" s="323"/>
      <c r="D121" s="379" t="s">
        <v>2401</v>
      </c>
      <c r="E121" s="455"/>
      <c r="F121" s="325">
        <v>2754740.0</v>
      </c>
      <c r="G121" s="354" t="s">
        <v>2401</v>
      </c>
      <c r="H121" s="457" t="s">
        <v>31</v>
      </c>
      <c r="I121" s="107"/>
      <c r="J121" s="141"/>
      <c r="K121" s="141"/>
      <c r="L121" s="83"/>
      <c r="M121" s="84"/>
      <c r="N121" s="141"/>
      <c r="O121" s="141"/>
      <c r="P121" s="141"/>
      <c r="Q121" s="141"/>
      <c r="R121" s="141"/>
      <c r="S121" s="141"/>
      <c r="T121" s="141"/>
      <c r="U121" s="141"/>
      <c r="V121" s="141"/>
      <c r="W121" s="141"/>
      <c r="X121" s="141"/>
      <c r="Y121" s="141"/>
    </row>
    <row r="122" ht="15.0" customHeight="1">
      <c r="A122" s="105"/>
      <c r="C122" s="323"/>
      <c r="D122" s="379" t="s">
        <v>84</v>
      </c>
      <c r="E122" s="425"/>
      <c r="F122" s="325">
        <v>1400000.0</v>
      </c>
      <c r="G122" s="354" t="s">
        <v>1660</v>
      </c>
      <c r="H122" s="457" t="s">
        <v>1642</v>
      </c>
      <c r="I122" s="107"/>
      <c r="J122" s="141"/>
      <c r="K122" s="141"/>
      <c r="L122" s="83"/>
      <c r="M122" s="84"/>
      <c r="N122" s="141"/>
      <c r="O122" s="141"/>
      <c r="P122" s="141"/>
      <c r="Q122" s="141"/>
      <c r="R122" s="141"/>
      <c r="S122" s="141"/>
      <c r="T122" s="141"/>
      <c r="U122" s="141"/>
      <c r="V122" s="141"/>
      <c r="W122" s="141"/>
      <c r="X122" s="141"/>
      <c r="Y122" s="141"/>
    </row>
    <row r="123" ht="15.0" customHeight="1">
      <c r="A123" s="105"/>
      <c r="C123" s="323"/>
      <c r="D123" s="323" t="s">
        <v>1202</v>
      </c>
      <c r="E123" s="325"/>
      <c r="F123" s="325">
        <v>110000.0</v>
      </c>
      <c r="G123" s="327" t="s">
        <v>1202</v>
      </c>
      <c r="H123" s="328" t="s">
        <v>33</v>
      </c>
      <c r="I123" s="107"/>
      <c r="J123" s="141"/>
      <c r="K123" s="141"/>
      <c r="L123" s="83"/>
      <c r="M123" s="84"/>
      <c r="N123" s="141"/>
      <c r="O123" s="141"/>
      <c r="P123" s="141"/>
      <c r="Q123" s="141"/>
      <c r="R123" s="141"/>
      <c r="S123" s="141"/>
      <c r="T123" s="141"/>
      <c r="U123" s="141"/>
      <c r="V123" s="141"/>
      <c r="W123" s="141"/>
      <c r="X123" s="141"/>
      <c r="Y123" s="141"/>
    </row>
    <row r="124" ht="15.0" customHeight="1">
      <c r="A124" s="105"/>
      <c r="C124" s="323"/>
      <c r="D124" s="379" t="s">
        <v>721</v>
      </c>
      <c r="E124" s="425"/>
      <c r="F124" s="425"/>
      <c r="G124" s="354" t="s">
        <v>721</v>
      </c>
      <c r="H124" s="450" t="s">
        <v>33</v>
      </c>
      <c r="I124" s="107"/>
      <c r="J124" s="141"/>
      <c r="K124" s="141"/>
      <c r="L124" s="83"/>
      <c r="M124" s="84"/>
      <c r="N124" s="141"/>
      <c r="O124" s="141"/>
      <c r="P124" s="141"/>
      <c r="Q124" s="141"/>
      <c r="R124" s="141"/>
      <c r="S124" s="141"/>
      <c r="T124" s="141"/>
      <c r="U124" s="141"/>
      <c r="V124" s="141"/>
      <c r="W124" s="141"/>
      <c r="X124" s="141"/>
      <c r="Y124" s="141"/>
    </row>
    <row r="125" ht="15.0" customHeight="1">
      <c r="A125" s="105"/>
      <c r="C125" s="323"/>
      <c r="D125" s="379" t="s">
        <v>1633</v>
      </c>
      <c r="E125" s="425"/>
      <c r="F125" s="325">
        <v>953860.0</v>
      </c>
      <c r="G125" s="354" t="s">
        <v>1633</v>
      </c>
      <c r="H125" s="450" t="s">
        <v>33</v>
      </c>
      <c r="I125" s="107"/>
      <c r="J125" s="141"/>
      <c r="K125" s="141"/>
      <c r="L125" s="83"/>
      <c r="M125" s="84"/>
      <c r="N125" s="141"/>
      <c r="O125" s="141"/>
      <c r="P125" s="141"/>
      <c r="Q125" s="141"/>
      <c r="R125" s="141"/>
      <c r="S125" s="141"/>
      <c r="T125" s="141"/>
      <c r="U125" s="141"/>
      <c r="V125" s="141"/>
      <c r="W125" s="141"/>
      <c r="X125" s="141"/>
      <c r="Y125" s="141"/>
    </row>
    <row r="126" ht="15.0" customHeight="1">
      <c r="A126" s="105"/>
      <c r="C126" s="323"/>
      <c r="D126" s="379" t="s">
        <v>1669</v>
      </c>
      <c r="E126" s="425"/>
      <c r="F126" s="325">
        <v>541780.0</v>
      </c>
      <c r="G126" s="354" t="s">
        <v>1669</v>
      </c>
      <c r="H126" s="450" t="s">
        <v>33</v>
      </c>
      <c r="I126" s="107"/>
      <c r="J126" s="141"/>
      <c r="K126" s="141"/>
      <c r="L126" s="83"/>
      <c r="M126" s="84"/>
      <c r="N126" s="141"/>
      <c r="O126" s="141"/>
      <c r="P126" s="141"/>
      <c r="Q126" s="141"/>
      <c r="R126" s="141"/>
      <c r="S126" s="141"/>
      <c r="T126" s="141"/>
      <c r="U126" s="141"/>
      <c r="V126" s="141"/>
      <c r="W126" s="141"/>
      <c r="X126" s="141"/>
      <c r="Y126" s="141"/>
    </row>
    <row r="127" ht="15.0" customHeight="1">
      <c r="A127" s="105"/>
      <c r="C127" s="323"/>
      <c r="D127" s="379" t="s">
        <v>1950</v>
      </c>
      <c r="E127" s="455"/>
      <c r="F127" s="425">
        <v>55700.0</v>
      </c>
      <c r="G127" s="354" t="s">
        <v>1951</v>
      </c>
      <c r="H127" s="450" t="s">
        <v>27</v>
      </c>
      <c r="I127" s="107"/>
      <c r="J127" s="141"/>
      <c r="K127" s="141"/>
      <c r="L127" s="83"/>
      <c r="M127" s="84"/>
      <c r="N127" s="141"/>
      <c r="O127" s="141"/>
      <c r="P127" s="141"/>
      <c r="Q127" s="141"/>
      <c r="R127" s="141"/>
      <c r="S127" s="141"/>
      <c r="T127" s="141"/>
      <c r="U127" s="141"/>
      <c r="V127" s="141"/>
      <c r="W127" s="141"/>
      <c r="X127" s="141"/>
      <c r="Y127" s="141"/>
    </row>
    <row r="128" ht="15.0" customHeight="1">
      <c r="A128" s="105"/>
      <c r="C128" s="323"/>
      <c r="D128" s="379" t="s">
        <v>497</v>
      </c>
      <c r="E128" s="455"/>
      <c r="F128" s="425">
        <v>330000.0</v>
      </c>
      <c r="G128" s="354" t="s">
        <v>1952</v>
      </c>
      <c r="H128" s="450" t="s">
        <v>33</v>
      </c>
      <c r="I128" s="107"/>
      <c r="J128" s="141"/>
      <c r="K128" s="141"/>
      <c r="L128" s="83"/>
      <c r="M128" s="84"/>
      <c r="N128" s="141"/>
      <c r="O128" s="141"/>
      <c r="P128" s="141"/>
      <c r="Q128" s="141"/>
      <c r="R128" s="141"/>
      <c r="S128" s="141"/>
      <c r="T128" s="141"/>
      <c r="U128" s="141"/>
      <c r="V128" s="141"/>
      <c r="W128" s="141"/>
      <c r="X128" s="141"/>
      <c r="Y128" s="141"/>
    </row>
    <row r="129" ht="15.0" customHeight="1">
      <c r="A129" s="105"/>
      <c r="C129" s="323"/>
      <c r="D129" s="379" t="s">
        <v>1953</v>
      </c>
      <c r="E129" s="455"/>
      <c r="F129" s="459">
        <v>37430.0</v>
      </c>
      <c r="G129" s="426" t="s">
        <v>1038</v>
      </c>
      <c r="H129" s="450" t="s">
        <v>4</v>
      </c>
      <c r="I129" s="107"/>
      <c r="J129" s="141"/>
      <c r="K129" s="141"/>
      <c r="L129" s="83"/>
      <c r="M129" s="84"/>
      <c r="N129" s="141"/>
      <c r="O129" s="141"/>
      <c r="P129" s="141"/>
      <c r="Q129" s="141"/>
      <c r="R129" s="141"/>
      <c r="S129" s="141"/>
      <c r="T129" s="141"/>
      <c r="U129" s="141"/>
      <c r="V129" s="141"/>
      <c r="W129" s="141"/>
      <c r="X129" s="141"/>
      <c r="Y129" s="141"/>
    </row>
    <row r="130" ht="15.0" customHeight="1">
      <c r="A130" s="105"/>
      <c r="C130" s="323"/>
      <c r="D130" s="379" t="s">
        <v>1953</v>
      </c>
      <c r="E130" s="455"/>
      <c r="F130" s="425">
        <v>37430.0</v>
      </c>
      <c r="G130" s="354" t="s">
        <v>1038</v>
      </c>
      <c r="H130" s="450" t="s">
        <v>4</v>
      </c>
      <c r="I130" s="107"/>
      <c r="J130" s="141"/>
      <c r="K130" s="141"/>
      <c r="L130" s="83"/>
      <c r="M130" s="84"/>
      <c r="N130" s="141"/>
      <c r="O130" s="141"/>
      <c r="P130" s="141"/>
      <c r="Q130" s="141"/>
      <c r="R130" s="141"/>
      <c r="S130" s="141"/>
      <c r="T130" s="141"/>
      <c r="U130" s="141"/>
      <c r="V130" s="141"/>
      <c r="W130" s="141"/>
      <c r="X130" s="141"/>
      <c r="Y130" s="141"/>
    </row>
    <row r="131" ht="15.0" customHeight="1">
      <c r="A131" s="105"/>
      <c r="C131" s="323"/>
      <c r="D131" s="379" t="s">
        <v>1953</v>
      </c>
      <c r="E131" s="455"/>
      <c r="F131" s="425">
        <v>50250.0</v>
      </c>
      <c r="G131" s="354" t="s">
        <v>1040</v>
      </c>
      <c r="H131" s="457" t="s">
        <v>4</v>
      </c>
      <c r="I131" s="107"/>
      <c r="J131" s="141"/>
      <c r="K131" s="141"/>
      <c r="L131" s="83"/>
      <c r="M131" s="84"/>
      <c r="N131" s="141"/>
      <c r="O131" s="141"/>
      <c r="P131" s="141"/>
      <c r="Q131" s="141"/>
      <c r="R131" s="141"/>
      <c r="S131" s="141"/>
      <c r="T131" s="141"/>
      <c r="U131" s="141"/>
      <c r="V131" s="141"/>
      <c r="W131" s="141"/>
      <c r="X131" s="141"/>
      <c r="Y131" s="141"/>
    </row>
    <row r="132" ht="15.0" customHeight="1">
      <c r="A132" s="105"/>
      <c r="C132" s="323"/>
      <c r="D132" s="379" t="s">
        <v>1953</v>
      </c>
      <c r="E132" s="455"/>
      <c r="F132" s="425">
        <v>20660.0</v>
      </c>
      <c r="G132" s="354" t="s">
        <v>1039</v>
      </c>
      <c r="H132" s="450" t="s">
        <v>4</v>
      </c>
      <c r="I132" s="107"/>
      <c r="J132" s="141"/>
      <c r="K132" s="141"/>
      <c r="L132" s="83"/>
      <c r="M132" s="84"/>
      <c r="N132" s="141"/>
      <c r="O132" s="141"/>
      <c r="P132" s="141"/>
      <c r="Q132" s="141"/>
      <c r="R132" s="141"/>
      <c r="S132" s="141"/>
      <c r="T132" s="141"/>
      <c r="U132" s="141"/>
      <c r="V132" s="141"/>
      <c r="W132" s="141"/>
      <c r="X132" s="141"/>
      <c r="Y132" s="141"/>
    </row>
    <row r="133" ht="15.0" customHeight="1">
      <c r="A133" s="105"/>
      <c r="C133" s="323"/>
      <c r="D133" s="379" t="s">
        <v>1953</v>
      </c>
      <c r="E133" s="455"/>
      <c r="F133" s="425">
        <v>20660.0</v>
      </c>
      <c r="G133" s="354" t="s">
        <v>1039</v>
      </c>
      <c r="H133" s="450" t="s">
        <v>4</v>
      </c>
      <c r="I133" s="107"/>
      <c r="J133" s="141"/>
      <c r="K133" s="141"/>
      <c r="L133" s="83"/>
      <c r="M133" s="84"/>
      <c r="N133" s="141"/>
      <c r="O133" s="141"/>
      <c r="P133" s="141"/>
      <c r="Q133" s="141"/>
      <c r="R133" s="141"/>
      <c r="S133" s="141"/>
      <c r="T133" s="141"/>
      <c r="U133" s="141"/>
      <c r="V133" s="141"/>
      <c r="W133" s="141"/>
      <c r="X133" s="141"/>
      <c r="Y133" s="141"/>
    </row>
    <row r="134" ht="15.0" customHeight="1">
      <c r="A134" s="105"/>
      <c r="C134" s="323"/>
      <c r="D134" s="379" t="s">
        <v>1954</v>
      </c>
      <c r="E134" s="455"/>
      <c r="F134" s="425">
        <v>98000.0</v>
      </c>
      <c r="G134" s="354" t="s">
        <v>1047</v>
      </c>
      <c r="H134" s="450" t="s">
        <v>4</v>
      </c>
      <c r="I134" s="107"/>
      <c r="J134" s="141"/>
      <c r="K134" s="141"/>
      <c r="L134" s="83"/>
      <c r="M134" s="84"/>
      <c r="N134" s="141"/>
      <c r="O134" s="141"/>
      <c r="P134" s="141"/>
      <c r="Q134" s="141"/>
      <c r="R134" s="141"/>
      <c r="S134" s="141"/>
      <c r="T134" s="141"/>
      <c r="U134" s="141"/>
      <c r="V134" s="141"/>
      <c r="W134" s="141"/>
      <c r="X134" s="141"/>
      <c r="Y134" s="141"/>
    </row>
    <row r="135" ht="15.0" customHeight="1">
      <c r="A135" s="105"/>
      <c r="C135" s="323"/>
      <c r="D135" s="323" t="s">
        <v>41</v>
      </c>
      <c r="E135" s="455"/>
      <c r="F135" s="325">
        <v>1.2E7</v>
      </c>
      <c r="G135" s="354"/>
      <c r="H135" s="328" t="s">
        <v>41</v>
      </c>
      <c r="I135" s="107"/>
      <c r="J135" s="141"/>
      <c r="K135" s="141"/>
      <c r="L135" s="83"/>
      <c r="M135" s="84"/>
      <c r="N135" s="141"/>
      <c r="O135" s="141"/>
      <c r="P135" s="141"/>
      <c r="Q135" s="141"/>
      <c r="R135" s="141"/>
      <c r="S135" s="141"/>
      <c r="T135" s="141"/>
      <c r="U135" s="141"/>
      <c r="V135" s="141"/>
      <c r="W135" s="141"/>
      <c r="X135" s="141"/>
      <c r="Y135" s="141"/>
    </row>
    <row r="136" ht="15.0" customHeight="1">
      <c r="A136" s="105"/>
      <c r="C136" s="323"/>
      <c r="D136" s="379" t="s">
        <v>1991</v>
      </c>
      <c r="E136" s="425"/>
      <c r="F136" s="414">
        <v>7000000.0</v>
      </c>
      <c r="G136" s="313" t="s">
        <v>2197</v>
      </c>
      <c r="H136" s="450" t="s">
        <v>33</v>
      </c>
      <c r="I136" s="107"/>
      <c r="J136" s="141"/>
      <c r="K136" s="141"/>
      <c r="L136" s="83"/>
      <c r="M136" s="84"/>
      <c r="N136" s="141"/>
      <c r="O136" s="141"/>
      <c r="P136" s="141"/>
      <c r="Q136" s="141"/>
      <c r="R136" s="141"/>
      <c r="S136" s="141"/>
      <c r="T136" s="141"/>
      <c r="U136" s="141"/>
      <c r="V136" s="141"/>
      <c r="W136" s="141"/>
      <c r="X136" s="141"/>
      <c r="Y136" s="141"/>
    </row>
    <row r="137" ht="15.0" customHeight="1">
      <c r="A137" s="105"/>
      <c r="C137" s="323"/>
      <c r="D137" s="379"/>
      <c r="E137" s="425"/>
      <c r="F137" s="325"/>
      <c r="G137" s="327"/>
      <c r="H137" s="450"/>
      <c r="I137" s="107"/>
      <c r="J137" s="141"/>
      <c r="K137" s="141"/>
      <c r="L137" s="83"/>
      <c r="M137" s="84"/>
      <c r="N137" s="141"/>
      <c r="O137" s="141"/>
      <c r="P137" s="141"/>
      <c r="Q137" s="141"/>
      <c r="R137" s="141"/>
      <c r="S137" s="141"/>
      <c r="T137" s="141"/>
      <c r="U137" s="141"/>
      <c r="V137" s="141"/>
      <c r="W137" s="141"/>
      <c r="X137" s="141"/>
      <c r="Y137" s="141"/>
    </row>
    <row r="138" ht="15.0" customHeight="1">
      <c r="A138" s="105"/>
      <c r="C138" s="323"/>
      <c r="D138" s="323"/>
      <c r="E138" s="325" t="s">
        <v>2515</v>
      </c>
      <c r="F138" s="460">
        <f>SUM(F111:F137)</f>
        <v>111644569.4</v>
      </c>
      <c r="G138" s="461">
        <f>F138/$J$3</f>
        <v>75808.15792</v>
      </c>
      <c r="H138" s="328"/>
      <c r="I138" s="107"/>
      <c r="J138" s="141"/>
      <c r="K138" s="141"/>
      <c r="L138" s="83"/>
      <c r="M138" s="84"/>
      <c r="N138" s="141"/>
      <c r="O138" s="141"/>
      <c r="P138" s="141"/>
      <c r="Q138" s="141"/>
      <c r="R138" s="141"/>
      <c r="S138" s="141"/>
      <c r="T138" s="141"/>
      <c r="U138" s="141"/>
      <c r="V138" s="141"/>
      <c r="W138" s="141"/>
      <c r="X138" s="141"/>
      <c r="Y138" s="141"/>
    </row>
    <row r="139" ht="15.0" customHeight="1">
      <c r="A139" s="105"/>
      <c r="C139" s="323"/>
      <c r="D139" s="323"/>
      <c r="E139" s="325"/>
      <c r="F139" s="414"/>
      <c r="G139" s="327"/>
      <c r="H139" s="328"/>
      <c r="I139" s="107"/>
      <c r="J139" s="141"/>
      <c r="K139" s="141"/>
      <c r="L139" s="83"/>
      <c r="M139" s="84"/>
      <c r="N139" s="141"/>
      <c r="O139" s="141"/>
      <c r="P139" s="141"/>
      <c r="Q139" s="141"/>
      <c r="R139" s="141"/>
      <c r="S139" s="141"/>
      <c r="T139" s="141"/>
      <c r="U139" s="141"/>
      <c r="V139" s="141"/>
      <c r="W139" s="141"/>
      <c r="X139" s="141"/>
      <c r="Y139" s="141"/>
    </row>
    <row r="140" ht="15.0" customHeight="1">
      <c r="A140" s="105"/>
      <c r="C140" s="323"/>
      <c r="D140" s="417"/>
      <c r="E140" s="462" t="s">
        <v>2516</v>
      </c>
      <c r="F140" s="462">
        <f>F138+F110</f>
        <v>111644569.4</v>
      </c>
      <c r="G140" s="463">
        <f>F140/$J$3</f>
        <v>75808.15792</v>
      </c>
      <c r="H140" s="416"/>
      <c r="I140" s="107"/>
      <c r="J140" s="141"/>
      <c r="K140" s="141"/>
      <c r="L140" s="83"/>
      <c r="M140" s="84"/>
      <c r="N140" s="141"/>
      <c r="O140" s="141"/>
      <c r="P140" s="141"/>
      <c r="Q140" s="141"/>
      <c r="R140" s="141"/>
      <c r="S140" s="141"/>
      <c r="T140" s="141"/>
      <c r="U140" s="141"/>
      <c r="V140" s="141"/>
      <c r="W140" s="141"/>
      <c r="X140" s="141"/>
      <c r="Y140" s="141"/>
    </row>
    <row r="141" ht="15.0" customHeight="1">
      <c r="A141" s="105"/>
      <c r="C141" s="323"/>
      <c r="D141" s="464"/>
      <c r="E141" s="465" t="s">
        <v>2517</v>
      </c>
      <c r="F141" s="466">
        <f>F105-F140</f>
        <v>-93873364.5</v>
      </c>
      <c r="G141" s="467"/>
      <c r="H141" s="468"/>
      <c r="I141" s="107"/>
      <c r="J141" s="141"/>
      <c r="K141" s="141"/>
      <c r="L141" s="83"/>
      <c r="M141" s="84"/>
      <c r="N141" s="141"/>
      <c r="O141" s="141"/>
      <c r="P141" s="141"/>
      <c r="Q141" s="141"/>
      <c r="R141" s="141"/>
      <c r="S141" s="141"/>
      <c r="T141" s="141"/>
      <c r="U141" s="141"/>
      <c r="V141" s="141"/>
      <c r="W141" s="141"/>
      <c r="X141" s="141"/>
      <c r="Y141" s="141"/>
    </row>
    <row r="142" ht="15.0" customHeight="1">
      <c r="A142" s="105"/>
      <c r="C142" s="323"/>
      <c r="D142" s="323"/>
      <c r="E142" s="337"/>
      <c r="F142" s="325"/>
      <c r="G142" s="327"/>
      <c r="H142" s="328"/>
      <c r="I142" s="107"/>
      <c r="J142" s="141"/>
      <c r="K142" s="141"/>
      <c r="L142" s="83"/>
      <c r="M142" s="84"/>
      <c r="N142" s="141"/>
      <c r="O142" s="141"/>
      <c r="P142" s="141"/>
      <c r="Q142" s="141"/>
      <c r="R142" s="141"/>
      <c r="S142" s="141"/>
      <c r="T142" s="141"/>
      <c r="U142" s="141"/>
      <c r="V142" s="141"/>
      <c r="W142" s="141"/>
      <c r="X142" s="141"/>
      <c r="Y142" s="141"/>
    </row>
    <row r="143" ht="15.0" customHeight="1">
      <c r="A143" s="105"/>
      <c r="C143" s="323"/>
      <c r="D143" s="399"/>
      <c r="E143" s="469"/>
      <c r="F143" s="470"/>
      <c r="G143" s="402"/>
      <c r="H143" s="398"/>
      <c r="I143" s="107"/>
      <c r="J143" s="141"/>
      <c r="K143" s="141"/>
      <c r="L143" s="83"/>
      <c r="M143" s="84"/>
      <c r="N143" s="141"/>
      <c r="O143" s="141"/>
      <c r="P143" s="141"/>
      <c r="Q143" s="141"/>
      <c r="R143" s="141"/>
      <c r="S143" s="141"/>
      <c r="T143" s="141"/>
      <c r="U143" s="141"/>
      <c r="V143" s="141"/>
      <c r="W143" s="141"/>
      <c r="X143" s="141"/>
      <c r="Y143" s="141"/>
    </row>
    <row r="144" ht="15.0" customHeight="1">
      <c r="A144" s="105"/>
      <c r="C144" s="323"/>
      <c r="D144" s="399" t="s">
        <v>2518</v>
      </c>
      <c r="E144" s="469"/>
      <c r="F144" s="470">
        <v>1.9161411E7</v>
      </c>
      <c r="G144" s="402" t="s">
        <v>2520</v>
      </c>
      <c r="H144" s="398" t="s">
        <v>41</v>
      </c>
      <c r="I144" s="107"/>
      <c r="J144" s="141"/>
      <c r="K144" s="141"/>
      <c r="L144" s="83"/>
      <c r="M144" s="84"/>
      <c r="N144" s="141"/>
      <c r="O144" s="141"/>
      <c r="P144" s="141"/>
      <c r="Q144" s="141"/>
      <c r="R144" s="141"/>
      <c r="S144" s="141"/>
      <c r="T144" s="141"/>
      <c r="U144" s="141"/>
      <c r="V144" s="141"/>
      <c r="W144" s="141"/>
      <c r="X144" s="141"/>
      <c r="Y144" s="141"/>
    </row>
    <row r="145" ht="15.0" customHeight="1">
      <c r="A145" s="105"/>
      <c r="C145" s="323"/>
      <c r="D145" s="399"/>
      <c r="E145" s="469"/>
      <c r="F145" s="470"/>
      <c r="G145" s="402"/>
      <c r="H145" s="398"/>
      <c r="I145" s="107"/>
      <c r="J145" s="141"/>
      <c r="K145" s="141"/>
      <c r="L145" s="83"/>
      <c r="M145" s="84"/>
      <c r="N145" s="141"/>
      <c r="O145" s="141"/>
      <c r="P145" s="141"/>
      <c r="Q145" s="141"/>
      <c r="R145" s="141"/>
      <c r="S145" s="141"/>
      <c r="T145" s="141"/>
      <c r="U145" s="141"/>
      <c r="V145" s="141"/>
      <c r="W145" s="141"/>
      <c r="X145" s="141"/>
      <c r="Y145" s="141"/>
    </row>
    <row r="146">
      <c r="C146" s="323"/>
      <c r="D146" s="399"/>
      <c r="E146" s="469"/>
      <c r="F146" s="470"/>
      <c r="G146" s="402"/>
      <c r="H146" s="398"/>
    </row>
    <row r="147" ht="15.0" customHeight="1">
      <c r="A147" s="105"/>
      <c r="C147" s="323"/>
      <c r="I147" s="107"/>
      <c r="J147" s="141"/>
      <c r="K147" s="141"/>
      <c r="L147" s="83"/>
      <c r="M147" s="84"/>
      <c r="N147" s="141"/>
      <c r="O147" s="141"/>
      <c r="P147" s="141"/>
      <c r="Q147" s="141"/>
      <c r="R147" s="141"/>
      <c r="S147" s="141"/>
      <c r="T147" s="141"/>
      <c r="U147" s="141"/>
      <c r="V147" s="141"/>
      <c r="W147" s="141"/>
      <c r="X147" s="141"/>
      <c r="Y147" s="141"/>
    </row>
    <row r="148" ht="15.0" customHeight="1">
      <c r="A148" s="105"/>
      <c r="C148" s="323"/>
      <c r="D148" s="464"/>
      <c r="E148" s="465" t="s">
        <v>2517</v>
      </c>
      <c r="F148" s="466">
        <f>F141-F143-F144-F145-F146</f>
        <v>-113034775.5</v>
      </c>
      <c r="G148" s="467"/>
      <c r="H148" s="468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C149" s="323"/>
      <c r="D149" s="323"/>
      <c r="E149" s="326"/>
      <c r="F149" s="424"/>
      <c r="G149" s="327"/>
      <c r="H149" s="286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C150" s="323"/>
      <c r="D150" s="323"/>
      <c r="E150" s="326"/>
      <c r="F150" s="424"/>
      <c r="G150" s="327"/>
      <c r="H150" s="286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C151" s="323"/>
      <c r="D151" s="323"/>
      <c r="E151" s="326"/>
      <c r="F151" s="424"/>
      <c r="G151" s="327"/>
      <c r="H151" s="286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  <row r="152" ht="15.0" customHeight="1">
      <c r="A152" s="105"/>
      <c r="C152" s="323"/>
      <c r="D152" s="323"/>
      <c r="E152" s="337"/>
      <c r="F152" s="325"/>
      <c r="G152" s="327"/>
      <c r="H152" s="286"/>
      <c r="I152" s="107"/>
      <c r="J152" s="141"/>
      <c r="K152" s="138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</row>
    <row r="153">
      <c r="C153" s="323"/>
      <c r="D153" s="323"/>
      <c r="E153" s="337"/>
      <c r="F153" s="325"/>
      <c r="G153" s="327"/>
      <c r="H153" s="286"/>
      <c r="I153" s="107"/>
      <c r="J153" s="141"/>
      <c r="K153" s="138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</row>
    <row r="154" ht="15.0" customHeight="1">
      <c r="A154" s="341"/>
      <c r="C154" s="323"/>
      <c r="D154" s="323"/>
      <c r="E154" s="337"/>
      <c r="F154" s="325"/>
      <c r="G154" s="327"/>
      <c r="H154" s="328"/>
      <c r="I154" s="107"/>
      <c r="J154" s="141"/>
      <c r="K154" s="138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</row>
    <row r="155" ht="15.0" customHeight="1">
      <c r="A155" s="105"/>
      <c r="C155" s="323"/>
      <c r="D155" s="323"/>
      <c r="E155" s="337"/>
      <c r="F155" s="325"/>
      <c r="G155" s="327"/>
      <c r="H155" s="328"/>
      <c r="I155" s="107"/>
      <c r="J155" s="141"/>
      <c r="K155" s="138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</row>
    <row r="156" ht="15.0" customHeight="1">
      <c r="A156" s="105"/>
      <c r="D156" s="323"/>
      <c r="E156" s="337"/>
      <c r="F156" s="325"/>
      <c r="G156" s="327"/>
      <c r="H156" s="328"/>
      <c r="I156" s="107"/>
      <c r="J156" s="141"/>
      <c r="K156" s="138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</row>
    <row r="157" ht="15.0" customHeight="1">
      <c r="A157" s="105"/>
      <c r="D157" s="323"/>
      <c r="E157" s="337"/>
      <c r="F157" s="325"/>
      <c r="G157" s="327"/>
      <c r="H157" s="328"/>
      <c r="I157" s="107"/>
      <c r="J157" s="141"/>
      <c r="K157" s="138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</row>
    <row r="158" ht="15.0" customHeight="1">
      <c r="A158" s="105"/>
      <c r="D158" s="323"/>
      <c r="E158" s="337"/>
      <c r="F158" s="325"/>
      <c r="G158" s="327"/>
      <c r="H158" s="328"/>
      <c r="I158" s="107"/>
      <c r="J158" s="141"/>
      <c r="K158" s="138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</row>
    <row r="159" ht="15.0" customHeight="1">
      <c r="A159" s="105"/>
      <c r="D159" s="323"/>
      <c r="E159" s="337"/>
      <c r="F159" s="325"/>
      <c r="G159" s="327"/>
      <c r="H159" s="328"/>
      <c r="I159" s="107"/>
      <c r="J159" s="141"/>
      <c r="K159" s="138"/>
      <c r="L159" s="99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</row>
    <row r="160" ht="15.0" customHeight="1">
      <c r="A160" s="105"/>
      <c r="D160" s="323"/>
      <c r="E160" s="337"/>
      <c r="F160" s="414"/>
      <c r="G160" s="313"/>
      <c r="H160" s="328"/>
      <c r="I160" s="107"/>
      <c r="J160" s="141"/>
      <c r="K160" s="138"/>
      <c r="L160" s="99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</row>
    <row r="161" ht="15.0" customHeight="1">
      <c r="A161" s="105"/>
      <c r="D161" s="444"/>
      <c r="E161" s="337"/>
      <c r="F161" s="337"/>
      <c r="G161" s="415"/>
      <c r="H161" s="328"/>
      <c r="I161" s="107"/>
      <c r="J161" s="141"/>
      <c r="K161" s="138"/>
      <c r="L161" s="99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</row>
    <row r="162" ht="15.0" customHeight="1">
      <c r="A162" s="105"/>
      <c r="D162" s="323"/>
      <c r="E162" s="337"/>
      <c r="F162" s="404"/>
      <c r="G162" s="327"/>
      <c r="H162" s="328"/>
      <c r="I162" s="107"/>
      <c r="J162" s="141"/>
      <c r="K162" s="138"/>
      <c r="L162" s="99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</row>
    <row r="163" ht="15.0" customHeight="1">
      <c r="A163" s="105"/>
      <c r="H163" s="328"/>
      <c r="I163" s="107"/>
      <c r="J163" s="141"/>
      <c r="K163" s="138"/>
      <c r="L163" s="99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</row>
    <row r="164" ht="15.0" customHeight="1">
      <c r="A164" s="105"/>
      <c r="H164" s="328"/>
      <c r="I164" s="107"/>
      <c r="J164" s="141"/>
      <c r="K164" s="138"/>
      <c r="L164" s="99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</row>
    <row r="165" ht="15.0" customHeight="1">
      <c r="A165" s="105"/>
      <c r="H165" s="328"/>
      <c r="I165" s="107"/>
      <c r="J165" s="141"/>
      <c r="K165" s="138"/>
      <c r="L165" s="99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</row>
    <row r="166" ht="15.0" customHeight="1">
      <c r="A166" s="105"/>
      <c r="H166" s="328"/>
      <c r="I166" s="107"/>
      <c r="J166" s="141"/>
      <c r="K166" s="138"/>
      <c r="L166" s="99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</row>
    <row r="167" ht="15.0" customHeight="1">
      <c r="A167" s="105"/>
      <c r="H167" s="328"/>
      <c r="I167" s="107"/>
      <c r="J167" s="141"/>
      <c r="K167" s="138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</row>
    <row r="168" ht="15.0" customHeight="1">
      <c r="A168" s="105"/>
      <c r="H168" s="328"/>
      <c r="I168" s="107"/>
      <c r="J168" s="141"/>
      <c r="K168" s="138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</row>
    <row r="169" ht="15.0" customHeight="1">
      <c r="A169" s="105"/>
      <c r="H169" s="328"/>
      <c r="I169" s="107"/>
      <c r="J169" s="141"/>
      <c r="K169" s="138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</row>
    <row r="170" ht="15.0" customHeight="1">
      <c r="A170" s="105"/>
      <c r="H170" s="328"/>
      <c r="I170" s="107"/>
      <c r="J170" s="141"/>
      <c r="K170" s="138"/>
      <c r="L170" s="99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</row>
    <row r="171" ht="15.0" customHeight="1">
      <c r="A171" s="105"/>
      <c r="H171" s="328"/>
      <c r="I171" s="107"/>
      <c r="J171" s="141"/>
      <c r="K171" s="138"/>
      <c r="L171" s="99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</row>
    <row r="172" ht="15.0" customHeight="1">
      <c r="A172" s="105"/>
      <c r="H172" s="328"/>
      <c r="I172" s="107"/>
      <c r="J172" s="141"/>
      <c r="K172" s="138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</row>
    <row r="173" ht="15.0" customHeight="1">
      <c r="A173" s="105"/>
      <c r="H173" s="328"/>
      <c r="I173" s="107"/>
      <c r="J173" s="141"/>
      <c r="K173" s="138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</row>
    <row r="174" ht="15.0" customHeight="1">
      <c r="A174" s="105"/>
      <c r="H174" s="328"/>
      <c r="I174" s="107"/>
      <c r="J174" s="141"/>
      <c r="K174" s="138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</row>
    <row r="175" ht="15.0" customHeight="1">
      <c r="A175" s="105"/>
      <c r="H175" s="328"/>
      <c r="I175" s="107"/>
      <c r="J175" s="141"/>
      <c r="K175" s="138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</row>
    <row r="176" ht="15.0" customHeight="1">
      <c r="A176" s="105"/>
      <c r="H176" s="328"/>
      <c r="I176" s="107"/>
      <c r="J176" s="141"/>
      <c r="K176" s="138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</row>
    <row r="177" ht="15.0" customHeight="1">
      <c r="A177" s="105"/>
      <c r="H177" s="328"/>
      <c r="I177" s="107"/>
      <c r="J177" s="141"/>
      <c r="K177" s="138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</row>
    <row r="178" ht="15.0" customHeight="1">
      <c r="A178" s="105"/>
      <c r="H178" s="328"/>
      <c r="I178" s="107"/>
      <c r="J178" s="141"/>
      <c r="K178" s="138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</row>
    <row r="179" ht="15.0" customHeight="1">
      <c r="A179" s="105"/>
      <c r="H179" s="328"/>
      <c r="I179" s="107"/>
      <c r="J179" s="141"/>
      <c r="K179" s="138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</row>
    <row r="180" ht="15.0" customHeight="1">
      <c r="A180" s="105"/>
      <c r="H180" s="328"/>
      <c r="I180" s="107"/>
      <c r="J180" s="141"/>
      <c r="K180" s="138"/>
      <c r="L180" s="99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</row>
    <row r="181" ht="15.0" customHeight="1">
      <c r="A181" s="105"/>
      <c r="H181" s="328"/>
      <c r="I181" s="107"/>
      <c r="J181" s="141"/>
      <c r="K181" s="138"/>
      <c r="L181" s="99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</row>
    <row r="182" ht="15.0" customHeight="1">
      <c r="A182" s="105"/>
      <c r="H182" s="328"/>
      <c r="I182" s="107"/>
      <c r="J182" s="141"/>
      <c r="K182" s="138"/>
      <c r="L182" s="99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</row>
    <row r="183" ht="15.0" customHeight="1">
      <c r="A183" s="105"/>
      <c r="H183" s="328"/>
      <c r="I183" s="107"/>
      <c r="J183" s="141"/>
      <c r="K183" s="138"/>
      <c r="L183" s="99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</row>
    <row r="184" ht="15.0" customHeight="1">
      <c r="A184" s="105"/>
      <c r="H184" s="328"/>
      <c r="I184" s="107"/>
      <c r="J184" s="141"/>
      <c r="K184" s="138"/>
      <c r="L184" s="99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</row>
    <row r="185" ht="15.0" customHeight="1">
      <c r="A185" s="105"/>
      <c r="H185" s="328"/>
      <c r="I185" s="107"/>
      <c r="J185" s="141"/>
      <c r="K185" s="138"/>
      <c r="L185" s="99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</row>
    <row r="186" ht="15.0" customHeight="1">
      <c r="A186" s="105"/>
      <c r="H186" s="328"/>
      <c r="I186" s="107"/>
      <c r="J186" s="141"/>
      <c r="K186" s="138"/>
      <c r="L186" s="99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</row>
    <row r="187" ht="15.0" customHeight="1">
      <c r="A187" s="105"/>
      <c r="H187" s="328"/>
      <c r="I187" s="107"/>
      <c r="J187" s="141"/>
      <c r="K187" s="138"/>
      <c r="L187" s="99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</row>
    <row r="188" ht="15.0" customHeight="1">
      <c r="A188" s="105"/>
      <c r="H188" s="328"/>
      <c r="I188" s="107"/>
      <c r="J188" s="141"/>
      <c r="K188" s="138"/>
      <c r="L188" s="99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</row>
    <row r="189" ht="15.0" customHeight="1">
      <c r="A189" s="105"/>
      <c r="I189" s="107"/>
      <c r="J189" s="141"/>
      <c r="K189" s="138"/>
      <c r="L189" s="99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</row>
    <row r="190" ht="15.0" customHeight="1">
      <c r="A190" s="105"/>
      <c r="I190" s="107"/>
      <c r="J190" s="141"/>
      <c r="K190" s="138"/>
      <c r="L190" s="99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</row>
    <row r="191" ht="15.0" customHeight="1">
      <c r="A191" s="105"/>
      <c r="I191" s="107"/>
      <c r="J191" s="141"/>
      <c r="K191" s="138"/>
      <c r="L191" s="99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</row>
    <row r="192" ht="15.0" customHeight="1">
      <c r="A192" s="105"/>
      <c r="I192" s="107"/>
      <c r="J192" s="141"/>
      <c r="K192" s="138"/>
      <c r="L192" s="99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</row>
    <row r="193" ht="15.0" customHeight="1">
      <c r="A193" s="105"/>
      <c r="I193" s="107"/>
      <c r="J193" s="141"/>
      <c r="K193" s="138"/>
      <c r="L193" s="99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</row>
    <row r="194" ht="15.0" customHeight="1">
      <c r="A194" s="105"/>
      <c r="I194" s="107"/>
      <c r="J194" s="141"/>
      <c r="K194" s="138"/>
      <c r="L194" s="99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</row>
    <row r="195" ht="15.0" customHeight="1">
      <c r="A195" s="105"/>
      <c r="I195" s="107"/>
      <c r="J195" s="141"/>
      <c r="K195" s="138"/>
      <c r="L195" s="99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</row>
    <row r="196" ht="15.0" customHeight="1">
      <c r="A196" s="105"/>
      <c r="I196" s="107"/>
      <c r="J196" s="141"/>
      <c r="K196" s="138"/>
      <c r="L196" s="99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</row>
    <row r="197" ht="15.0" customHeight="1">
      <c r="A197" s="105"/>
      <c r="I197" s="107"/>
      <c r="J197" s="141"/>
      <c r="K197" s="138"/>
      <c r="L197" s="99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</row>
    <row r="198" ht="15.0" customHeight="1">
      <c r="A198" s="105"/>
      <c r="I198" s="107"/>
      <c r="J198" s="141"/>
      <c r="K198" s="138"/>
      <c r="L198" s="99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</row>
    <row r="199" ht="15.0" customHeight="1">
      <c r="A199" s="105"/>
      <c r="I199" s="107"/>
      <c r="J199" s="141"/>
      <c r="K199" s="138"/>
      <c r="L199" s="99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</row>
    <row r="200" ht="15.0" customHeight="1">
      <c r="A200" s="105"/>
      <c r="I200" s="107"/>
      <c r="J200" s="141"/>
      <c r="K200" s="138"/>
      <c r="L200" s="99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</row>
    <row r="201" ht="15.0" customHeight="1">
      <c r="A201" s="105"/>
      <c r="I201" s="107"/>
      <c r="J201" s="141"/>
      <c r="K201" s="138"/>
      <c r="L201" s="99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</row>
    <row r="202" ht="15.0" customHeight="1">
      <c r="A202" s="105"/>
      <c r="I202" s="107"/>
      <c r="J202" s="141"/>
      <c r="K202" s="138"/>
      <c r="L202" s="99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</row>
    <row r="203" ht="15.0" customHeight="1">
      <c r="A203" s="105"/>
      <c r="I203" s="107"/>
      <c r="J203" s="141"/>
      <c r="K203" s="138"/>
      <c r="L203" s="99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</row>
    <row r="204" ht="15.0" customHeight="1">
      <c r="A204" s="105"/>
      <c r="I204" s="107"/>
      <c r="J204" s="141"/>
      <c r="K204" s="138"/>
      <c r="L204" s="99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</row>
    <row r="205" ht="15.0" customHeight="1">
      <c r="A205" s="105"/>
      <c r="I205" s="107"/>
      <c r="J205" s="141"/>
      <c r="K205" s="138"/>
      <c r="L205" s="99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</row>
  </sheetData>
  <autoFilter ref="$B$24:$H$104">
    <sortState ref="B24:H104">
      <sortCondition ref="B24:B104"/>
    </sortState>
  </autoFilter>
  <customSheetViews>
    <customSheetView guid="{CD2BF927-9D79-47FC-BBA8-927062D6B3F5}" filter="1" showAutoFilter="1">
      <autoFilter ref="$B$24:$H$104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46 H148:H188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2558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'25.11월'!G5</f>
        <v>292833</v>
      </c>
      <c r="E5" s="355">
        <f t="shared" ref="E5:E17" si="1">sumif($B$25:$B$105,B5,$E$25:$E$105)</f>
        <v>49210236</v>
      </c>
      <c r="F5" s="356">
        <f t="shared" ref="F5:F17" si="2">sumif($B$25:$B$105,B5,$F$25:$F$105)</f>
        <v>1852640</v>
      </c>
      <c r="G5" s="229">
        <f t="shared" ref="G5:G17" si="3">D5+E5-F5</f>
        <v>47650429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'25.11월'!G6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'25.11월'!G7</f>
        <v>4159355</v>
      </c>
      <c r="E7" s="359">
        <f t="shared" si="1"/>
        <v>3000400</v>
      </c>
      <c r="F7" s="360">
        <f t="shared" si="2"/>
        <v>6842543</v>
      </c>
      <c r="G7" s="239">
        <f t="shared" si="3"/>
        <v>317212</v>
      </c>
      <c r="H7" s="422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'25.11월'!G8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'25.11월'!G9</f>
        <v>13437904</v>
      </c>
      <c r="E9" s="359">
        <f t="shared" si="1"/>
        <v>80302935</v>
      </c>
      <c r="F9" s="360">
        <f t="shared" si="2"/>
        <v>93571191</v>
      </c>
      <c r="G9" s="239">
        <f t="shared" si="3"/>
        <v>169648</v>
      </c>
      <c r="H9" s="439">
        <f>G5+G7+G9</f>
        <v>48137289</v>
      </c>
      <c r="I9" s="440">
        <f>(G5+G7+G9)/J3</f>
        <v>32685.86396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'25.11월'!G10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'25.11월'!G11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'25.11월'!G12</f>
        <v>43.02</v>
      </c>
      <c r="E12" s="361">
        <f t="shared" si="1"/>
        <v>3225.22</v>
      </c>
      <c r="F12" s="362">
        <f t="shared" si="2"/>
        <v>423.99</v>
      </c>
      <c r="G12" s="329">
        <f t="shared" si="3"/>
        <v>2844.25</v>
      </c>
      <c r="H12" s="422">
        <f>G12*J3</f>
        <v>4188798.081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'25.11월'!G13</f>
        <v>165.01</v>
      </c>
      <c r="E13" s="363">
        <f t="shared" si="1"/>
        <v>0</v>
      </c>
      <c r="F13" s="364">
        <f t="shared" si="2"/>
        <v>165.01</v>
      </c>
      <c r="G13" s="320">
        <f t="shared" si="3"/>
        <v>0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'25.11월'!G14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'25.11월'!G15</f>
        <v>21.33</v>
      </c>
      <c r="E15" s="361">
        <f t="shared" si="1"/>
        <v>0</v>
      </c>
      <c r="F15" s="358">
        <f t="shared" si="2"/>
        <v>21.33</v>
      </c>
      <c r="G15" s="235">
        <f t="shared" si="3"/>
        <v>0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'25.11월'!G16</f>
        <v>0</v>
      </c>
      <c r="E16" s="366">
        <f t="shared" si="1"/>
        <v>0</v>
      </c>
      <c r="F16" s="367">
        <f t="shared" si="2"/>
        <v>0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'25.11월'!G17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17890097</v>
      </c>
      <c r="E18" s="262">
        <f t="shared" si="4"/>
        <v>132513571</v>
      </c>
      <c r="F18" s="263">
        <f t="shared" si="4"/>
        <v>102266374</v>
      </c>
      <c r="G18" s="345">
        <f t="shared" si="4"/>
        <v>48137294</v>
      </c>
      <c r="H18" s="353">
        <f>G18</f>
        <v>48137294</v>
      </c>
      <c r="I18" s="353">
        <f>D18</f>
        <v>17890097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182.195998</v>
      </c>
      <c r="E19" s="269">
        <f t="shared" si="5"/>
        <v>3225.22</v>
      </c>
      <c r="F19" s="270">
        <f t="shared" si="5"/>
        <v>445.32</v>
      </c>
      <c r="G19" s="346">
        <f t="shared" si="5"/>
        <v>2962.095998</v>
      </c>
      <c r="H19" s="265">
        <f>rounddown(G19*$J$3,0)</f>
        <v>4362352</v>
      </c>
      <c r="I19" s="265">
        <f>rounddown(D19*$J$3,0)</f>
        <v>268324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165.01</v>
      </c>
      <c r="E20" s="274">
        <f t="shared" si="6"/>
        <v>0</v>
      </c>
      <c r="F20" s="275">
        <f t="shared" si="6"/>
        <v>165.01</v>
      </c>
      <c r="G20" s="347">
        <f t="shared" si="6"/>
        <v>0</v>
      </c>
      <c r="H20" s="277">
        <f>rounddown(G20*$J$4,0)</f>
        <v>0</v>
      </c>
      <c r="I20" s="277">
        <f>rounddown(D20*$J$4,0)</f>
        <v>188752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52499646</v>
      </c>
      <c r="I21" s="279">
        <f t="shared" si="7"/>
        <v>18347173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471"/>
      <c r="B22" s="280"/>
      <c r="C22" s="280"/>
      <c r="D22" s="280"/>
      <c r="E22" s="311"/>
      <c r="F22" s="311"/>
      <c r="G22" s="280"/>
      <c r="H22" s="336">
        <f>H21-I21</f>
        <v>34152473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23189.98659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">
        <v>22</v>
      </c>
      <c r="C25" s="323" t="s">
        <v>2559</v>
      </c>
      <c r="D25" s="323" t="s">
        <v>1072</v>
      </c>
      <c r="E25" s="337"/>
      <c r="F25" s="337">
        <v>165.01</v>
      </c>
      <c r="G25" s="327" t="s">
        <v>679</v>
      </c>
      <c r="H25" s="328" t="s">
        <v>556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">
        <v>18</v>
      </c>
      <c r="C26" s="323" t="s">
        <v>2559</v>
      </c>
      <c r="D26" s="323" t="s">
        <v>1072</v>
      </c>
      <c r="E26" s="371">
        <v>127.06</v>
      </c>
      <c r="F26" s="337"/>
      <c r="G26" s="327" t="s">
        <v>679</v>
      </c>
      <c r="H26" s="328" t="s">
        <v>556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">
        <v>552</v>
      </c>
      <c r="C27" s="323" t="s">
        <v>2559</v>
      </c>
      <c r="D27" s="323" t="s">
        <v>2483</v>
      </c>
      <c r="E27" s="337"/>
      <c r="F27" s="325">
        <v>3680350.0</v>
      </c>
      <c r="G27" s="327" t="s">
        <v>2484</v>
      </c>
      <c r="H27" s="328" t="s">
        <v>39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">
        <v>552</v>
      </c>
      <c r="C28" s="323" t="s">
        <v>2559</v>
      </c>
      <c r="D28" s="323" t="s">
        <v>1115</v>
      </c>
      <c r="E28" s="326"/>
      <c r="F28" s="326">
        <v>52702.0</v>
      </c>
      <c r="G28" s="327" t="s">
        <v>2485</v>
      </c>
      <c r="H28" s="286" t="s">
        <v>33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281" t="s">
        <v>18</v>
      </c>
      <c r="C29" s="323" t="s">
        <v>2560</v>
      </c>
      <c r="D29" s="323" t="s">
        <v>2189</v>
      </c>
      <c r="E29" s="337"/>
      <c r="F29" s="337">
        <v>74.93</v>
      </c>
      <c r="G29" s="327" t="s">
        <v>2561</v>
      </c>
      <c r="H29" s="328" t="s">
        <v>930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281" t="s">
        <v>18</v>
      </c>
      <c r="C30" s="323" t="s">
        <v>2560</v>
      </c>
      <c r="D30" s="323" t="s">
        <v>1072</v>
      </c>
      <c r="E30" s="337"/>
      <c r="F30" s="337">
        <v>36.13</v>
      </c>
      <c r="G30" s="327" t="s">
        <v>1565</v>
      </c>
      <c r="H30" s="328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281" t="s">
        <v>18</v>
      </c>
      <c r="C31" s="323" t="s">
        <v>2559</v>
      </c>
      <c r="D31" s="323" t="s">
        <v>2187</v>
      </c>
      <c r="E31" s="337"/>
      <c r="F31" s="337">
        <v>84.39</v>
      </c>
      <c r="G31" s="327" t="s">
        <v>2562</v>
      </c>
      <c r="H31" s="328" t="s">
        <v>930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281" t="s">
        <v>18</v>
      </c>
      <c r="C32" s="323" t="s">
        <v>2559</v>
      </c>
      <c r="D32" s="323" t="s">
        <v>1072</v>
      </c>
      <c r="E32" s="337"/>
      <c r="F32" s="337">
        <v>8.54</v>
      </c>
      <c r="G32" s="313" t="s">
        <v>1565</v>
      </c>
      <c r="H32" s="328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281" t="s">
        <v>14</v>
      </c>
      <c r="C33" s="323" t="s">
        <v>2559</v>
      </c>
      <c r="D33" s="323" t="s">
        <v>920</v>
      </c>
      <c r="E33" s="337"/>
      <c r="F33" s="414">
        <v>77000.0</v>
      </c>
      <c r="G33" s="327" t="s">
        <v>1006</v>
      </c>
      <c r="H33" s="286" t="s">
        <v>33</v>
      </c>
      <c r="I33" s="107"/>
      <c r="J33" s="141"/>
      <c r="K33" s="138"/>
      <c r="L33" s="83" t="s">
        <v>2563</v>
      </c>
      <c r="M33" s="83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">
        <v>1582</v>
      </c>
      <c r="C34" s="323" t="s">
        <v>2564</v>
      </c>
      <c r="D34" s="323" t="s">
        <v>789</v>
      </c>
      <c r="E34" s="425"/>
      <c r="F34" s="325">
        <v>6111710.0</v>
      </c>
      <c r="G34" s="327" t="s">
        <v>1551</v>
      </c>
      <c r="H34" s="328" t="s">
        <v>33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">
        <v>18</v>
      </c>
      <c r="C35" s="323" t="s">
        <v>2560</v>
      </c>
      <c r="D35" s="413" t="s">
        <v>2085</v>
      </c>
      <c r="E35" s="337">
        <v>133.8</v>
      </c>
      <c r="F35" s="325"/>
      <c r="G35" s="415" t="s">
        <v>2565</v>
      </c>
      <c r="H35" s="412" t="s">
        <v>2035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">
        <v>746</v>
      </c>
      <c r="C36" s="323" t="s">
        <v>2566</v>
      </c>
      <c r="D36" s="323"/>
      <c r="E36" s="337"/>
      <c r="F36" s="337">
        <v>21.33</v>
      </c>
      <c r="G36" s="327" t="s">
        <v>2567</v>
      </c>
      <c r="H36" s="328" t="s">
        <v>2563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">
        <v>14</v>
      </c>
      <c r="C37" s="323" t="s">
        <v>2568</v>
      </c>
      <c r="D37" s="323" t="s">
        <v>798</v>
      </c>
      <c r="E37" s="325">
        <v>210000.0</v>
      </c>
      <c r="F37" s="337"/>
      <c r="G37" s="313" t="s">
        <v>2569</v>
      </c>
      <c r="H37" s="328" t="s">
        <v>170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">
        <v>14</v>
      </c>
      <c r="C38" s="323" t="s">
        <v>2568</v>
      </c>
      <c r="D38" s="323" t="s">
        <v>2570</v>
      </c>
      <c r="E38" s="337"/>
      <c r="F38" s="414">
        <v>37430.0</v>
      </c>
      <c r="G38" s="426" t="s">
        <v>1038</v>
      </c>
      <c r="H38" s="450" t="s">
        <v>4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">
        <v>14</v>
      </c>
      <c r="C39" s="323" t="s">
        <v>2568</v>
      </c>
      <c r="D39" s="323" t="s">
        <v>2570</v>
      </c>
      <c r="E39" s="371"/>
      <c r="F39" s="424">
        <v>37430.0</v>
      </c>
      <c r="G39" s="354" t="s">
        <v>1038</v>
      </c>
      <c r="H39" s="450" t="s">
        <v>4</v>
      </c>
      <c r="I39" s="107"/>
      <c r="J39" s="141"/>
      <c r="K39" s="138"/>
      <c r="L39" s="83"/>
      <c r="M39" s="84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281" t="s">
        <v>18</v>
      </c>
      <c r="C40" s="323" t="s">
        <v>2571</v>
      </c>
      <c r="D40" s="323" t="s">
        <v>2572</v>
      </c>
      <c r="E40" s="371">
        <v>2964.36</v>
      </c>
      <c r="F40" s="424"/>
      <c r="G40" s="327" t="s">
        <v>2573</v>
      </c>
      <c r="H40" s="286" t="s">
        <v>2035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">
        <v>1582</v>
      </c>
      <c r="C41" s="323" t="s">
        <v>2574</v>
      </c>
      <c r="D41" s="323" t="s">
        <v>2575</v>
      </c>
      <c r="E41" s="371"/>
      <c r="F41" s="424">
        <v>525000.0</v>
      </c>
      <c r="G41" s="327" t="s">
        <v>2576</v>
      </c>
      <c r="H41" s="286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">
        <v>1582</v>
      </c>
      <c r="C42" s="323" t="s">
        <v>2577</v>
      </c>
      <c r="D42" s="323" t="s">
        <v>84</v>
      </c>
      <c r="E42" s="326"/>
      <c r="F42" s="325">
        <v>1352219.0</v>
      </c>
      <c r="G42" s="354" t="s">
        <v>1660</v>
      </c>
      <c r="H42" s="450" t="s">
        <v>1642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">
        <v>1582</v>
      </c>
      <c r="C43" s="323" t="s">
        <v>2578</v>
      </c>
      <c r="D43" s="323" t="s">
        <v>789</v>
      </c>
      <c r="E43" s="425"/>
      <c r="F43" s="325">
        <v>4149860.0</v>
      </c>
      <c r="G43" s="327" t="s">
        <v>1588</v>
      </c>
      <c r="H43" s="328" t="s">
        <v>33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">
        <v>1582</v>
      </c>
      <c r="C44" s="323" t="s">
        <v>2578</v>
      </c>
      <c r="D44" s="323" t="s">
        <v>789</v>
      </c>
      <c r="E44" s="325">
        <v>8.0E7</v>
      </c>
      <c r="F44" s="325"/>
      <c r="G44" s="327" t="s">
        <v>873</v>
      </c>
      <c r="H44" s="328" t="s">
        <v>170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">
        <v>1582</v>
      </c>
      <c r="C45" s="323" t="s">
        <v>2579</v>
      </c>
      <c r="D45" s="323" t="s">
        <v>2218</v>
      </c>
      <c r="E45" s="325">
        <v>2935.0</v>
      </c>
      <c r="F45" s="337"/>
      <c r="G45" s="327" t="s">
        <v>1446</v>
      </c>
      <c r="H45" s="286" t="s">
        <v>75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">
        <v>1582</v>
      </c>
      <c r="C46" s="323" t="s">
        <v>2579</v>
      </c>
      <c r="D46" s="323" t="s">
        <v>2004</v>
      </c>
      <c r="E46" s="326"/>
      <c r="F46" s="325">
        <v>4400.0</v>
      </c>
      <c r="G46" s="313" t="s">
        <v>2580</v>
      </c>
      <c r="H46" s="328" t="s">
        <v>33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">
        <v>1582</v>
      </c>
      <c r="C47" s="323" t="s">
        <v>2579</v>
      </c>
      <c r="D47" s="323" t="s">
        <v>2480</v>
      </c>
      <c r="E47" s="425"/>
      <c r="F47" s="325">
        <v>1.0227057E7</v>
      </c>
      <c r="G47" s="327" t="s">
        <v>2581</v>
      </c>
      <c r="H47" s="328" t="s">
        <v>1642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 t="s">
        <v>1582</v>
      </c>
      <c r="C48" s="323" t="s">
        <v>2579</v>
      </c>
      <c r="D48" s="323" t="s">
        <v>2480</v>
      </c>
      <c r="E48" s="425"/>
      <c r="F48" s="325">
        <v>1905763.0</v>
      </c>
      <c r="G48" s="327" t="s">
        <v>2582</v>
      </c>
      <c r="H48" s="328" t="s">
        <v>41</v>
      </c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 t="s">
        <v>1582</v>
      </c>
      <c r="C49" s="323" t="s">
        <v>2583</v>
      </c>
      <c r="D49" s="323" t="s">
        <v>2584</v>
      </c>
      <c r="E49" s="425"/>
      <c r="F49" s="325">
        <v>4534538.0</v>
      </c>
      <c r="G49" s="327" t="s">
        <v>2585</v>
      </c>
      <c r="H49" s="328" t="s">
        <v>41</v>
      </c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 t="s">
        <v>14</v>
      </c>
      <c r="C50" s="323" t="s">
        <v>2586</v>
      </c>
      <c r="D50" s="323" t="s">
        <v>1120</v>
      </c>
      <c r="E50" s="325">
        <v>236.0</v>
      </c>
      <c r="F50" s="325"/>
      <c r="G50" s="327" t="s">
        <v>84</v>
      </c>
      <c r="H50" s="328" t="s">
        <v>75</v>
      </c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 t="s">
        <v>14</v>
      </c>
      <c r="C51" s="323" t="s">
        <v>2579</v>
      </c>
      <c r="D51" s="323" t="s">
        <v>2570</v>
      </c>
      <c r="E51" s="325"/>
      <c r="F51" s="325">
        <v>30880.0</v>
      </c>
      <c r="G51" s="327" t="s">
        <v>1040</v>
      </c>
      <c r="H51" s="328" t="s">
        <v>4</v>
      </c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 t="s">
        <v>14</v>
      </c>
      <c r="C52" s="323" t="s">
        <v>2579</v>
      </c>
      <c r="D52" s="323" t="s">
        <v>2570</v>
      </c>
      <c r="E52" s="325"/>
      <c r="F52" s="325">
        <v>30880.0</v>
      </c>
      <c r="G52" s="327" t="s">
        <v>1039</v>
      </c>
      <c r="H52" s="328" t="s">
        <v>4</v>
      </c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 t="s">
        <v>1582</v>
      </c>
      <c r="C53" s="323" t="s">
        <v>2583</v>
      </c>
      <c r="D53" s="323" t="s">
        <v>920</v>
      </c>
      <c r="E53" s="325">
        <v>300000.0</v>
      </c>
      <c r="F53" s="325"/>
      <c r="G53" s="327" t="s">
        <v>873</v>
      </c>
      <c r="H53" s="328" t="s">
        <v>170</v>
      </c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 t="s">
        <v>1582</v>
      </c>
      <c r="C54" s="323" t="s">
        <v>2587</v>
      </c>
      <c r="D54" s="323" t="s">
        <v>1981</v>
      </c>
      <c r="E54" s="455"/>
      <c r="F54" s="325">
        <v>2000000.0</v>
      </c>
      <c r="G54" s="327" t="s">
        <v>1035</v>
      </c>
      <c r="H54" s="328" t="s">
        <v>556</v>
      </c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 t="s">
        <v>1582</v>
      </c>
      <c r="C55" s="323" t="s">
        <v>2587</v>
      </c>
      <c r="D55" s="323" t="s">
        <v>1981</v>
      </c>
      <c r="E55" s="455"/>
      <c r="F55" s="414">
        <v>3000000.0</v>
      </c>
      <c r="G55" s="327" t="s">
        <v>1035</v>
      </c>
      <c r="H55" s="328" t="s">
        <v>556</v>
      </c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 t="s">
        <v>14</v>
      </c>
      <c r="C56" s="323" t="s">
        <v>2587</v>
      </c>
      <c r="D56" s="323" t="s">
        <v>1981</v>
      </c>
      <c r="E56" s="325">
        <v>2000000.0</v>
      </c>
      <c r="F56" s="425"/>
      <c r="G56" s="327" t="s">
        <v>1035</v>
      </c>
      <c r="H56" s="328" t="s">
        <v>556</v>
      </c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50" t="s">
        <v>552</v>
      </c>
      <c r="C57" s="323" t="s">
        <v>2587</v>
      </c>
      <c r="D57" s="323" t="s">
        <v>1981</v>
      </c>
      <c r="E57" s="325">
        <v>3000000.0</v>
      </c>
      <c r="F57" s="425"/>
      <c r="G57" s="327" t="s">
        <v>1035</v>
      </c>
      <c r="H57" s="328" t="s">
        <v>556</v>
      </c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350" t="s">
        <v>1582</v>
      </c>
      <c r="C58" s="323" t="s">
        <v>2587</v>
      </c>
      <c r="D58" s="379" t="s">
        <v>41</v>
      </c>
      <c r="E58" s="455"/>
      <c r="F58" s="325">
        <v>1.1503398E7</v>
      </c>
      <c r="G58" s="354" t="s">
        <v>41</v>
      </c>
      <c r="H58" s="450" t="s">
        <v>41</v>
      </c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50" t="s">
        <v>14</v>
      </c>
      <c r="C59" s="323" t="s">
        <v>2588</v>
      </c>
      <c r="D59" s="379" t="s">
        <v>1950</v>
      </c>
      <c r="E59" s="455"/>
      <c r="F59" s="325">
        <v>55620.0</v>
      </c>
      <c r="G59" s="354" t="s">
        <v>1951</v>
      </c>
      <c r="H59" s="450" t="s">
        <v>27</v>
      </c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50" t="s">
        <v>14</v>
      </c>
      <c r="C60" s="323" t="s">
        <v>2588</v>
      </c>
      <c r="D60" s="379" t="s">
        <v>497</v>
      </c>
      <c r="E60" s="455"/>
      <c r="F60" s="425">
        <v>330000.0</v>
      </c>
      <c r="G60" s="354" t="s">
        <v>1952</v>
      </c>
      <c r="H60" s="450" t="s">
        <v>33</v>
      </c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 t="s">
        <v>14</v>
      </c>
      <c r="C61" s="323" t="s">
        <v>2588</v>
      </c>
      <c r="D61" s="379" t="s">
        <v>1633</v>
      </c>
      <c r="E61" s="425"/>
      <c r="F61" s="325">
        <v>1253400.0</v>
      </c>
      <c r="G61" s="354" t="s">
        <v>1633</v>
      </c>
      <c r="H61" s="450" t="s">
        <v>33</v>
      </c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 t="s">
        <v>1582</v>
      </c>
      <c r="C62" s="323" t="s">
        <v>2588</v>
      </c>
      <c r="D62" s="379" t="s">
        <v>1669</v>
      </c>
      <c r="E62" s="425"/>
      <c r="F62" s="325">
        <v>797246.0</v>
      </c>
      <c r="G62" s="354" t="s">
        <v>1669</v>
      </c>
      <c r="H62" s="450" t="s">
        <v>33</v>
      </c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350" t="s">
        <v>552</v>
      </c>
      <c r="C63" s="323" t="s">
        <v>2588</v>
      </c>
      <c r="D63" s="379" t="s">
        <v>721</v>
      </c>
      <c r="E63" s="425"/>
      <c r="F63" s="325">
        <v>3109491.0</v>
      </c>
      <c r="G63" s="354" t="s">
        <v>721</v>
      </c>
      <c r="H63" s="450" t="s">
        <v>33</v>
      </c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 t="s">
        <v>552</v>
      </c>
      <c r="C64" s="323" t="s">
        <v>2586</v>
      </c>
      <c r="D64" s="379" t="s">
        <v>1115</v>
      </c>
      <c r="E64" s="425">
        <v>400.0</v>
      </c>
      <c r="F64" s="325"/>
      <c r="G64" s="354" t="s">
        <v>84</v>
      </c>
      <c r="H64" s="450" t="s">
        <v>75</v>
      </c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 t="s">
        <v>14</v>
      </c>
      <c r="C65" s="323" t="s">
        <v>2566</v>
      </c>
      <c r="D65" s="323" t="s">
        <v>1981</v>
      </c>
      <c r="E65" s="325">
        <v>4.7E7</v>
      </c>
      <c r="F65" s="325"/>
      <c r="G65" s="327" t="s">
        <v>1035</v>
      </c>
      <c r="H65" s="328" t="s">
        <v>556</v>
      </c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350" t="s">
        <v>1582</v>
      </c>
      <c r="C66" s="323" t="s">
        <v>2566</v>
      </c>
      <c r="D66" s="323" t="s">
        <v>1981</v>
      </c>
      <c r="E66" s="425"/>
      <c r="F66" s="325">
        <v>4.7E7</v>
      </c>
      <c r="G66" s="327" t="s">
        <v>1035</v>
      </c>
      <c r="H66" s="328" t="s">
        <v>556</v>
      </c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350" t="s">
        <v>1582</v>
      </c>
      <c r="C67" s="323" t="s">
        <v>2566</v>
      </c>
      <c r="D67" s="323" t="s">
        <v>2589</v>
      </c>
      <c r="E67" s="425"/>
      <c r="F67" s="325">
        <v>460000.0</v>
      </c>
      <c r="G67" s="327" t="s">
        <v>2590</v>
      </c>
      <c r="H67" s="328" t="s">
        <v>33</v>
      </c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350" t="s">
        <v>18</v>
      </c>
      <c r="C68" s="323" t="s">
        <v>2591</v>
      </c>
      <c r="D68" s="323" t="s">
        <v>1816</v>
      </c>
      <c r="E68" s="326"/>
      <c r="F68" s="337">
        <v>220.0</v>
      </c>
      <c r="G68" s="313" t="s">
        <v>1719</v>
      </c>
      <c r="H68" s="328" t="s">
        <v>33</v>
      </c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/>
      <c r="C69" s="323"/>
      <c r="D69" s="379"/>
      <c r="E69" s="425"/>
      <c r="F69" s="325"/>
      <c r="G69" s="354"/>
      <c r="H69" s="450"/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/>
      <c r="C70" s="323"/>
      <c r="D70" s="379"/>
      <c r="E70" s="425"/>
      <c r="F70" s="325"/>
      <c r="G70" s="354"/>
      <c r="H70" s="450"/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350"/>
      <c r="C71" s="323"/>
      <c r="D71" s="379"/>
      <c r="E71" s="425"/>
      <c r="F71" s="325"/>
      <c r="G71" s="354"/>
      <c r="H71" s="450"/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350"/>
      <c r="C72" s="323"/>
      <c r="D72" s="379"/>
      <c r="E72" s="425"/>
      <c r="F72" s="325"/>
      <c r="G72" s="354"/>
      <c r="H72" s="450"/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350"/>
      <c r="C73" s="323"/>
      <c r="D73" s="379"/>
      <c r="E73" s="425"/>
      <c r="F73" s="325"/>
      <c r="G73" s="354"/>
      <c r="H73" s="450"/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350"/>
      <c r="C74" s="323"/>
      <c r="D74" s="379"/>
      <c r="E74" s="425"/>
      <c r="F74" s="325"/>
      <c r="G74" s="354"/>
      <c r="H74" s="450"/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350"/>
      <c r="C75" s="323"/>
      <c r="D75" s="379"/>
      <c r="E75" s="425"/>
      <c r="F75" s="325"/>
      <c r="G75" s="354"/>
      <c r="H75" s="450"/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350"/>
      <c r="C76" s="323"/>
      <c r="D76" s="379"/>
      <c r="E76" s="425"/>
      <c r="F76" s="325"/>
      <c r="G76" s="354"/>
      <c r="H76" s="450"/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350"/>
      <c r="C77" s="323"/>
      <c r="D77" s="379"/>
      <c r="E77" s="425"/>
      <c r="F77" s="325"/>
      <c r="G77" s="354"/>
      <c r="H77" s="450"/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350"/>
      <c r="C78" s="323"/>
      <c r="D78" s="379"/>
      <c r="E78" s="425"/>
      <c r="F78" s="325"/>
      <c r="G78" s="354"/>
      <c r="H78" s="450"/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350"/>
      <c r="C79" s="323"/>
      <c r="D79" s="379"/>
      <c r="E79" s="425"/>
      <c r="F79" s="325"/>
      <c r="G79" s="354"/>
      <c r="H79" s="450"/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350"/>
      <c r="C80" s="323"/>
      <c r="D80" s="379"/>
      <c r="E80" s="425"/>
      <c r="F80" s="325"/>
      <c r="G80" s="354"/>
      <c r="H80" s="450"/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350"/>
      <c r="C81" s="323"/>
      <c r="D81" s="379"/>
      <c r="E81" s="425"/>
      <c r="F81" s="325"/>
      <c r="G81" s="354"/>
      <c r="H81" s="450"/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350"/>
      <c r="C82" s="323"/>
      <c r="D82" s="379"/>
      <c r="E82" s="425"/>
      <c r="F82" s="325"/>
      <c r="G82" s="354"/>
      <c r="H82" s="450"/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350"/>
      <c r="C83" s="323"/>
      <c r="D83" s="379"/>
      <c r="E83" s="425"/>
      <c r="F83" s="325"/>
      <c r="G83" s="354"/>
      <c r="H83" s="450"/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350"/>
      <c r="C84" s="323"/>
      <c r="D84" s="379"/>
      <c r="E84" s="425"/>
      <c r="F84" s="325"/>
      <c r="G84" s="354"/>
      <c r="H84" s="450"/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350"/>
      <c r="C85" s="323"/>
      <c r="D85" s="379"/>
      <c r="E85" s="425"/>
      <c r="F85" s="325"/>
      <c r="G85" s="354"/>
      <c r="H85" s="450"/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350"/>
      <c r="C86" s="323"/>
      <c r="D86" s="379"/>
      <c r="E86" s="425"/>
      <c r="F86" s="325"/>
      <c r="G86" s="354"/>
      <c r="H86" s="450"/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/>
      <c r="C87" s="323"/>
      <c r="D87" s="379"/>
      <c r="E87" s="425"/>
      <c r="F87" s="325"/>
      <c r="G87" s="354"/>
      <c r="H87" s="450"/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350"/>
      <c r="C88" s="323"/>
      <c r="D88" s="379"/>
      <c r="E88" s="425"/>
      <c r="F88" s="325"/>
      <c r="G88" s="354"/>
      <c r="H88" s="450"/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350"/>
      <c r="C89" s="323"/>
      <c r="D89" s="379"/>
      <c r="E89" s="425"/>
      <c r="F89" s="325"/>
      <c r="G89" s="354"/>
      <c r="H89" s="450"/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350"/>
      <c r="C90" s="323"/>
      <c r="D90" s="379"/>
      <c r="E90" s="425"/>
      <c r="F90" s="325"/>
      <c r="G90" s="354"/>
      <c r="H90" s="450"/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/>
      <c r="C91" s="323"/>
      <c r="D91" s="379"/>
      <c r="E91" s="425"/>
      <c r="F91" s="325"/>
      <c r="G91" s="354"/>
      <c r="H91" s="450"/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350"/>
      <c r="C92" s="323"/>
      <c r="D92" s="379"/>
      <c r="E92" s="425"/>
      <c r="F92" s="325"/>
      <c r="G92" s="354"/>
      <c r="H92" s="450"/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350"/>
      <c r="C93" s="323"/>
      <c r="D93" s="379"/>
      <c r="E93" s="425"/>
      <c r="F93" s="325"/>
      <c r="G93" s="354"/>
      <c r="H93" s="450"/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350"/>
      <c r="C94" s="323"/>
      <c r="D94" s="379"/>
      <c r="E94" s="425"/>
      <c r="F94" s="325"/>
      <c r="G94" s="354"/>
      <c r="H94" s="450"/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350"/>
      <c r="C95" s="323"/>
      <c r="D95" s="379"/>
      <c r="E95" s="425"/>
      <c r="F95" s="325"/>
      <c r="G95" s="354"/>
      <c r="H95" s="450"/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350"/>
      <c r="C96" s="323"/>
      <c r="D96" s="379"/>
      <c r="E96" s="425"/>
      <c r="F96" s="325"/>
      <c r="G96" s="354"/>
      <c r="H96" s="450"/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350"/>
      <c r="C97" s="323"/>
      <c r="D97" s="379"/>
      <c r="E97" s="425"/>
      <c r="F97" s="325"/>
      <c r="G97" s="354"/>
      <c r="H97" s="450"/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350"/>
      <c r="C98" s="323"/>
      <c r="D98" s="379"/>
      <c r="E98" s="425"/>
      <c r="F98" s="325"/>
      <c r="G98" s="354"/>
      <c r="H98" s="450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350"/>
      <c r="C99" s="323"/>
      <c r="D99" s="379"/>
      <c r="E99" s="425"/>
      <c r="F99" s="325"/>
      <c r="G99" s="354"/>
      <c r="H99" s="450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/>
      <c r="C100" s="323"/>
      <c r="D100" s="379"/>
      <c r="E100" s="425"/>
      <c r="F100" s="325"/>
      <c r="G100" s="354"/>
      <c r="H100" s="450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350"/>
      <c r="C101" s="323"/>
      <c r="D101" s="379"/>
      <c r="E101" s="425"/>
      <c r="F101" s="325"/>
      <c r="G101" s="354"/>
      <c r="H101" s="450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350"/>
      <c r="C102" s="323"/>
      <c r="D102" s="379"/>
      <c r="E102" s="425"/>
      <c r="F102" s="325"/>
      <c r="G102" s="354"/>
      <c r="H102" s="450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350"/>
      <c r="C103" s="323"/>
      <c r="D103" s="379"/>
      <c r="E103" s="425"/>
      <c r="F103" s="325"/>
      <c r="G103" s="354"/>
      <c r="H103" s="450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350"/>
      <c r="C104" s="323"/>
      <c r="D104" s="379"/>
      <c r="E104" s="425"/>
      <c r="F104" s="325"/>
      <c r="G104" s="354"/>
      <c r="H104" s="450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350"/>
      <c r="C105" s="323"/>
      <c r="D105" s="379"/>
      <c r="E105" s="425"/>
      <c r="F105" s="325"/>
      <c r="G105" s="354"/>
      <c r="H105" s="450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/>
      <c r="C106" s="323"/>
      <c r="D106" s="379"/>
      <c r="E106" s="425"/>
      <c r="F106" s="325"/>
      <c r="G106" s="354"/>
      <c r="H106" s="450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350"/>
      <c r="C107" s="323"/>
      <c r="D107" s="379"/>
      <c r="E107" s="425"/>
      <c r="F107" s="325"/>
      <c r="G107" s="354"/>
      <c r="H107" s="450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H108" s="328"/>
      <c r="I108" s="107"/>
      <c r="J108" s="141"/>
      <c r="K108" s="138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H109" s="328"/>
      <c r="I109" s="107"/>
      <c r="J109" s="141"/>
      <c r="K109" s="138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H110" s="328"/>
      <c r="I110" s="107"/>
      <c r="J110" s="141"/>
      <c r="K110" s="138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H111" s="328"/>
      <c r="I111" s="107"/>
      <c r="J111" s="141"/>
      <c r="K111" s="138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H112" s="328"/>
      <c r="I112" s="107"/>
      <c r="J112" s="141"/>
      <c r="K112" s="138"/>
      <c r="L112" s="99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H113" s="328"/>
      <c r="I113" s="107"/>
      <c r="J113" s="141"/>
      <c r="K113" s="138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H114" s="328"/>
      <c r="I114" s="107"/>
      <c r="J114" s="141"/>
      <c r="K114" s="138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H115" s="328"/>
      <c r="I115" s="107"/>
      <c r="J115" s="141"/>
      <c r="K115" s="138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H116" s="328"/>
      <c r="I116" s="107"/>
      <c r="J116" s="141"/>
      <c r="K116" s="138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H117" s="328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H118" s="328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H119" s="328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H120" s="328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H121" s="328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H122" s="328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H123" s="328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H124" s="328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H125" s="328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H126" s="328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H127" s="328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H128" s="328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H129" s="328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H130" s="328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H131" s="328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H132" s="328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H133" s="328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H134" s="328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H135" s="328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H136" s="328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H137" s="328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H138" s="328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H139" s="328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H140" s="328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H141" s="328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H142" s="328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</sheetData>
  <autoFilter ref="$B$24:$H$88">
    <sortState ref="B24:H88">
      <sortCondition ref="B24:B88"/>
    </sortState>
  </autoFilter>
  <customSheetViews>
    <customSheetView guid="{CD2BF927-9D79-47FC-BBA8-927062D6B3F5}" filter="1" showAutoFilter="1">
      <autoFilter ref="$B$24:$H$88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42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>
      <pane ySplit="24.0" topLeftCell="A25" activePane="bottomLeft" state="frozen"/>
      <selection activeCell="B26" sqref="B26" pane="bottomLeft"/>
    </sheetView>
  </sheetViews>
  <sheetFormatPr customHeight="1" defaultColWidth="14.43" defaultRowHeight="15.0" outlineLevelRow="1"/>
  <cols>
    <col customWidth="1" min="1" max="1" width="1.57"/>
    <col customWidth="1" min="2" max="2" width="20.43"/>
    <col customWidth="1" min="3" max="3" width="12.57"/>
    <col customWidth="1" min="4" max="4" width="34.29"/>
    <col customWidth="1" min="5" max="5" width="28.43"/>
    <col customWidth="1" min="6" max="6" width="29.29"/>
    <col customWidth="1" min="7" max="7" width="39.71"/>
    <col customWidth="1" min="8" max="8" width="22.71"/>
    <col customWidth="1" min="9" max="9" width="15.29"/>
    <col customWidth="1" min="10" max="10" width="14.43"/>
    <col customWidth="1" min="11" max="11" width="4.14"/>
    <col customWidth="1" min="12" max="12" width="14.43"/>
    <col customWidth="1" min="13" max="13" width="50.0"/>
    <col customWidth="1" min="14" max="25" width="9.0"/>
  </cols>
  <sheetData>
    <row r="1" ht="24.0" customHeight="1" outlineLevel="1">
      <c r="A1" s="135" t="s">
        <v>1443</v>
      </c>
      <c r="B1" s="102" t="s">
        <v>0</v>
      </c>
      <c r="C1" s="5"/>
      <c r="D1" s="5"/>
      <c r="E1" s="5"/>
      <c r="F1" s="5"/>
      <c r="G1" s="5"/>
      <c r="H1" s="103"/>
      <c r="I1" s="104"/>
      <c r="J1" s="104"/>
      <c r="K1" s="101"/>
      <c r="L1" s="104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</row>
    <row r="2" ht="13.5" customHeight="1" outlineLevel="1">
      <c r="A2" s="99"/>
      <c r="B2" s="100"/>
      <c r="C2" s="100"/>
      <c r="D2" s="99"/>
      <c r="E2" s="99"/>
      <c r="F2" s="99"/>
      <c r="G2" s="99"/>
      <c r="H2" s="297"/>
      <c r="I2" s="433" t="s">
        <v>848</v>
      </c>
      <c r="J2" s="433" t="s">
        <v>15</v>
      </c>
      <c r="K2" s="298"/>
      <c r="L2" s="217" t="s">
        <v>1</v>
      </c>
      <c r="M2" s="217" t="s">
        <v>2</v>
      </c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</row>
    <row r="3" ht="13.5" customHeight="1" outlineLevel="1">
      <c r="A3" s="101"/>
      <c r="B3" s="136" t="s">
        <v>3</v>
      </c>
      <c r="C3" s="136"/>
      <c r="D3" s="104"/>
      <c r="E3" s="104"/>
      <c r="F3" s="104"/>
      <c r="G3" s="218" t="s">
        <v>2592</v>
      </c>
      <c r="H3" s="115"/>
      <c r="I3" s="434" t="s">
        <v>19</v>
      </c>
      <c r="J3" s="435">
        <f>IFERROR(__xludf.DUMMYFUNCTION("GOOGLEFINANCE(""USDKRW"")"),1472.7250000000001)</f>
        <v>1472.725</v>
      </c>
      <c r="K3" s="301"/>
      <c r="L3" s="83" t="s">
        <v>554</v>
      </c>
      <c r="M3" s="84" t="s">
        <v>555</v>
      </c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</row>
    <row r="4" ht="13.5" customHeight="1" outlineLevel="1">
      <c r="A4" s="115"/>
      <c r="B4" s="219" t="s">
        <v>6</v>
      </c>
      <c r="C4" s="220" t="s">
        <v>7</v>
      </c>
      <c r="D4" s="221" t="s">
        <v>8</v>
      </c>
      <c r="E4" s="222" t="s">
        <v>9</v>
      </c>
      <c r="F4" s="222" t="s">
        <v>10</v>
      </c>
      <c r="G4" s="223" t="s">
        <v>11</v>
      </c>
      <c r="H4" s="436"/>
      <c r="I4" s="434" t="s">
        <v>23</v>
      </c>
      <c r="J4" s="435">
        <f>IFERROR(__xludf.DUMMYFUNCTION("GOOGLEFINANCE(""SGDKRW"")"),1143.885)</f>
        <v>1143.885</v>
      </c>
      <c r="K4" s="302"/>
      <c r="L4" s="83" t="s">
        <v>41</v>
      </c>
      <c r="M4" s="84" t="s">
        <v>42</v>
      </c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</row>
    <row r="5" ht="13.5" customHeight="1" outlineLevel="1">
      <c r="A5" s="105"/>
      <c r="B5" s="224" t="s">
        <v>14</v>
      </c>
      <c r="C5" s="225" t="s">
        <v>15</v>
      </c>
      <c r="D5" s="226">
        <f>'25.12월'!G5</f>
        <v>47650429</v>
      </c>
      <c r="E5" s="355">
        <f t="shared" ref="E5:E17" si="1">sumif($B$25:$B$114,B5,$E$25:$E$114)</f>
        <v>0</v>
      </c>
      <c r="F5" s="356">
        <f t="shared" ref="F5:F17" si="2">sumif($B$25:$B$114,B5,$F$25:$F$114)</f>
        <v>47650429</v>
      </c>
      <c r="G5" s="229">
        <f t="shared" ref="G5:G17" si="3">D5+E5-F5</f>
        <v>0</v>
      </c>
      <c r="H5" s="436"/>
      <c r="I5" s="437" t="s">
        <v>23</v>
      </c>
      <c r="J5" s="438">
        <f>IFERROR(__xludf.DUMMYFUNCTION("GOOGLEFINANCE(""SGDUSD"")"),0.7766387)</f>
        <v>0.7766387</v>
      </c>
      <c r="K5" s="298"/>
      <c r="L5" s="83" t="s">
        <v>36</v>
      </c>
      <c r="M5" s="84" t="s">
        <v>37</v>
      </c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</row>
    <row r="6" ht="13.5" customHeight="1" outlineLevel="1">
      <c r="A6" s="105"/>
      <c r="B6" s="230" t="s">
        <v>551</v>
      </c>
      <c r="C6" s="231" t="s">
        <v>19</v>
      </c>
      <c r="D6" s="232">
        <f>'25.12월'!G6</f>
        <v>2.31</v>
      </c>
      <c r="E6" s="357">
        <f t="shared" si="1"/>
        <v>0</v>
      </c>
      <c r="F6" s="358">
        <f t="shared" si="2"/>
        <v>0</v>
      </c>
      <c r="G6" s="235">
        <f t="shared" si="3"/>
        <v>2.31</v>
      </c>
      <c r="H6" s="125"/>
      <c r="I6" s="105"/>
      <c r="J6" s="421"/>
      <c r="K6" s="105"/>
      <c r="L6" s="83" t="s">
        <v>170</v>
      </c>
      <c r="M6" s="84" t="s">
        <v>850</v>
      </c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</row>
    <row r="7" ht="13.5" customHeight="1" outlineLevel="1">
      <c r="A7" s="105"/>
      <c r="B7" s="230" t="s">
        <v>552</v>
      </c>
      <c r="C7" s="380" t="s">
        <v>15</v>
      </c>
      <c r="D7" s="381">
        <f>'25.12월'!G7</f>
        <v>317212</v>
      </c>
      <c r="E7" s="359">
        <f t="shared" si="1"/>
        <v>0</v>
      </c>
      <c r="F7" s="360">
        <f t="shared" si="2"/>
        <v>317212</v>
      </c>
      <c r="G7" s="239">
        <f t="shared" si="3"/>
        <v>0</v>
      </c>
      <c r="H7" s="422"/>
      <c r="I7" s="105"/>
      <c r="J7" s="421"/>
      <c r="K7" s="105"/>
      <c r="L7" s="83" t="s">
        <v>556</v>
      </c>
      <c r="M7" s="84" t="s">
        <v>557</v>
      </c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</row>
    <row r="8" ht="13.5" customHeight="1" outlineLevel="1">
      <c r="A8" s="105"/>
      <c r="B8" s="230" t="s">
        <v>553</v>
      </c>
      <c r="C8" s="231" t="s">
        <v>19</v>
      </c>
      <c r="D8" s="232">
        <f>'25.12월'!G8</f>
        <v>0.15</v>
      </c>
      <c r="E8" s="361">
        <f t="shared" si="1"/>
        <v>0</v>
      </c>
      <c r="F8" s="358">
        <f t="shared" si="2"/>
        <v>0</v>
      </c>
      <c r="G8" s="235">
        <f t="shared" si="3"/>
        <v>0.15</v>
      </c>
      <c r="H8" s="125"/>
      <c r="I8" s="372"/>
      <c r="J8" s="105"/>
      <c r="K8" s="105"/>
      <c r="L8" s="83" t="s">
        <v>4</v>
      </c>
      <c r="M8" s="83" t="s">
        <v>5</v>
      </c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</row>
    <row r="9" ht="13.5" customHeight="1" outlineLevel="1">
      <c r="A9" s="105"/>
      <c r="B9" s="230" t="s">
        <v>1582</v>
      </c>
      <c r="C9" s="231" t="s">
        <v>15</v>
      </c>
      <c r="D9" s="381">
        <f>'25.12월'!G9</f>
        <v>169648</v>
      </c>
      <c r="E9" s="359">
        <f t="shared" si="1"/>
        <v>95266141</v>
      </c>
      <c r="F9" s="360">
        <f t="shared" si="2"/>
        <v>90423595</v>
      </c>
      <c r="G9" s="239">
        <f t="shared" si="3"/>
        <v>5012194</v>
      </c>
      <c r="H9" s="439">
        <f>G5+G7+G9</f>
        <v>5012194</v>
      </c>
      <c r="I9" s="440">
        <f>(G5+G7+G9)/J3</f>
        <v>3403.346857</v>
      </c>
      <c r="J9" s="105"/>
      <c r="K9" s="105"/>
      <c r="L9" s="83" t="s">
        <v>16</v>
      </c>
      <c r="M9" s="83" t="s">
        <v>17</v>
      </c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</row>
    <row r="10" ht="13.5" customHeight="1" outlineLevel="1">
      <c r="A10" s="105"/>
      <c r="B10" s="230" t="s">
        <v>1584</v>
      </c>
      <c r="C10" s="231" t="s">
        <v>15</v>
      </c>
      <c r="D10" s="381">
        <f>'25.12월'!G10</f>
        <v>5</v>
      </c>
      <c r="E10" s="359">
        <f t="shared" si="1"/>
        <v>0</v>
      </c>
      <c r="F10" s="360">
        <f t="shared" si="2"/>
        <v>0</v>
      </c>
      <c r="G10" s="239">
        <f t="shared" si="3"/>
        <v>5</v>
      </c>
      <c r="H10" s="422"/>
      <c r="I10" s="351"/>
      <c r="J10" s="105"/>
      <c r="K10" s="105"/>
      <c r="L10" s="83" t="s">
        <v>24</v>
      </c>
      <c r="M10" s="83" t="s">
        <v>25</v>
      </c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</row>
    <row r="11" ht="13.5" customHeight="1" outlineLevel="1">
      <c r="A11" s="105"/>
      <c r="B11" s="230" t="s">
        <v>1586</v>
      </c>
      <c r="C11" s="231" t="s">
        <v>19</v>
      </c>
      <c r="D11" s="232">
        <f>'25.12월'!G11</f>
        <v>0</v>
      </c>
      <c r="E11" s="361">
        <f t="shared" si="1"/>
        <v>0</v>
      </c>
      <c r="F11" s="358">
        <f t="shared" si="2"/>
        <v>0</v>
      </c>
      <c r="G11" s="235">
        <f t="shared" si="3"/>
        <v>0</v>
      </c>
      <c r="H11" s="422"/>
      <c r="I11" s="125"/>
      <c r="J11" s="105"/>
      <c r="K11" s="105"/>
      <c r="L11" s="83" t="s">
        <v>77</v>
      </c>
      <c r="M11" s="84" t="s">
        <v>1081</v>
      </c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</row>
    <row r="12" ht="13.5" customHeight="1" outlineLevel="1">
      <c r="A12" s="105"/>
      <c r="B12" s="230" t="s">
        <v>18</v>
      </c>
      <c r="C12" s="231" t="s">
        <v>19</v>
      </c>
      <c r="D12" s="232">
        <f>'25.12월'!G12</f>
        <v>2844.25</v>
      </c>
      <c r="E12" s="361">
        <f t="shared" si="1"/>
        <v>0</v>
      </c>
      <c r="F12" s="362">
        <f t="shared" si="2"/>
        <v>0</v>
      </c>
      <c r="G12" s="329">
        <f t="shared" si="3"/>
        <v>2844.25</v>
      </c>
      <c r="H12" s="422">
        <f>G12*J3</f>
        <v>4188798.081</v>
      </c>
      <c r="I12" s="373"/>
      <c r="J12" s="105"/>
      <c r="K12" s="105"/>
      <c r="L12" s="83" t="s">
        <v>31</v>
      </c>
      <c r="M12" s="83" t="s">
        <v>32</v>
      </c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</row>
    <row r="13" ht="13.5" customHeight="1" outlineLevel="1">
      <c r="A13" s="105"/>
      <c r="B13" s="230" t="s">
        <v>22</v>
      </c>
      <c r="C13" s="231" t="s">
        <v>23</v>
      </c>
      <c r="D13" s="232">
        <f>'25.12월'!G13</f>
        <v>0</v>
      </c>
      <c r="E13" s="363">
        <f t="shared" si="1"/>
        <v>0</v>
      </c>
      <c r="F13" s="364">
        <f t="shared" si="2"/>
        <v>0</v>
      </c>
      <c r="G13" s="320">
        <f t="shared" si="3"/>
        <v>0</v>
      </c>
      <c r="H13" s="441"/>
      <c r="I13" s="421"/>
      <c r="J13" s="105"/>
      <c r="K13" s="105"/>
      <c r="L13" s="83" t="s">
        <v>20</v>
      </c>
      <c r="M13" s="83" t="s">
        <v>21</v>
      </c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</row>
    <row r="14" ht="13.5" customHeight="1" outlineLevel="1">
      <c r="A14" s="105"/>
      <c r="B14" s="230" t="s">
        <v>26</v>
      </c>
      <c r="C14" s="231" t="s">
        <v>15</v>
      </c>
      <c r="D14" s="381">
        <f>'25.12월'!G14</f>
        <v>0</v>
      </c>
      <c r="E14" s="365">
        <f t="shared" si="1"/>
        <v>0</v>
      </c>
      <c r="F14" s="360">
        <f t="shared" si="2"/>
        <v>0</v>
      </c>
      <c r="G14" s="239">
        <f t="shared" si="3"/>
        <v>0</v>
      </c>
      <c r="I14" s="105"/>
      <c r="J14" s="105"/>
      <c r="K14" s="105"/>
      <c r="L14" s="83" t="s">
        <v>12</v>
      </c>
      <c r="M14" s="83" t="s">
        <v>13</v>
      </c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</row>
    <row r="15" ht="13.5" customHeight="1" outlineLevel="1">
      <c r="A15" s="105"/>
      <c r="B15" s="230" t="s">
        <v>746</v>
      </c>
      <c r="C15" s="231" t="s">
        <v>19</v>
      </c>
      <c r="D15" s="232">
        <f>'25.12월'!G15</f>
        <v>0</v>
      </c>
      <c r="E15" s="361">
        <f t="shared" si="1"/>
        <v>0</v>
      </c>
      <c r="F15" s="358">
        <f t="shared" si="2"/>
        <v>0</v>
      </c>
      <c r="G15" s="235">
        <f t="shared" si="3"/>
        <v>0</v>
      </c>
      <c r="H15" s="351"/>
      <c r="I15" s="105"/>
      <c r="J15" s="105"/>
      <c r="K15" s="105"/>
      <c r="L15" s="83" t="s">
        <v>39</v>
      </c>
      <c r="M15" s="84" t="s">
        <v>40</v>
      </c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</row>
    <row r="16" ht="13.5" customHeight="1" outlineLevel="1">
      <c r="A16" s="105"/>
      <c r="B16" s="305" t="s">
        <v>747</v>
      </c>
      <c r="C16" s="306" t="s">
        <v>23</v>
      </c>
      <c r="D16" s="366">
        <f>'25.12월'!G16</f>
        <v>0</v>
      </c>
      <c r="E16" s="366">
        <f t="shared" si="1"/>
        <v>0</v>
      </c>
      <c r="F16" s="367">
        <f t="shared" si="2"/>
        <v>0</v>
      </c>
      <c r="G16" s="310">
        <f t="shared" si="3"/>
        <v>0</v>
      </c>
      <c r="H16" s="441"/>
      <c r="I16" s="105"/>
      <c r="J16" s="105"/>
      <c r="K16" s="105"/>
      <c r="L16" s="83" t="s">
        <v>29</v>
      </c>
      <c r="M16" s="83" t="s">
        <v>30</v>
      </c>
      <c r="N16" s="99"/>
      <c r="O16" s="99"/>
      <c r="P16" s="99"/>
      <c r="Q16" s="99"/>
      <c r="R16" s="99"/>
      <c r="S16" s="99"/>
      <c r="T16" s="99"/>
      <c r="U16" s="99"/>
      <c r="V16" s="99"/>
      <c r="W16" s="99"/>
      <c r="X16" s="99"/>
      <c r="Y16" s="99"/>
    </row>
    <row r="17" ht="13.5" customHeight="1" outlineLevel="1">
      <c r="A17" s="105"/>
      <c r="B17" s="406" t="s">
        <v>1962</v>
      </c>
      <c r="C17" s="407" t="s">
        <v>19</v>
      </c>
      <c r="D17" s="408">
        <f>'25.12월'!G17</f>
        <v>115.385998</v>
      </c>
      <c r="E17" s="409">
        <f t="shared" si="1"/>
        <v>0</v>
      </c>
      <c r="F17" s="410">
        <f t="shared" si="2"/>
        <v>0</v>
      </c>
      <c r="G17" s="411">
        <f t="shared" si="3"/>
        <v>115.385998</v>
      </c>
      <c r="H17" s="352" t="s">
        <v>11</v>
      </c>
      <c r="I17" s="352" t="s">
        <v>8</v>
      </c>
      <c r="J17" s="105"/>
      <c r="K17" s="105"/>
      <c r="L17" s="83" t="s">
        <v>33</v>
      </c>
      <c r="M17" s="84" t="s">
        <v>34</v>
      </c>
      <c r="N17" s="99"/>
      <c r="O17" s="99"/>
      <c r="P17" s="99"/>
      <c r="Q17" s="99"/>
      <c r="R17" s="99"/>
      <c r="S17" s="99"/>
      <c r="T17" s="99"/>
      <c r="U17" s="99"/>
      <c r="V17" s="99"/>
      <c r="W17" s="99"/>
      <c r="X17" s="99"/>
      <c r="Y17" s="99"/>
    </row>
    <row r="18" outlineLevel="1">
      <c r="A18" s="109"/>
      <c r="B18" s="259" t="s">
        <v>35</v>
      </c>
      <c r="C18" s="260"/>
      <c r="D18" s="261">
        <f t="shared" ref="D18:G18" si="4">D5+D7+D14+D9+D10</f>
        <v>48137294</v>
      </c>
      <c r="E18" s="262">
        <f t="shared" si="4"/>
        <v>95266141</v>
      </c>
      <c r="F18" s="263">
        <f t="shared" si="4"/>
        <v>138391236</v>
      </c>
      <c r="G18" s="345">
        <f t="shared" si="4"/>
        <v>5012199</v>
      </c>
      <c r="H18" s="353">
        <f>G18</f>
        <v>5012199</v>
      </c>
      <c r="I18" s="353">
        <f>D18</f>
        <v>48137294</v>
      </c>
      <c r="J18" s="133"/>
      <c r="K18" s="133"/>
      <c r="L18" s="83" t="s">
        <v>75</v>
      </c>
      <c r="M18" s="83" t="s">
        <v>76</v>
      </c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</row>
    <row r="19" outlineLevel="1">
      <c r="A19" s="109"/>
      <c r="B19" s="266" t="s">
        <v>38</v>
      </c>
      <c r="C19" s="267"/>
      <c r="D19" s="268">
        <f t="shared" ref="D19:G19" si="5">D6+D8+D12+D15+D11+D17</f>
        <v>2962.095998</v>
      </c>
      <c r="E19" s="269">
        <f t="shared" si="5"/>
        <v>0</v>
      </c>
      <c r="F19" s="270">
        <f t="shared" si="5"/>
        <v>0</v>
      </c>
      <c r="G19" s="346">
        <f t="shared" si="5"/>
        <v>2962.095998</v>
      </c>
      <c r="H19" s="265">
        <f>rounddown(G19*$J$3,0)</f>
        <v>4362352</v>
      </c>
      <c r="I19" s="265">
        <f>rounddown(D19*$J$3,0)</f>
        <v>4362352</v>
      </c>
      <c r="J19" s="134"/>
      <c r="K19" s="134"/>
      <c r="L19" s="83" t="s">
        <v>27</v>
      </c>
      <c r="M19" s="83" t="s">
        <v>28</v>
      </c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</row>
    <row r="20" outlineLevel="1">
      <c r="A20" s="109"/>
      <c r="B20" s="272" t="s">
        <v>677</v>
      </c>
      <c r="C20" s="273"/>
      <c r="D20" s="274">
        <f t="shared" ref="D20:G20" si="6">D13+D16</f>
        <v>0</v>
      </c>
      <c r="E20" s="274">
        <f t="shared" si="6"/>
        <v>0</v>
      </c>
      <c r="F20" s="275">
        <f t="shared" si="6"/>
        <v>0</v>
      </c>
      <c r="G20" s="347">
        <f t="shared" si="6"/>
        <v>0</v>
      </c>
      <c r="H20" s="277">
        <f>rounddown(G20*$J$4,0)</f>
        <v>0</v>
      </c>
      <c r="I20" s="277">
        <f>rounddown(D20*$J$4,0)</f>
        <v>0</v>
      </c>
      <c r="J20" s="103"/>
      <c r="K20" s="103"/>
      <c r="L20" s="83" t="s">
        <v>930</v>
      </c>
      <c r="M20" s="83" t="s">
        <v>931</v>
      </c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</row>
    <row r="21" outlineLevel="1">
      <c r="A21" s="109"/>
      <c r="B21" s="181"/>
      <c r="C21" s="181"/>
      <c r="D21" s="278"/>
      <c r="E21" s="278"/>
      <c r="F21" s="278"/>
      <c r="G21" s="278"/>
      <c r="H21" s="279">
        <f t="shared" ref="H21:I21" si="7">SUM(H18:H20)</f>
        <v>9374551</v>
      </c>
      <c r="I21" s="279">
        <f t="shared" si="7"/>
        <v>52499646</v>
      </c>
      <c r="J21" s="103"/>
      <c r="K21" s="103"/>
      <c r="L21" s="83" t="s">
        <v>945</v>
      </c>
      <c r="M21" s="84" t="s">
        <v>78</v>
      </c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</row>
    <row r="22" ht="13.5" customHeight="1">
      <c r="A22" s="471"/>
      <c r="B22" s="280"/>
      <c r="C22" s="280"/>
      <c r="D22" s="280"/>
      <c r="E22" s="311"/>
      <c r="F22" s="311"/>
      <c r="G22" s="280"/>
      <c r="H22" s="336">
        <f>H21-I21</f>
        <v>-43125095</v>
      </c>
      <c r="I22" s="138"/>
      <c r="J22" s="99"/>
      <c r="K22" s="99"/>
      <c r="L22" s="83" t="s">
        <v>1327</v>
      </c>
      <c r="M22" s="84" t="s">
        <v>1328</v>
      </c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</row>
    <row r="23" ht="13.5" customHeight="1">
      <c r="A23" s="103"/>
      <c r="B23" s="136" t="s">
        <v>43</v>
      </c>
      <c r="C23" s="136"/>
      <c r="D23" s="136"/>
      <c r="E23" s="137"/>
      <c r="F23" s="137"/>
      <c r="G23" s="136"/>
      <c r="H23" s="280">
        <f>H22/J3</f>
        <v>-29282.5171</v>
      </c>
      <c r="I23" s="138"/>
      <c r="J23" s="99"/>
      <c r="K23" s="99"/>
      <c r="L23" s="83" t="s">
        <v>1385</v>
      </c>
      <c r="M23" s="84" t="s">
        <v>1386</v>
      </c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</row>
    <row r="24" ht="13.5" customHeight="1">
      <c r="A24" s="115"/>
      <c r="B24" s="182" t="s">
        <v>6</v>
      </c>
      <c r="C24" s="182" t="s">
        <v>44</v>
      </c>
      <c r="D24" s="182" t="s">
        <v>45</v>
      </c>
      <c r="E24" s="182" t="s">
        <v>46</v>
      </c>
      <c r="F24" s="182" t="s">
        <v>47</v>
      </c>
      <c r="G24" s="183" t="s">
        <v>48</v>
      </c>
      <c r="H24" s="182" t="s">
        <v>1</v>
      </c>
      <c r="I24" s="141"/>
      <c r="J24" s="107"/>
      <c r="K24" s="99"/>
      <c r="L24" s="83" t="s">
        <v>1554</v>
      </c>
      <c r="M24" s="84" t="s">
        <v>1554</v>
      </c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</row>
    <row r="25" ht="15.0" customHeight="1">
      <c r="A25" s="105"/>
      <c r="B25" s="350" t="s">
        <v>14</v>
      </c>
      <c r="C25" s="374" t="s">
        <v>2593</v>
      </c>
      <c r="D25" s="323" t="s">
        <v>1981</v>
      </c>
      <c r="E25" s="325"/>
      <c r="F25" s="325">
        <v>4.6E7</v>
      </c>
      <c r="G25" s="327" t="s">
        <v>1035</v>
      </c>
      <c r="H25" s="328" t="s">
        <v>556</v>
      </c>
      <c r="I25" s="107"/>
      <c r="J25" s="141"/>
      <c r="K25" s="138"/>
      <c r="L25" s="83" t="s">
        <v>1555</v>
      </c>
      <c r="M25" s="84" t="s">
        <v>1555</v>
      </c>
      <c r="N25" s="99"/>
      <c r="O25" s="99"/>
      <c r="P25" s="99"/>
      <c r="Q25" s="99"/>
      <c r="R25" s="99"/>
      <c r="S25" s="99"/>
      <c r="T25" s="99"/>
      <c r="U25" s="99"/>
      <c r="V25" s="99"/>
      <c r="W25" s="99"/>
      <c r="X25" s="99"/>
      <c r="Y25" s="99"/>
    </row>
    <row r="26" ht="15.0" customHeight="1">
      <c r="A26" s="105"/>
      <c r="B26" s="350" t="s">
        <v>14</v>
      </c>
      <c r="C26" s="374" t="s">
        <v>2593</v>
      </c>
      <c r="D26" s="323" t="s">
        <v>1120</v>
      </c>
      <c r="E26" s="425"/>
      <c r="F26" s="325">
        <v>500.0</v>
      </c>
      <c r="G26" s="327" t="s">
        <v>1119</v>
      </c>
      <c r="H26" s="328" t="s">
        <v>33</v>
      </c>
      <c r="I26" s="107"/>
      <c r="J26" s="141"/>
      <c r="K26" s="138"/>
      <c r="L26" s="83" t="s">
        <v>1640</v>
      </c>
      <c r="M26" s="84" t="s">
        <v>1640</v>
      </c>
      <c r="N26" s="99"/>
      <c r="O26" s="99"/>
      <c r="P26" s="99"/>
      <c r="Q26" s="99"/>
      <c r="R26" s="99"/>
      <c r="S26" s="99"/>
      <c r="T26" s="99"/>
      <c r="U26" s="99"/>
      <c r="V26" s="99"/>
      <c r="W26" s="99"/>
      <c r="X26" s="99"/>
      <c r="Y26" s="99"/>
    </row>
    <row r="27" ht="15.0" customHeight="1">
      <c r="A27" s="105"/>
      <c r="B27" s="350" t="s">
        <v>1582</v>
      </c>
      <c r="C27" s="374" t="s">
        <v>2593</v>
      </c>
      <c r="D27" s="323" t="s">
        <v>1981</v>
      </c>
      <c r="E27" s="325">
        <v>4.6E7</v>
      </c>
      <c r="F27" s="325"/>
      <c r="G27" s="327" t="s">
        <v>1035</v>
      </c>
      <c r="H27" s="328" t="s">
        <v>556</v>
      </c>
      <c r="I27" s="107"/>
      <c r="J27" s="141"/>
      <c r="K27" s="138"/>
      <c r="L27" s="83" t="s">
        <v>1589</v>
      </c>
      <c r="M27" s="84" t="s">
        <v>1590</v>
      </c>
      <c r="N27" s="99"/>
      <c r="O27" s="99"/>
      <c r="P27" s="99"/>
      <c r="Q27" s="99"/>
      <c r="R27" s="99"/>
      <c r="S27" s="99"/>
      <c r="T27" s="99"/>
      <c r="U27" s="99"/>
      <c r="V27" s="99"/>
      <c r="W27" s="99"/>
      <c r="X27" s="99"/>
      <c r="Y27" s="99"/>
    </row>
    <row r="28" ht="15.0" customHeight="1">
      <c r="A28" s="105"/>
      <c r="B28" s="350" t="s">
        <v>1582</v>
      </c>
      <c r="C28" s="374" t="s">
        <v>2593</v>
      </c>
      <c r="D28" s="323" t="s">
        <v>2480</v>
      </c>
      <c r="E28" s="326">
        <v>4.73E7</v>
      </c>
      <c r="F28" s="326"/>
      <c r="G28" s="327" t="s">
        <v>2594</v>
      </c>
      <c r="H28" s="286" t="s">
        <v>77</v>
      </c>
      <c r="I28" s="107"/>
      <c r="J28" s="141"/>
      <c r="K28" s="138"/>
      <c r="L28" s="83" t="s">
        <v>1642</v>
      </c>
      <c r="M28" s="84" t="s">
        <v>1643</v>
      </c>
      <c r="N28" s="99"/>
      <c r="O28" s="99"/>
      <c r="P28" s="99"/>
      <c r="Q28" s="99"/>
      <c r="R28" s="99"/>
      <c r="S28" s="99"/>
      <c r="T28" s="99"/>
      <c r="U28" s="99"/>
      <c r="V28" s="99"/>
      <c r="W28" s="99"/>
      <c r="X28" s="99"/>
      <c r="Y28" s="99"/>
    </row>
    <row r="29" ht="15.0" customHeight="1">
      <c r="A29" s="105"/>
      <c r="B29" s="350" t="s">
        <v>1582</v>
      </c>
      <c r="C29" s="374" t="s">
        <v>2593</v>
      </c>
      <c r="D29" s="323" t="s">
        <v>2584</v>
      </c>
      <c r="E29" s="425"/>
      <c r="F29" s="325">
        <v>6.4374538E7</v>
      </c>
      <c r="G29" s="327" t="s">
        <v>2595</v>
      </c>
      <c r="H29" s="328" t="s">
        <v>41</v>
      </c>
      <c r="I29" s="107"/>
      <c r="J29" s="141"/>
      <c r="K29" s="138"/>
      <c r="L29" s="83" t="s">
        <v>1265</v>
      </c>
      <c r="M29" s="84" t="s">
        <v>1726</v>
      </c>
      <c r="N29" s="99"/>
      <c r="O29" s="99"/>
      <c r="P29" s="99"/>
      <c r="Q29" s="99"/>
      <c r="R29" s="99"/>
      <c r="S29" s="99"/>
      <c r="T29" s="99"/>
      <c r="U29" s="99"/>
      <c r="V29" s="99"/>
      <c r="W29" s="99"/>
      <c r="X29" s="99"/>
      <c r="Y29" s="99"/>
    </row>
    <row r="30" ht="15.0" customHeight="1">
      <c r="A30" s="105"/>
      <c r="B30" s="350" t="s">
        <v>1582</v>
      </c>
      <c r="C30" s="374" t="s">
        <v>2593</v>
      </c>
      <c r="D30" s="323" t="s">
        <v>1610</v>
      </c>
      <c r="E30" s="337"/>
      <c r="F30" s="414">
        <v>3989040.0</v>
      </c>
      <c r="G30" s="327" t="s">
        <v>2198</v>
      </c>
      <c r="H30" s="286" t="s">
        <v>33</v>
      </c>
      <c r="I30" s="107"/>
      <c r="J30" s="141"/>
      <c r="K30" s="138"/>
      <c r="L30" s="83" t="s">
        <v>2035</v>
      </c>
      <c r="M30" s="84" t="s">
        <v>2036</v>
      </c>
      <c r="N30" s="99"/>
      <c r="O30" s="99"/>
      <c r="P30" s="99"/>
      <c r="Q30" s="99"/>
      <c r="R30" s="99"/>
      <c r="S30" s="99"/>
      <c r="T30" s="99"/>
      <c r="U30" s="99"/>
      <c r="V30" s="99"/>
      <c r="W30" s="99"/>
      <c r="X30" s="99"/>
      <c r="Y30" s="99"/>
    </row>
    <row r="31" ht="15.0" customHeight="1">
      <c r="A31" s="105"/>
      <c r="B31" s="350" t="s">
        <v>1582</v>
      </c>
      <c r="C31" s="374" t="s">
        <v>2593</v>
      </c>
      <c r="D31" s="323" t="s">
        <v>2596</v>
      </c>
      <c r="E31" s="425"/>
      <c r="F31" s="325">
        <v>3300000.0</v>
      </c>
      <c r="G31" s="327" t="s">
        <v>2597</v>
      </c>
      <c r="H31" s="286" t="s">
        <v>33</v>
      </c>
      <c r="I31" s="107"/>
      <c r="J31" s="141"/>
      <c r="K31" s="138"/>
      <c r="L31" s="83" t="s">
        <v>1207</v>
      </c>
      <c r="M31" s="83" t="s">
        <v>1207</v>
      </c>
      <c r="N31" s="99"/>
      <c r="O31" s="99"/>
      <c r="P31" s="99"/>
      <c r="Q31" s="99"/>
      <c r="R31" s="99"/>
      <c r="S31" s="99"/>
      <c r="T31" s="99"/>
      <c r="U31" s="99"/>
      <c r="V31" s="99"/>
      <c r="W31" s="99"/>
      <c r="X31" s="99"/>
      <c r="Y31" s="99"/>
    </row>
    <row r="32" ht="15.0" customHeight="1">
      <c r="A32" s="105"/>
      <c r="B32" s="350" t="s">
        <v>1582</v>
      </c>
      <c r="C32" s="374" t="s">
        <v>2593</v>
      </c>
      <c r="D32" s="413" t="s">
        <v>2598</v>
      </c>
      <c r="E32" s="337"/>
      <c r="F32" s="325">
        <v>1606000.0</v>
      </c>
      <c r="G32" s="415" t="s">
        <v>2599</v>
      </c>
      <c r="H32" s="286" t="s">
        <v>33</v>
      </c>
      <c r="I32" s="107"/>
      <c r="J32" s="141"/>
      <c r="K32" s="138"/>
      <c r="L32" s="83" t="s">
        <v>1970</v>
      </c>
      <c r="M32" s="84"/>
      <c r="N32" s="99"/>
      <c r="O32" s="99"/>
      <c r="P32" s="99"/>
      <c r="Q32" s="99"/>
      <c r="R32" s="99"/>
      <c r="S32" s="99"/>
      <c r="T32" s="99"/>
      <c r="U32" s="99"/>
      <c r="V32" s="99"/>
      <c r="W32" s="99"/>
      <c r="X32" s="99"/>
      <c r="Y32" s="99"/>
    </row>
    <row r="33" ht="15.0" customHeight="1">
      <c r="A33" s="105"/>
      <c r="B33" s="350" t="s">
        <v>1582</v>
      </c>
      <c r="C33" s="323" t="s">
        <v>2600</v>
      </c>
      <c r="D33" s="413" t="s">
        <v>1297</v>
      </c>
      <c r="E33" s="337"/>
      <c r="F33" s="325">
        <v>398660.0</v>
      </c>
      <c r="G33" s="415" t="s">
        <v>1593</v>
      </c>
      <c r="H33" s="286" t="s">
        <v>31</v>
      </c>
      <c r="I33" s="107"/>
      <c r="J33" s="141"/>
      <c r="K33" s="138"/>
      <c r="L33" s="83" t="s">
        <v>2563</v>
      </c>
      <c r="M33" s="84"/>
      <c r="N33" s="99"/>
      <c r="O33" s="99"/>
      <c r="P33" s="99"/>
      <c r="Q33" s="99"/>
      <c r="R33" s="99"/>
      <c r="S33" s="99"/>
      <c r="T33" s="99"/>
      <c r="U33" s="99"/>
      <c r="V33" s="99"/>
      <c r="W33" s="99"/>
      <c r="X33" s="99"/>
      <c r="Y33" s="99"/>
    </row>
    <row r="34" ht="15.0" customHeight="1">
      <c r="A34" s="105"/>
      <c r="B34" s="350" t="s">
        <v>1582</v>
      </c>
      <c r="C34" s="323" t="s">
        <v>2600</v>
      </c>
      <c r="D34" s="413" t="s">
        <v>1297</v>
      </c>
      <c r="E34" s="337"/>
      <c r="F34" s="325">
        <v>3526540.0</v>
      </c>
      <c r="G34" s="415" t="s">
        <v>1593</v>
      </c>
      <c r="H34" s="286" t="s">
        <v>31</v>
      </c>
      <c r="I34" s="107"/>
      <c r="J34" s="141"/>
      <c r="K34" s="138"/>
      <c r="L34" s="83"/>
      <c r="M34" s="84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</row>
    <row r="35" ht="15.0" customHeight="1">
      <c r="A35" s="105"/>
      <c r="B35" s="350" t="s">
        <v>1582</v>
      </c>
      <c r="C35" s="323" t="s">
        <v>2600</v>
      </c>
      <c r="D35" s="413" t="s">
        <v>1299</v>
      </c>
      <c r="E35" s="337"/>
      <c r="F35" s="325">
        <v>392500.0</v>
      </c>
      <c r="G35" s="415" t="s">
        <v>1594</v>
      </c>
      <c r="H35" s="286" t="s">
        <v>31</v>
      </c>
      <c r="I35" s="107"/>
      <c r="J35" s="141"/>
      <c r="K35" s="138"/>
      <c r="L35" s="83"/>
      <c r="M35" s="84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</row>
    <row r="36" ht="15.0" customHeight="1">
      <c r="A36" s="105"/>
      <c r="B36" s="350" t="s">
        <v>1582</v>
      </c>
      <c r="C36" s="323" t="s">
        <v>2600</v>
      </c>
      <c r="D36" s="413" t="s">
        <v>2398</v>
      </c>
      <c r="E36" s="337"/>
      <c r="F36" s="325">
        <v>139770.0</v>
      </c>
      <c r="G36" s="415" t="s">
        <v>2398</v>
      </c>
      <c r="H36" s="286" t="s">
        <v>31</v>
      </c>
      <c r="I36" s="107"/>
      <c r="J36" s="141"/>
      <c r="K36" s="138"/>
      <c r="L36" s="83"/>
      <c r="M36" s="84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</row>
    <row r="37" ht="15.0" customHeight="1">
      <c r="A37" s="105"/>
      <c r="B37" s="350" t="s">
        <v>1582</v>
      </c>
      <c r="C37" s="323" t="s">
        <v>2600</v>
      </c>
      <c r="D37" s="413" t="s">
        <v>2399</v>
      </c>
      <c r="E37" s="337"/>
      <c r="F37" s="325">
        <v>950640.0</v>
      </c>
      <c r="G37" s="415" t="s">
        <v>2399</v>
      </c>
      <c r="H37" s="286" t="s">
        <v>31</v>
      </c>
      <c r="I37" s="107"/>
      <c r="J37" s="141"/>
      <c r="K37" s="138"/>
      <c r="L37" s="83"/>
      <c r="M37" s="84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</row>
    <row r="38" ht="15.0" customHeight="1">
      <c r="A38" s="105"/>
      <c r="B38" s="350" t="s">
        <v>1582</v>
      </c>
      <c r="C38" s="323" t="s">
        <v>2600</v>
      </c>
      <c r="D38" s="413" t="s">
        <v>2400</v>
      </c>
      <c r="E38" s="337"/>
      <c r="F38" s="325">
        <v>398440.0</v>
      </c>
      <c r="G38" s="415" t="s">
        <v>2400</v>
      </c>
      <c r="H38" s="286" t="s">
        <v>31</v>
      </c>
      <c r="I38" s="107"/>
      <c r="J38" s="141"/>
      <c r="K38" s="138"/>
      <c r="L38" s="83"/>
      <c r="M38" s="84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</row>
    <row r="39" ht="15.0" customHeight="1">
      <c r="A39" s="105"/>
      <c r="B39" s="350" t="s">
        <v>1582</v>
      </c>
      <c r="C39" s="323" t="s">
        <v>2600</v>
      </c>
      <c r="D39" s="413" t="s">
        <v>2401</v>
      </c>
      <c r="E39" s="337"/>
      <c r="F39" s="325">
        <v>2335060.0</v>
      </c>
      <c r="G39" s="415" t="s">
        <v>2401</v>
      </c>
      <c r="H39" s="286" t="s">
        <v>31</v>
      </c>
      <c r="I39" s="107"/>
      <c r="J39" s="141"/>
      <c r="K39" s="138"/>
      <c r="L39" s="83"/>
      <c r="M39" s="83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</row>
    <row r="40" ht="15.0" customHeight="1">
      <c r="A40" s="105"/>
      <c r="B40" s="350" t="s">
        <v>552</v>
      </c>
      <c r="C40" s="323" t="s">
        <v>2601</v>
      </c>
      <c r="D40" s="323" t="s">
        <v>1981</v>
      </c>
      <c r="E40" s="325"/>
      <c r="F40" s="325">
        <v>316712.0</v>
      </c>
      <c r="G40" s="327" t="s">
        <v>1035</v>
      </c>
      <c r="H40" s="328" t="s">
        <v>556</v>
      </c>
      <c r="I40" s="107"/>
      <c r="J40" s="141"/>
      <c r="K40" s="138"/>
      <c r="L40" s="83"/>
      <c r="M40" s="84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</row>
    <row r="41" ht="15.0" customHeight="1">
      <c r="A41" s="105"/>
      <c r="B41" s="350" t="s">
        <v>552</v>
      </c>
      <c r="C41" s="323" t="s">
        <v>2601</v>
      </c>
      <c r="D41" s="323" t="s">
        <v>1115</v>
      </c>
      <c r="E41" s="425"/>
      <c r="F41" s="325">
        <v>500.0</v>
      </c>
      <c r="G41" s="327" t="s">
        <v>1119</v>
      </c>
      <c r="H41" s="328" t="s">
        <v>33</v>
      </c>
      <c r="I41" s="107"/>
      <c r="J41" s="141"/>
      <c r="K41" s="138"/>
      <c r="L41" s="83"/>
      <c r="M41" s="84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</row>
    <row r="42" ht="15.0" customHeight="1">
      <c r="A42" s="105"/>
      <c r="B42" s="350" t="s">
        <v>1582</v>
      </c>
      <c r="C42" s="323" t="s">
        <v>2601</v>
      </c>
      <c r="D42" s="323" t="s">
        <v>1981</v>
      </c>
      <c r="E42" s="325">
        <v>316712.0</v>
      </c>
      <c r="F42" s="325"/>
      <c r="G42" s="327" t="s">
        <v>1035</v>
      </c>
      <c r="H42" s="328" t="s">
        <v>556</v>
      </c>
      <c r="I42" s="107"/>
      <c r="J42" s="141"/>
      <c r="K42" s="138"/>
      <c r="L42" s="83"/>
      <c r="M42" s="84"/>
      <c r="N42" s="99"/>
      <c r="O42" s="99"/>
      <c r="P42" s="99"/>
      <c r="Q42" s="99"/>
      <c r="R42" s="99"/>
      <c r="S42" s="99"/>
      <c r="T42" s="99"/>
      <c r="U42" s="99"/>
      <c r="V42" s="99"/>
      <c r="W42" s="99"/>
      <c r="X42" s="99"/>
      <c r="Y42" s="99"/>
    </row>
    <row r="43" ht="15.0" customHeight="1">
      <c r="A43" s="105"/>
      <c r="B43" s="350" t="s">
        <v>14</v>
      </c>
      <c r="C43" s="323" t="s">
        <v>2601</v>
      </c>
      <c r="D43" s="323" t="s">
        <v>1981</v>
      </c>
      <c r="E43" s="325"/>
      <c r="F43" s="325">
        <v>1649429.0</v>
      </c>
      <c r="G43" s="327" t="s">
        <v>1035</v>
      </c>
      <c r="H43" s="328" t="s">
        <v>556</v>
      </c>
      <c r="I43" s="107"/>
      <c r="J43" s="141"/>
      <c r="K43" s="138"/>
      <c r="L43" s="83"/>
      <c r="M43" s="84"/>
      <c r="N43" s="99"/>
      <c r="O43" s="99"/>
      <c r="P43" s="99"/>
      <c r="Q43" s="99"/>
      <c r="R43" s="99"/>
      <c r="S43" s="99"/>
      <c r="T43" s="99"/>
      <c r="U43" s="99"/>
      <c r="V43" s="99"/>
      <c r="W43" s="99"/>
      <c r="X43" s="99"/>
      <c r="Y43" s="99"/>
    </row>
    <row r="44" ht="15.0" customHeight="1">
      <c r="A44" s="105"/>
      <c r="B44" s="350" t="s">
        <v>14</v>
      </c>
      <c r="C44" s="323" t="s">
        <v>2601</v>
      </c>
      <c r="D44" s="323" t="s">
        <v>1120</v>
      </c>
      <c r="E44" s="425"/>
      <c r="F44" s="325">
        <v>500.0</v>
      </c>
      <c r="G44" s="327" t="s">
        <v>1119</v>
      </c>
      <c r="H44" s="328" t="s">
        <v>33</v>
      </c>
      <c r="I44" s="107"/>
      <c r="J44" s="141"/>
      <c r="K44" s="138"/>
      <c r="L44" s="83"/>
      <c r="M44" s="84"/>
      <c r="N44" s="99"/>
      <c r="O44" s="99"/>
      <c r="P44" s="99"/>
      <c r="Q44" s="99"/>
      <c r="R44" s="99"/>
      <c r="S44" s="99"/>
      <c r="T44" s="99"/>
      <c r="U44" s="99"/>
      <c r="V44" s="99"/>
      <c r="W44" s="99"/>
      <c r="X44" s="99"/>
      <c r="Y44" s="99"/>
    </row>
    <row r="45" ht="15.0" customHeight="1">
      <c r="A45" s="105"/>
      <c r="B45" s="350" t="s">
        <v>1582</v>
      </c>
      <c r="C45" s="323" t="s">
        <v>2601</v>
      </c>
      <c r="D45" s="323" t="s">
        <v>1981</v>
      </c>
      <c r="E45" s="325">
        <v>1649429.0</v>
      </c>
      <c r="F45" s="325"/>
      <c r="G45" s="327" t="s">
        <v>1035</v>
      </c>
      <c r="H45" s="328" t="s">
        <v>556</v>
      </c>
      <c r="I45" s="107"/>
      <c r="J45" s="141"/>
      <c r="K45" s="138"/>
      <c r="L45" s="83"/>
      <c r="M45" s="84"/>
      <c r="N45" s="99"/>
      <c r="O45" s="99"/>
      <c r="P45" s="99"/>
      <c r="Q45" s="99"/>
      <c r="R45" s="99"/>
      <c r="S45" s="99"/>
      <c r="T45" s="99"/>
      <c r="U45" s="99"/>
      <c r="V45" s="99"/>
      <c r="W45" s="99"/>
      <c r="X45" s="99"/>
      <c r="Y45" s="99"/>
    </row>
    <row r="46" ht="15.0" customHeight="1">
      <c r="A46" s="105"/>
      <c r="B46" s="350" t="s">
        <v>1582</v>
      </c>
      <c r="C46" s="323" t="s">
        <v>2601</v>
      </c>
      <c r="D46" s="323" t="s">
        <v>84</v>
      </c>
      <c r="E46" s="326"/>
      <c r="F46" s="325">
        <v>1352219.0</v>
      </c>
      <c r="G46" s="354" t="s">
        <v>1660</v>
      </c>
      <c r="H46" s="450" t="s">
        <v>1642</v>
      </c>
      <c r="I46" s="107"/>
      <c r="J46" s="141"/>
      <c r="K46" s="138"/>
      <c r="L46" s="83"/>
      <c r="M46" s="84"/>
      <c r="N46" s="99"/>
      <c r="O46" s="99"/>
      <c r="P46" s="99"/>
      <c r="Q46" s="99"/>
      <c r="R46" s="99"/>
      <c r="S46" s="99"/>
      <c r="T46" s="99"/>
      <c r="U46" s="99"/>
      <c r="V46" s="99"/>
      <c r="W46" s="99"/>
      <c r="X46" s="99"/>
      <c r="Y46" s="99"/>
    </row>
    <row r="47" ht="15.0" customHeight="1">
      <c r="A47" s="105"/>
      <c r="B47" s="350" t="s">
        <v>1582</v>
      </c>
      <c r="C47" s="323" t="s">
        <v>2601</v>
      </c>
      <c r="D47" s="323" t="s">
        <v>1991</v>
      </c>
      <c r="E47" s="337"/>
      <c r="F47" s="325">
        <v>7660188.0</v>
      </c>
      <c r="G47" s="327" t="s">
        <v>2602</v>
      </c>
      <c r="H47" s="286" t="s">
        <v>33</v>
      </c>
      <c r="I47" s="107"/>
      <c r="J47" s="141"/>
      <c r="K47" s="138"/>
      <c r="L47" s="83"/>
      <c r="M47" s="84"/>
      <c r="N47" s="99"/>
      <c r="O47" s="99"/>
      <c r="P47" s="99"/>
      <c r="Q47" s="99"/>
      <c r="R47" s="99"/>
      <c r="S47" s="99"/>
      <c r="T47" s="99"/>
      <c r="U47" s="99"/>
      <c r="V47" s="99"/>
      <c r="W47" s="99"/>
      <c r="X47" s="99"/>
      <c r="Y47" s="99"/>
    </row>
    <row r="48" ht="15.0" customHeight="1">
      <c r="A48" s="105"/>
      <c r="B48" s="350"/>
      <c r="C48" s="323"/>
      <c r="D48" s="323"/>
      <c r="E48" s="337"/>
      <c r="F48" s="414"/>
      <c r="G48" s="327"/>
      <c r="H48" s="286"/>
      <c r="I48" s="107"/>
      <c r="J48" s="141"/>
      <c r="K48" s="138"/>
      <c r="L48" s="83"/>
      <c r="M48" s="84"/>
      <c r="N48" s="99"/>
      <c r="O48" s="99"/>
      <c r="P48" s="99"/>
      <c r="Q48" s="99"/>
      <c r="R48" s="99"/>
      <c r="S48" s="99"/>
      <c r="T48" s="99"/>
      <c r="U48" s="99"/>
      <c r="V48" s="99"/>
      <c r="W48" s="99"/>
      <c r="X48" s="99"/>
      <c r="Y48" s="99"/>
    </row>
    <row r="49" ht="15.0" customHeight="1">
      <c r="A49" s="105"/>
      <c r="B49" s="350"/>
      <c r="C49" s="323"/>
      <c r="D49" s="323"/>
      <c r="E49" s="371"/>
      <c r="F49" s="424"/>
      <c r="G49" s="327"/>
      <c r="H49" s="286"/>
      <c r="I49" s="107"/>
      <c r="J49" s="141"/>
      <c r="K49" s="138"/>
      <c r="L49" s="83"/>
      <c r="M49" s="84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</row>
    <row r="50" ht="15.0" customHeight="1">
      <c r="A50" s="105"/>
      <c r="B50" s="350"/>
      <c r="C50" s="323"/>
      <c r="D50" s="323"/>
      <c r="E50" s="371"/>
      <c r="F50" s="424"/>
      <c r="G50" s="327"/>
      <c r="H50" s="286"/>
      <c r="I50" s="107"/>
      <c r="J50" s="141"/>
      <c r="K50" s="138"/>
      <c r="L50" s="83"/>
      <c r="M50" s="84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</row>
    <row r="51" ht="15.0" customHeight="1">
      <c r="A51" s="105"/>
      <c r="B51" s="350"/>
      <c r="C51" s="323"/>
      <c r="D51" s="323"/>
      <c r="E51" s="371"/>
      <c r="F51" s="424"/>
      <c r="G51" s="327"/>
      <c r="H51" s="286"/>
      <c r="I51" s="107"/>
      <c r="J51" s="141"/>
      <c r="K51" s="138"/>
      <c r="L51" s="83"/>
      <c r="M51" s="84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</row>
    <row r="52" ht="15.0" customHeight="1">
      <c r="A52" s="105"/>
      <c r="B52" s="350"/>
      <c r="C52" s="323"/>
      <c r="D52" s="323"/>
      <c r="E52" s="371"/>
      <c r="F52" s="424"/>
      <c r="G52" s="327"/>
      <c r="H52" s="286"/>
      <c r="I52" s="107"/>
      <c r="J52" s="141"/>
      <c r="K52" s="138"/>
      <c r="L52" s="83"/>
      <c r="M52" s="84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</row>
    <row r="53" ht="15.0" customHeight="1">
      <c r="A53" s="105"/>
      <c r="B53" s="350"/>
      <c r="C53" s="323"/>
      <c r="D53" s="323"/>
      <c r="E53" s="337"/>
      <c r="F53" s="325"/>
      <c r="G53" s="327"/>
      <c r="H53" s="286"/>
      <c r="I53" s="107"/>
      <c r="J53" s="141"/>
      <c r="K53" s="138"/>
      <c r="L53" s="83"/>
      <c r="M53" s="84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</row>
    <row r="54" ht="15.0" customHeight="1">
      <c r="A54" s="105"/>
      <c r="B54" s="350"/>
      <c r="C54" s="323"/>
      <c r="D54" s="323"/>
      <c r="E54" s="337"/>
      <c r="F54" s="325"/>
      <c r="G54" s="327"/>
      <c r="H54" s="286"/>
      <c r="I54" s="107"/>
      <c r="J54" s="141"/>
      <c r="K54" s="138"/>
      <c r="L54" s="83"/>
      <c r="M54" s="84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</row>
    <row r="55" ht="15.0" customHeight="1">
      <c r="A55" s="105"/>
      <c r="B55" s="350"/>
      <c r="C55" s="323"/>
      <c r="D55" s="323"/>
      <c r="E55" s="371"/>
      <c r="F55" s="424"/>
      <c r="G55" s="327"/>
      <c r="H55" s="286"/>
      <c r="I55" s="107"/>
      <c r="J55" s="141"/>
      <c r="K55" s="138"/>
      <c r="L55" s="83"/>
      <c r="M55" s="84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</row>
    <row r="56" ht="15.0" customHeight="1">
      <c r="A56" s="105"/>
      <c r="B56" s="350"/>
      <c r="C56" s="323"/>
      <c r="D56" s="323"/>
      <c r="E56" s="326"/>
      <c r="F56" s="326"/>
      <c r="G56" s="327"/>
      <c r="H56" s="286"/>
      <c r="I56" s="107"/>
      <c r="J56" s="141"/>
      <c r="K56" s="138"/>
      <c r="L56" s="83"/>
      <c r="M56" s="84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</row>
    <row r="57" ht="15.0" customHeight="1">
      <c r="A57" s="105"/>
      <c r="B57" s="350"/>
      <c r="C57" s="323"/>
      <c r="D57" s="379"/>
      <c r="E57" s="455"/>
      <c r="F57" s="325"/>
      <c r="G57" s="354"/>
      <c r="H57" s="450"/>
      <c r="I57" s="107"/>
      <c r="J57" s="141"/>
      <c r="K57" s="138"/>
      <c r="L57" s="83"/>
      <c r="M57" s="84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</row>
    <row r="58" ht="15.0" customHeight="1">
      <c r="A58" s="105"/>
      <c r="B58" s="350"/>
      <c r="C58" s="323"/>
      <c r="D58" s="379"/>
      <c r="E58" s="455"/>
      <c r="F58" s="425"/>
      <c r="G58" s="354"/>
      <c r="H58" s="450"/>
      <c r="I58" s="107"/>
      <c r="J58" s="141"/>
      <c r="K58" s="138"/>
      <c r="L58" s="83"/>
      <c r="M58" s="84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</row>
    <row r="59" ht="15.0" customHeight="1">
      <c r="A59" s="105"/>
      <c r="B59" s="350"/>
      <c r="C59" s="323"/>
      <c r="D59" s="379"/>
      <c r="E59" s="425"/>
      <c r="F59" s="325"/>
      <c r="G59" s="354"/>
      <c r="H59" s="450"/>
      <c r="I59" s="107"/>
      <c r="J59" s="141"/>
      <c r="K59" s="138"/>
      <c r="L59" s="83"/>
      <c r="M59" s="84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</row>
    <row r="60" ht="15.0" customHeight="1">
      <c r="A60" s="105"/>
      <c r="B60" s="350"/>
      <c r="C60" s="323"/>
      <c r="D60" s="379"/>
      <c r="E60" s="425"/>
      <c r="F60" s="325"/>
      <c r="G60" s="354"/>
      <c r="H60" s="450"/>
      <c r="I60" s="107"/>
      <c r="J60" s="141"/>
      <c r="K60" s="138"/>
      <c r="L60" s="83"/>
      <c r="M60" s="84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</row>
    <row r="61" ht="15.0" customHeight="1">
      <c r="A61" s="105"/>
      <c r="B61" s="350"/>
      <c r="C61" s="323"/>
      <c r="D61" s="379"/>
      <c r="E61" s="425"/>
      <c r="F61" s="325"/>
      <c r="G61" s="354"/>
      <c r="H61" s="450"/>
      <c r="I61" s="107"/>
      <c r="J61" s="141"/>
      <c r="K61" s="138"/>
      <c r="L61" s="83"/>
      <c r="M61" s="84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</row>
    <row r="62" ht="15.0" customHeight="1">
      <c r="A62" s="105"/>
      <c r="B62" s="350"/>
      <c r="C62" s="374"/>
      <c r="D62" s="323"/>
      <c r="E62" s="325"/>
      <c r="F62" s="325"/>
      <c r="G62" s="327"/>
      <c r="H62" s="328"/>
      <c r="I62" s="107"/>
      <c r="J62" s="141"/>
      <c r="K62" s="138"/>
      <c r="L62" s="83"/>
      <c r="M62" s="84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</row>
    <row r="63" ht="15.0" customHeight="1">
      <c r="A63" s="105"/>
      <c r="B63" s="350"/>
      <c r="C63" s="374"/>
      <c r="D63" s="323"/>
      <c r="E63" s="325"/>
      <c r="F63" s="325"/>
      <c r="G63" s="327"/>
      <c r="H63" s="328"/>
      <c r="I63" s="107"/>
      <c r="J63" s="141"/>
      <c r="K63" s="138"/>
      <c r="L63" s="83"/>
      <c r="M63" s="84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</row>
    <row r="64" ht="15.0" customHeight="1">
      <c r="A64" s="105"/>
      <c r="B64" s="350"/>
      <c r="C64" s="323"/>
      <c r="D64" s="323"/>
      <c r="E64" s="455"/>
      <c r="F64" s="414"/>
      <c r="G64" s="327"/>
      <c r="H64" s="328"/>
      <c r="I64" s="107"/>
      <c r="J64" s="141"/>
      <c r="K64" s="138"/>
      <c r="L64" s="83"/>
      <c r="M64" s="84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</row>
    <row r="65" ht="15.0" customHeight="1">
      <c r="A65" s="105"/>
      <c r="B65" s="350"/>
      <c r="C65" s="323"/>
      <c r="D65" s="323"/>
      <c r="E65" s="325"/>
      <c r="F65" s="425"/>
      <c r="G65" s="327"/>
      <c r="H65" s="328"/>
      <c r="I65" s="107"/>
      <c r="J65" s="141"/>
      <c r="K65" s="138"/>
      <c r="L65" s="83"/>
      <c r="M65" s="84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</row>
    <row r="66" ht="15.0" customHeight="1">
      <c r="A66" s="105"/>
      <c r="B66" s="350"/>
      <c r="C66" s="323"/>
      <c r="D66" s="323"/>
      <c r="E66" s="325"/>
      <c r="F66" s="425"/>
      <c r="G66" s="327"/>
      <c r="H66" s="328"/>
      <c r="I66" s="107"/>
      <c r="J66" s="141"/>
      <c r="K66" s="138"/>
      <c r="L66" s="83"/>
      <c r="M66" s="84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</row>
    <row r="67" ht="15.0" customHeight="1">
      <c r="A67" s="105"/>
      <c r="B67" s="350"/>
      <c r="C67" s="323"/>
      <c r="D67" s="379"/>
      <c r="E67" s="455"/>
      <c r="F67" s="325"/>
      <c r="G67" s="354"/>
      <c r="H67" s="450"/>
      <c r="I67" s="107"/>
      <c r="J67" s="141"/>
      <c r="K67" s="138"/>
      <c r="L67" s="83"/>
      <c r="M67" s="84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</row>
    <row r="68" ht="15.0" customHeight="1">
      <c r="A68" s="105"/>
      <c r="B68" s="350"/>
      <c r="C68" s="323"/>
      <c r="D68" s="379"/>
      <c r="E68" s="455"/>
      <c r="F68" s="325"/>
      <c r="G68" s="354"/>
      <c r="H68" s="450"/>
      <c r="I68" s="107"/>
      <c r="J68" s="141"/>
      <c r="K68" s="138"/>
      <c r="L68" s="83"/>
      <c r="M68" s="84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</row>
    <row r="69" ht="15.0" customHeight="1">
      <c r="A69" s="105"/>
      <c r="B69" s="350"/>
      <c r="C69" s="323"/>
      <c r="D69" s="379"/>
      <c r="E69" s="455"/>
      <c r="F69" s="425"/>
      <c r="G69" s="354"/>
      <c r="H69" s="450"/>
      <c r="I69" s="107"/>
      <c r="J69" s="141"/>
      <c r="K69" s="138"/>
      <c r="L69" s="83"/>
      <c r="M69" s="84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</row>
    <row r="70" ht="15.0" customHeight="1">
      <c r="A70" s="105"/>
      <c r="B70" s="350"/>
      <c r="C70" s="323"/>
      <c r="D70" s="379"/>
      <c r="E70" s="425"/>
      <c r="F70" s="325"/>
      <c r="G70" s="354"/>
      <c r="H70" s="450"/>
      <c r="I70" s="107"/>
      <c r="J70" s="141"/>
      <c r="K70" s="138"/>
      <c r="L70" s="83"/>
      <c r="M70" s="84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</row>
    <row r="71" ht="15.0" customHeight="1">
      <c r="A71" s="105"/>
      <c r="B71" s="350"/>
      <c r="C71" s="323"/>
      <c r="D71" s="379"/>
      <c r="E71" s="425"/>
      <c r="F71" s="325"/>
      <c r="G71" s="354"/>
      <c r="H71" s="450"/>
      <c r="I71" s="107"/>
      <c r="J71" s="141"/>
      <c r="K71" s="138"/>
      <c r="L71" s="83"/>
      <c r="M71" s="84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</row>
    <row r="72" ht="15.0" customHeight="1">
      <c r="A72" s="105"/>
      <c r="B72" s="350"/>
      <c r="C72" s="323"/>
      <c r="D72" s="379"/>
      <c r="E72" s="425"/>
      <c r="F72" s="325"/>
      <c r="G72" s="354"/>
      <c r="H72" s="450"/>
      <c r="I72" s="107"/>
      <c r="J72" s="141"/>
      <c r="K72" s="138"/>
      <c r="L72" s="83"/>
      <c r="M72" s="84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</row>
    <row r="73" ht="15.0" customHeight="1">
      <c r="A73" s="105"/>
      <c r="B73" s="350"/>
      <c r="C73" s="323"/>
      <c r="D73" s="379"/>
      <c r="E73" s="425"/>
      <c r="F73" s="325"/>
      <c r="G73" s="354"/>
      <c r="H73" s="450"/>
      <c r="I73" s="107"/>
      <c r="J73" s="141"/>
      <c r="K73" s="138"/>
      <c r="L73" s="83"/>
      <c r="M73" s="84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</row>
    <row r="74" ht="15.0" customHeight="1">
      <c r="A74" s="105"/>
      <c r="B74" s="350"/>
      <c r="C74" s="323"/>
      <c r="D74" s="323"/>
      <c r="E74" s="325"/>
      <c r="F74" s="325"/>
      <c r="G74" s="327"/>
      <c r="H74" s="328"/>
      <c r="I74" s="107"/>
      <c r="J74" s="141"/>
      <c r="K74" s="138"/>
      <c r="L74" s="83"/>
      <c r="M74" s="84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</row>
    <row r="75" ht="15.0" customHeight="1">
      <c r="A75" s="105"/>
      <c r="B75" s="350"/>
      <c r="C75" s="323"/>
      <c r="D75" s="323"/>
      <c r="E75" s="425"/>
      <c r="F75" s="325"/>
      <c r="G75" s="327"/>
      <c r="H75" s="328"/>
      <c r="I75" s="107"/>
      <c r="J75" s="141"/>
      <c r="K75" s="138"/>
      <c r="L75" s="83"/>
      <c r="M75" s="84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</row>
    <row r="76" ht="15.0" customHeight="1">
      <c r="A76" s="105"/>
      <c r="B76" s="350"/>
      <c r="C76" s="323"/>
      <c r="D76" s="323"/>
      <c r="E76" s="425"/>
      <c r="F76" s="325"/>
      <c r="G76" s="327"/>
      <c r="H76" s="328"/>
      <c r="I76" s="107"/>
      <c r="J76" s="141"/>
      <c r="K76" s="138"/>
      <c r="L76" s="83"/>
      <c r="M76" s="84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</row>
    <row r="77" ht="15.0" customHeight="1">
      <c r="A77" s="105"/>
      <c r="B77" s="350"/>
      <c r="C77" s="323"/>
      <c r="D77" s="379"/>
      <c r="E77" s="425"/>
      <c r="F77" s="325"/>
      <c r="G77" s="354"/>
      <c r="H77" s="450"/>
      <c r="I77" s="107"/>
      <c r="J77" s="141"/>
      <c r="K77" s="138"/>
      <c r="L77" s="83"/>
      <c r="M77" s="84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</row>
    <row r="78" ht="15.0" customHeight="1">
      <c r="A78" s="105"/>
      <c r="B78" s="350"/>
      <c r="C78" s="323"/>
      <c r="D78" s="379"/>
      <c r="E78" s="425"/>
      <c r="F78" s="325"/>
      <c r="G78" s="354"/>
      <c r="H78" s="450"/>
      <c r="I78" s="107"/>
      <c r="J78" s="141"/>
      <c r="K78" s="138"/>
      <c r="L78" s="83"/>
      <c r="M78" s="84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</row>
    <row r="79" ht="15.0" customHeight="1">
      <c r="A79" s="105"/>
      <c r="B79" s="350"/>
      <c r="C79" s="323"/>
      <c r="D79" s="379"/>
      <c r="E79" s="425"/>
      <c r="F79" s="325"/>
      <c r="G79" s="354"/>
      <c r="H79" s="450"/>
      <c r="I79" s="107"/>
      <c r="J79" s="141"/>
      <c r="K79" s="138"/>
      <c r="L79" s="83"/>
      <c r="M79" s="84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</row>
    <row r="80" ht="15.0" customHeight="1">
      <c r="A80" s="105"/>
      <c r="B80" s="350"/>
      <c r="C80" s="323"/>
      <c r="D80" s="379"/>
      <c r="E80" s="425"/>
      <c r="F80" s="325"/>
      <c r="G80" s="354"/>
      <c r="H80" s="450"/>
      <c r="I80" s="107"/>
      <c r="J80" s="141"/>
      <c r="K80" s="138"/>
      <c r="L80" s="83"/>
      <c r="M80" s="84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</row>
    <row r="81" ht="15.0" customHeight="1">
      <c r="A81" s="105"/>
      <c r="B81" s="350"/>
      <c r="C81" s="323"/>
      <c r="D81" s="379"/>
      <c r="E81" s="425"/>
      <c r="F81" s="325"/>
      <c r="G81" s="354"/>
      <c r="H81" s="450"/>
      <c r="I81" s="107"/>
      <c r="J81" s="141"/>
      <c r="K81" s="138"/>
      <c r="L81" s="83"/>
      <c r="M81" s="84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</row>
    <row r="82" ht="15.0" customHeight="1">
      <c r="A82" s="105"/>
      <c r="B82" s="350"/>
      <c r="C82" s="323"/>
      <c r="D82" s="379"/>
      <c r="E82" s="425"/>
      <c r="F82" s="325"/>
      <c r="G82" s="354"/>
      <c r="H82" s="450"/>
      <c r="I82" s="107"/>
      <c r="J82" s="141"/>
      <c r="K82" s="138"/>
      <c r="L82" s="83"/>
      <c r="M82" s="84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</row>
    <row r="83" ht="15.0" customHeight="1">
      <c r="A83" s="105"/>
      <c r="B83" s="350"/>
      <c r="C83" s="323"/>
      <c r="D83" s="379"/>
      <c r="E83" s="425"/>
      <c r="F83" s="325"/>
      <c r="G83" s="354"/>
      <c r="H83" s="450"/>
      <c r="I83" s="107"/>
      <c r="J83" s="141"/>
      <c r="K83" s="138"/>
      <c r="L83" s="83"/>
      <c r="M83" s="84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</row>
    <row r="84" ht="15.0" customHeight="1">
      <c r="A84" s="105"/>
      <c r="B84" s="350"/>
      <c r="C84" s="323"/>
      <c r="D84" s="379"/>
      <c r="E84" s="425"/>
      <c r="F84" s="325"/>
      <c r="G84" s="354"/>
      <c r="H84" s="450"/>
      <c r="I84" s="107"/>
      <c r="J84" s="141"/>
      <c r="K84" s="138"/>
      <c r="L84" s="83"/>
      <c r="M84" s="84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</row>
    <row r="85" ht="15.0" customHeight="1">
      <c r="A85" s="105"/>
      <c r="B85" s="350"/>
      <c r="C85" s="323"/>
      <c r="D85" s="379"/>
      <c r="E85" s="425"/>
      <c r="F85" s="325"/>
      <c r="G85" s="354"/>
      <c r="H85" s="450"/>
      <c r="I85" s="107"/>
      <c r="J85" s="141"/>
      <c r="K85" s="138"/>
      <c r="L85" s="83"/>
      <c r="M85" s="84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</row>
    <row r="86" ht="15.0" customHeight="1">
      <c r="A86" s="105"/>
      <c r="B86" s="350"/>
      <c r="C86" s="323"/>
      <c r="D86" s="379"/>
      <c r="E86" s="425"/>
      <c r="F86" s="325"/>
      <c r="G86" s="354"/>
      <c r="H86" s="450"/>
      <c r="I86" s="107"/>
      <c r="J86" s="141"/>
      <c r="K86" s="138"/>
      <c r="L86" s="83"/>
      <c r="M86" s="84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</row>
    <row r="87" ht="15.0" customHeight="1">
      <c r="A87" s="105"/>
      <c r="B87" s="350"/>
      <c r="C87" s="323"/>
      <c r="D87" s="379"/>
      <c r="E87" s="425"/>
      <c r="F87" s="325"/>
      <c r="G87" s="354"/>
      <c r="H87" s="450"/>
      <c r="I87" s="107"/>
      <c r="J87" s="141"/>
      <c r="K87" s="138"/>
      <c r="L87" s="83"/>
      <c r="M87" s="84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</row>
    <row r="88" ht="15.0" customHeight="1">
      <c r="A88" s="105"/>
      <c r="B88" s="350"/>
      <c r="C88" s="323"/>
      <c r="D88" s="379"/>
      <c r="E88" s="425"/>
      <c r="F88" s="325"/>
      <c r="G88" s="354"/>
      <c r="H88" s="450"/>
      <c r="I88" s="107"/>
      <c r="J88" s="141"/>
      <c r="K88" s="138"/>
      <c r="L88" s="83"/>
      <c r="M88" s="84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</row>
    <row r="89" ht="15.0" customHeight="1">
      <c r="A89" s="105"/>
      <c r="B89" s="350"/>
      <c r="C89" s="323"/>
      <c r="D89" s="379"/>
      <c r="E89" s="425"/>
      <c r="F89" s="325"/>
      <c r="G89" s="354"/>
      <c r="H89" s="450"/>
      <c r="I89" s="107"/>
      <c r="J89" s="141"/>
      <c r="K89" s="138"/>
      <c r="L89" s="83"/>
      <c r="M89" s="84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</row>
    <row r="90" ht="15.0" customHeight="1">
      <c r="A90" s="105"/>
      <c r="B90" s="350"/>
      <c r="C90" s="323"/>
      <c r="D90" s="379"/>
      <c r="E90" s="425"/>
      <c r="F90" s="325"/>
      <c r="G90" s="354"/>
      <c r="H90" s="450"/>
      <c r="I90" s="107"/>
      <c r="J90" s="141"/>
      <c r="K90" s="138"/>
      <c r="L90" s="83"/>
      <c r="M90" s="84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</row>
    <row r="91" ht="15.0" customHeight="1">
      <c r="A91" s="105"/>
      <c r="B91" s="350"/>
      <c r="C91" s="323"/>
      <c r="D91" s="379"/>
      <c r="E91" s="425"/>
      <c r="F91" s="325"/>
      <c r="G91" s="354"/>
      <c r="H91" s="450"/>
      <c r="I91" s="107"/>
      <c r="J91" s="141"/>
      <c r="K91" s="138"/>
      <c r="L91" s="83"/>
      <c r="M91" s="84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</row>
    <row r="92" ht="15.0" customHeight="1">
      <c r="A92" s="105"/>
      <c r="B92" s="350"/>
      <c r="C92" s="323"/>
      <c r="D92" s="379"/>
      <c r="E92" s="425"/>
      <c r="F92" s="325"/>
      <c r="G92" s="354"/>
      <c r="H92" s="450"/>
      <c r="I92" s="107"/>
      <c r="J92" s="141"/>
      <c r="K92" s="138"/>
      <c r="L92" s="83"/>
      <c r="M92" s="84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</row>
    <row r="93" ht="15.0" customHeight="1">
      <c r="A93" s="105"/>
      <c r="B93" s="350"/>
      <c r="C93" s="323"/>
      <c r="D93" s="379"/>
      <c r="E93" s="425"/>
      <c r="F93" s="325"/>
      <c r="G93" s="354"/>
      <c r="H93" s="450"/>
      <c r="I93" s="107"/>
      <c r="J93" s="141"/>
      <c r="K93" s="138"/>
      <c r="L93" s="83"/>
      <c r="M93" s="84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</row>
    <row r="94" ht="15.0" customHeight="1">
      <c r="A94" s="105"/>
      <c r="B94" s="350"/>
      <c r="C94" s="323"/>
      <c r="D94" s="379"/>
      <c r="E94" s="425"/>
      <c r="F94" s="325"/>
      <c r="G94" s="354"/>
      <c r="H94" s="450"/>
      <c r="I94" s="107"/>
      <c r="J94" s="141"/>
      <c r="K94" s="138"/>
      <c r="L94" s="83"/>
      <c r="M94" s="84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</row>
    <row r="95" ht="15.0" customHeight="1">
      <c r="A95" s="105"/>
      <c r="B95" s="350"/>
      <c r="C95" s="323"/>
      <c r="D95" s="379"/>
      <c r="E95" s="425"/>
      <c r="F95" s="325"/>
      <c r="G95" s="354"/>
      <c r="H95" s="450"/>
      <c r="I95" s="107"/>
      <c r="J95" s="141"/>
      <c r="K95" s="138"/>
      <c r="L95" s="83"/>
      <c r="M95" s="84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</row>
    <row r="96" ht="15.0" customHeight="1">
      <c r="A96" s="105"/>
      <c r="B96" s="350"/>
      <c r="C96" s="323"/>
      <c r="D96" s="379"/>
      <c r="E96" s="425"/>
      <c r="F96" s="325"/>
      <c r="G96" s="354"/>
      <c r="H96" s="450"/>
      <c r="I96" s="107"/>
      <c r="J96" s="141"/>
      <c r="K96" s="138"/>
      <c r="L96" s="83"/>
      <c r="M96" s="84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</row>
    <row r="97" ht="15.0" customHeight="1">
      <c r="A97" s="105"/>
      <c r="B97" s="350"/>
      <c r="C97" s="323"/>
      <c r="D97" s="379"/>
      <c r="E97" s="425"/>
      <c r="F97" s="325"/>
      <c r="G97" s="354"/>
      <c r="H97" s="450"/>
      <c r="I97" s="107"/>
      <c r="J97" s="141"/>
      <c r="K97" s="138"/>
      <c r="L97" s="83"/>
      <c r="M97" s="84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</row>
    <row r="98" ht="15.0" customHeight="1">
      <c r="A98" s="105"/>
      <c r="B98" s="350"/>
      <c r="C98" s="323"/>
      <c r="D98" s="379"/>
      <c r="E98" s="425"/>
      <c r="F98" s="325"/>
      <c r="G98" s="354"/>
      <c r="H98" s="450"/>
      <c r="I98" s="107"/>
      <c r="J98" s="141"/>
      <c r="K98" s="138"/>
      <c r="L98" s="83"/>
      <c r="M98" s="84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</row>
    <row r="99" ht="15.0" customHeight="1">
      <c r="A99" s="105"/>
      <c r="B99" s="350"/>
      <c r="C99" s="323"/>
      <c r="D99" s="379"/>
      <c r="E99" s="425"/>
      <c r="F99" s="325"/>
      <c r="G99" s="354"/>
      <c r="H99" s="450"/>
      <c r="I99" s="107"/>
      <c r="J99" s="141"/>
      <c r="K99" s="138"/>
      <c r="L99" s="83"/>
      <c r="M99" s="84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</row>
    <row r="100" ht="15.0" customHeight="1">
      <c r="A100" s="105"/>
      <c r="B100" s="350"/>
      <c r="C100" s="323"/>
      <c r="D100" s="379"/>
      <c r="E100" s="425"/>
      <c r="F100" s="325"/>
      <c r="G100" s="354"/>
      <c r="H100" s="450"/>
      <c r="I100" s="107"/>
      <c r="J100" s="141"/>
      <c r="K100" s="138"/>
      <c r="L100" s="83"/>
      <c r="M100" s="84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</row>
    <row r="101" ht="15.0" customHeight="1">
      <c r="A101" s="105"/>
      <c r="B101" s="350"/>
      <c r="C101" s="323"/>
      <c r="D101" s="379"/>
      <c r="E101" s="425"/>
      <c r="F101" s="325"/>
      <c r="G101" s="354"/>
      <c r="H101" s="450"/>
      <c r="I101" s="107"/>
      <c r="J101" s="141"/>
      <c r="K101" s="138"/>
      <c r="L101" s="83"/>
      <c r="M101" s="84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</row>
    <row r="102" ht="15.0" customHeight="1">
      <c r="A102" s="105"/>
      <c r="B102" s="350"/>
      <c r="C102" s="323"/>
      <c r="D102" s="379"/>
      <c r="E102" s="425"/>
      <c r="F102" s="325"/>
      <c r="G102" s="354"/>
      <c r="H102" s="450"/>
      <c r="I102" s="107"/>
      <c r="J102" s="141"/>
      <c r="K102" s="138"/>
      <c r="L102" s="83"/>
      <c r="M102" s="84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</row>
    <row r="103" ht="15.0" customHeight="1">
      <c r="A103" s="105"/>
      <c r="B103" s="350"/>
      <c r="C103" s="323"/>
      <c r="D103" s="379"/>
      <c r="E103" s="425"/>
      <c r="F103" s="325"/>
      <c r="G103" s="354"/>
      <c r="H103" s="450"/>
      <c r="I103" s="107"/>
      <c r="J103" s="141"/>
      <c r="K103" s="138"/>
      <c r="L103" s="83"/>
      <c r="M103" s="84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</row>
    <row r="104" ht="15.0" customHeight="1">
      <c r="A104" s="105"/>
      <c r="B104" s="350"/>
      <c r="C104" s="323"/>
      <c r="D104" s="379"/>
      <c r="E104" s="425"/>
      <c r="F104" s="325"/>
      <c r="G104" s="354"/>
      <c r="H104" s="450"/>
      <c r="I104" s="107"/>
      <c r="J104" s="141"/>
      <c r="K104" s="138"/>
      <c r="L104" s="83"/>
      <c r="M104" s="84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</row>
    <row r="105" ht="15.0" customHeight="1">
      <c r="A105" s="105"/>
      <c r="B105" s="350"/>
      <c r="C105" s="323"/>
      <c r="D105" s="379"/>
      <c r="E105" s="425"/>
      <c r="F105" s="325"/>
      <c r="G105" s="354"/>
      <c r="H105" s="450"/>
      <c r="I105" s="107"/>
      <c r="J105" s="141"/>
      <c r="K105" s="138"/>
      <c r="L105" s="83"/>
      <c r="M105" s="84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</row>
    <row r="106" ht="15.0" customHeight="1">
      <c r="A106" s="105"/>
      <c r="B106" s="350"/>
      <c r="C106" s="323"/>
      <c r="D106" s="379"/>
      <c r="E106" s="425"/>
      <c r="F106" s="325"/>
      <c r="G106" s="354"/>
      <c r="H106" s="450"/>
      <c r="I106" s="107"/>
      <c r="J106" s="141"/>
      <c r="K106" s="138"/>
      <c r="L106" s="83"/>
      <c r="M106" s="84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</row>
    <row r="107" ht="15.0" customHeight="1">
      <c r="A107" s="105"/>
      <c r="B107" s="350"/>
      <c r="C107" s="323"/>
      <c r="D107" s="379"/>
      <c r="E107" s="425"/>
      <c r="F107" s="325"/>
      <c r="G107" s="354"/>
      <c r="H107" s="450"/>
      <c r="I107" s="107"/>
      <c r="J107" s="141"/>
      <c r="K107" s="138"/>
      <c r="L107" s="83"/>
      <c r="M107" s="84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</row>
    <row r="108" ht="15.0" customHeight="1">
      <c r="A108" s="105"/>
      <c r="B108" s="350"/>
      <c r="C108" s="323"/>
      <c r="D108" s="379"/>
      <c r="E108" s="425"/>
      <c r="F108" s="325"/>
      <c r="G108" s="354"/>
      <c r="H108" s="450"/>
      <c r="I108" s="107"/>
      <c r="J108" s="141"/>
      <c r="K108" s="138"/>
      <c r="L108" s="83"/>
      <c r="M108" s="84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</row>
    <row r="109" ht="15.0" customHeight="1">
      <c r="A109" s="105"/>
      <c r="B109" s="350"/>
      <c r="C109" s="323"/>
      <c r="D109" s="379"/>
      <c r="E109" s="425"/>
      <c r="F109" s="325"/>
      <c r="G109" s="354"/>
      <c r="H109" s="450"/>
      <c r="I109" s="107"/>
      <c r="J109" s="141"/>
      <c r="K109" s="138"/>
      <c r="L109" s="83"/>
      <c r="M109" s="84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</row>
    <row r="110" ht="15.0" customHeight="1">
      <c r="A110" s="105"/>
      <c r="B110" s="350"/>
      <c r="C110" s="323"/>
      <c r="D110" s="379"/>
      <c r="E110" s="425"/>
      <c r="F110" s="325"/>
      <c r="G110" s="354"/>
      <c r="H110" s="450"/>
      <c r="I110" s="107"/>
      <c r="J110" s="141"/>
      <c r="K110" s="138"/>
      <c r="L110" s="83"/>
      <c r="M110" s="84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</row>
    <row r="111" ht="15.0" customHeight="1">
      <c r="A111" s="105"/>
      <c r="B111" s="350"/>
      <c r="C111" s="323"/>
      <c r="D111" s="379"/>
      <c r="E111" s="425"/>
      <c r="F111" s="325"/>
      <c r="G111" s="354"/>
      <c r="H111" s="450"/>
      <c r="I111" s="107"/>
      <c r="J111" s="141"/>
      <c r="K111" s="138"/>
      <c r="L111" s="83"/>
      <c r="M111" s="84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</row>
    <row r="112" ht="15.0" customHeight="1">
      <c r="A112" s="105"/>
      <c r="B112" s="350"/>
      <c r="C112" s="323"/>
      <c r="D112" s="379"/>
      <c r="E112" s="425"/>
      <c r="F112" s="325"/>
      <c r="G112" s="354"/>
      <c r="H112" s="450"/>
      <c r="I112" s="107"/>
      <c r="J112" s="141"/>
      <c r="K112" s="138"/>
      <c r="L112" s="83"/>
      <c r="M112" s="84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</row>
    <row r="113" ht="15.0" customHeight="1">
      <c r="A113" s="105"/>
      <c r="B113" s="350"/>
      <c r="C113" s="323"/>
      <c r="D113" s="379"/>
      <c r="E113" s="425"/>
      <c r="F113" s="325"/>
      <c r="G113" s="354"/>
      <c r="H113" s="450"/>
      <c r="I113" s="107"/>
      <c r="J113" s="141"/>
      <c r="K113" s="138"/>
      <c r="L113" s="83"/>
      <c r="M113" s="84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</row>
    <row r="114" ht="15.0" customHeight="1">
      <c r="A114" s="105"/>
      <c r="B114" s="350"/>
      <c r="C114" s="323"/>
      <c r="D114" s="379"/>
      <c r="E114" s="425"/>
      <c r="F114" s="325"/>
      <c r="G114" s="354"/>
      <c r="H114" s="450"/>
      <c r="I114" s="107"/>
      <c r="J114" s="141"/>
      <c r="K114" s="138"/>
      <c r="L114" s="83"/>
      <c r="M114" s="84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</row>
    <row r="115" ht="15.0" customHeight="1">
      <c r="A115" s="105"/>
      <c r="B115" s="350"/>
      <c r="C115" s="323"/>
      <c r="D115" s="379"/>
      <c r="E115" s="425"/>
      <c r="F115" s="325"/>
      <c r="G115" s="354"/>
      <c r="H115" s="450"/>
      <c r="I115" s="107"/>
      <c r="J115" s="141"/>
      <c r="K115" s="138"/>
      <c r="L115" s="83"/>
      <c r="M115" s="84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</row>
    <row r="116" ht="15.0" customHeight="1">
      <c r="A116" s="105"/>
      <c r="B116" s="350"/>
      <c r="C116" s="323"/>
      <c r="D116" s="379"/>
      <c r="E116" s="425"/>
      <c r="F116" s="325"/>
      <c r="G116" s="354"/>
      <c r="H116" s="450"/>
      <c r="I116" s="107"/>
      <c r="J116" s="141"/>
      <c r="K116" s="138"/>
      <c r="L116" s="83"/>
      <c r="M116" s="84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</row>
    <row r="117" ht="15.0" customHeight="1">
      <c r="A117" s="105"/>
      <c r="H117" s="328"/>
      <c r="I117" s="107"/>
      <c r="J117" s="141"/>
      <c r="K117" s="138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</row>
    <row r="118" ht="15.0" customHeight="1">
      <c r="A118" s="105"/>
      <c r="H118" s="328"/>
      <c r="I118" s="107"/>
      <c r="J118" s="141"/>
      <c r="K118" s="138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</row>
    <row r="119" ht="15.0" customHeight="1">
      <c r="A119" s="105"/>
      <c r="H119" s="328"/>
      <c r="I119" s="107"/>
      <c r="J119" s="141"/>
      <c r="K119" s="138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</row>
    <row r="120" ht="15.0" customHeight="1">
      <c r="A120" s="105"/>
      <c r="H120" s="328"/>
      <c r="I120" s="107"/>
      <c r="J120" s="141"/>
      <c r="K120" s="138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</row>
    <row r="121" ht="15.0" customHeight="1">
      <c r="A121" s="105"/>
      <c r="H121" s="328"/>
      <c r="I121" s="107"/>
      <c r="J121" s="141"/>
      <c r="K121" s="138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</row>
    <row r="122" ht="15.0" customHeight="1">
      <c r="A122" s="105"/>
      <c r="H122" s="328"/>
      <c r="I122" s="107"/>
      <c r="J122" s="141"/>
      <c r="K122" s="138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</row>
    <row r="123" ht="15.0" customHeight="1">
      <c r="A123" s="105"/>
      <c r="H123" s="328"/>
      <c r="I123" s="107"/>
      <c r="J123" s="141"/>
      <c r="K123" s="138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</row>
    <row r="124" ht="15.0" customHeight="1">
      <c r="A124" s="105"/>
      <c r="H124" s="328"/>
      <c r="I124" s="107"/>
      <c r="J124" s="141"/>
      <c r="K124" s="138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</row>
    <row r="125" ht="15.0" customHeight="1">
      <c r="A125" s="105"/>
      <c r="H125" s="328"/>
      <c r="I125" s="107"/>
      <c r="J125" s="141"/>
      <c r="K125" s="138"/>
      <c r="L125" s="99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</row>
    <row r="126" ht="15.0" customHeight="1">
      <c r="A126" s="105"/>
      <c r="H126" s="328"/>
      <c r="I126" s="107"/>
      <c r="J126" s="141"/>
      <c r="K126" s="138"/>
      <c r="L126" s="99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</row>
    <row r="127" ht="15.0" customHeight="1">
      <c r="A127" s="105"/>
      <c r="H127" s="328"/>
      <c r="I127" s="107"/>
      <c r="J127" s="141"/>
      <c r="K127" s="138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</row>
    <row r="128" ht="15.0" customHeight="1">
      <c r="A128" s="105"/>
      <c r="H128" s="328"/>
      <c r="I128" s="107"/>
      <c r="J128" s="141"/>
      <c r="K128" s="138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</row>
    <row r="129" ht="15.0" customHeight="1">
      <c r="A129" s="105"/>
      <c r="H129" s="328"/>
      <c r="I129" s="107"/>
      <c r="J129" s="141"/>
      <c r="K129" s="138"/>
      <c r="L129" s="99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</row>
    <row r="130" ht="15.0" customHeight="1">
      <c r="A130" s="105"/>
      <c r="H130" s="328"/>
      <c r="I130" s="107"/>
      <c r="J130" s="141"/>
      <c r="K130" s="138"/>
      <c r="L130" s="99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</row>
    <row r="131" ht="15.0" customHeight="1">
      <c r="A131" s="105"/>
      <c r="H131" s="328"/>
      <c r="I131" s="107"/>
      <c r="J131" s="141"/>
      <c r="K131" s="138"/>
      <c r="L131" s="99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</row>
    <row r="132" ht="15.0" customHeight="1">
      <c r="A132" s="105"/>
      <c r="H132" s="328"/>
      <c r="I132" s="107"/>
      <c r="J132" s="141"/>
      <c r="K132" s="138"/>
      <c r="L132" s="99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</row>
    <row r="133" ht="15.0" customHeight="1">
      <c r="A133" s="105"/>
      <c r="H133" s="328"/>
      <c r="I133" s="107"/>
      <c r="J133" s="141"/>
      <c r="K133" s="138"/>
      <c r="L133" s="99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</row>
    <row r="134" ht="15.0" customHeight="1">
      <c r="A134" s="105"/>
      <c r="H134" s="328"/>
      <c r="I134" s="107"/>
      <c r="J134" s="141"/>
      <c r="K134" s="138"/>
      <c r="L134" s="99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</row>
    <row r="135" ht="15.0" customHeight="1">
      <c r="A135" s="105"/>
      <c r="H135" s="328"/>
      <c r="I135" s="107"/>
      <c r="J135" s="141"/>
      <c r="K135" s="138"/>
      <c r="L135" s="99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</row>
    <row r="136" ht="15.0" customHeight="1">
      <c r="A136" s="105"/>
      <c r="H136" s="328"/>
      <c r="I136" s="107"/>
      <c r="J136" s="141"/>
      <c r="K136" s="138"/>
      <c r="L136" s="99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</row>
    <row r="137" ht="15.0" customHeight="1">
      <c r="A137" s="105"/>
      <c r="H137" s="328"/>
      <c r="I137" s="107"/>
      <c r="J137" s="141"/>
      <c r="K137" s="138"/>
      <c r="L137" s="99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</row>
    <row r="138" ht="15.0" customHeight="1">
      <c r="A138" s="105"/>
      <c r="H138" s="328"/>
      <c r="I138" s="107"/>
      <c r="J138" s="141"/>
      <c r="K138" s="138"/>
      <c r="L138" s="99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</row>
    <row r="139" ht="15.0" customHeight="1">
      <c r="A139" s="105"/>
      <c r="H139" s="328"/>
      <c r="I139" s="107"/>
      <c r="J139" s="141"/>
      <c r="K139" s="138"/>
      <c r="L139" s="99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</row>
    <row r="140" ht="15.0" customHeight="1">
      <c r="A140" s="105"/>
      <c r="H140" s="328"/>
      <c r="I140" s="107"/>
      <c r="J140" s="141"/>
      <c r="K140" s="138"/>
      <c r="L140" s="99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</row>
    <row r="141" ht="15.0" customHeight="1">
      <c r="A141" s="105"/>
      <c r="H141" s="328"/>
      <c r="I141" s="107"/>
      <c r="J141" s="141"/>
      <c r="K141" s="138"/>
      <c r="L141" s="99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</row>
    <row r="142" ht="15.0" customHeight="1">
      <c r="A142" s="105"/>
      <c r="H142" s="328"/>
      <c r="I142" s="107"/>
      <c r="J142" s="141"/>
      <c r="K142" s="138"/>
      <c r="L142" s="99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</row>
    <row r="143" ht="15.0" customHeight="1">
      <c r="A143" s="105"/>
      <c r="H143" s="328"/>
      <c r="I143" s="107"/>
      <c r="J143" s="141"/>
      <c r="K143" s="138"/>
      <c r="L143" s="99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</row>
    <row r="144" ht="15.0" customHeight="1">
      <c r="A144" s="105"/>
      <c r="H144" s="328"/>
      <c r="I144" s="107"/>
      <c r="J144" s="141"/>
      <c r="K144" s="138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</row>
    <row r="145" ht="15.0" customHeight="1">
      <c r="A145" s="105"/>
      <c r="H145" s="328"/>
      <c r="I145" s="107"/>
      <c r="J145" s="141"/>
      <c r="K145" s="138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</row>
    <row r="146" ht="15.0" customHeight="1">
      <c r="A146" s="105"/>
      <c r="H146" s="328"/>
      <c r="I146" s="107"/>
      <c r="J146" s="141"/>
      <c r="K146" s="138"/>
      <c r="L146" s="99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</row>
    <row r="147" ht="15.0" customHeight="1">
      <c r="A147" s="105"/>
      <c r="H147" s="328"/>
      <c r="I147" s="107"/>
      <c r="J147" s="141"/>
      <c r="K147" s="138"/>
      <c r="L147" s="99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</row>
    <row r="148" ht="15.0" customHeight="1">
      <c r="A148" s="105"/>
      <c r="H148" s="328"/>
      <c r="I148" s="107"/>
      <c r="J148" s="141"/>
      <c r="K148" s="138"/>
      <c r="L148" s="99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</row>
    <row r="149" ht="15.0" customHeight="1">
      <c r="A149" s="105"/>
      <c r="H149" s="328"/>
      <c r="I149" s="107"/>
      <c r="J149" s="141"/>
      <c r="K149" s="138"/>
      <c r="L149" s="99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</row>
    <row r="150" ht="15.0" customHeight="1">
      <c r="A150" s="105"/>
      <c r="H150" s="328"/>
      <c r="I150" s="107"/>
      <c r="J150" s="141"/>
      <c r="K150" s="138"/>
      <c r="L150" s="99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</row>
    <row r="151" ht="15.0" customHeight="1">
      <c r="A151" s="105"/>
      <c r="H151" s="328"/>
      <c r="I151" s="107"/>
      <c r="J151" s="141"/>
      <c r="K151" s="138"/>
      <c r="L151" s="99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</row>
  </sheetData>
  <autoFilter ref="$B$24:$H$97">
    <sortState ref="B24:H97">
      <sortCondition ref="B24:B97"/>
    </sortState>
  </autoFilter>
  <customSheetViews>
    <customSheetView guid="{CD2BF927-9D79-47FC-BBA8-927062D6B3F5}" filter="1" showAutoFilter="1">
      <autoFilter ref="$B$24:$H$97"/>
    </customSheetView>
  </customSheetViews>
  <mergeCells count="4">
    <mergeCell ref="B1:G1"/>
    <mergeCell ref="B18:C18"/>
    <mergeCell ref="B19:C19"/>
    <mergeCell ref="B20:C20"/>
  </mergeCells>
  <dataValidations>
    <dataValidation type="list" allowBlank="1" sqref="H25:H151">
      <formula1>$L:$L</formula1>
    </dataValidation>
  </dataValidations>
  <hyperlinks>
    <hyperlink r:id="rId2" ref="I3"/>
    <hyperlink r:id="rId3" ref="I4"/>
  </hyperlinks>
  <printOptions/>
  <pageMargins bottom="0.75" footer="0.0" header="0.0" left="0.25" right="0.25" top="0.75"/>
  <pageSetup fitToHeight="0" paperSize="9" orientation="portrait"/>
  <drawing r:id="rId4"/>
  <legacyDrawing r:id="rId5"/>
</worksheet>
</file>

<file path=xl/worksheets/sheet4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H1" s="432"/>
      <c r="I1" s="432"/>
      <c r="J1" s="432"/>
    </row>
    <row r="2">
      <c r="H2" s="432"/>
      <c r="I2" s="432"/>
      <c r="J2" s="432"/>
    </row>
    <row r="3">
      <c r="H3" s="432"/>
      <c r="I3" s="432"/>
      <c r="J3" s="432"/>
    </row>
    <row r="4">
      <c r="H4" s="432"/>
      <c r="I4" s="432"/>
      <c r="J4" s="432"/>
    </row>
    <row r="5">
      <c r="H5" s="432"/>
      <c r="I5" s="432"/>
      <c r="J5" s="432"/>
    </row>
    <row r="6">
      <c r="H6" s="432"/>
      <c r="I6" s="432"/>
      <c r="J6" s="432"/>
    </row>
    <row r="7">
      <c r="E7" s="420" t="s">
        <v>2603</v>
      </c>
      <c r="F7" s="420" t="s">
        <v>2604</v>
      </c>
      <c r="G7" s="472" t="s">
        <v>19</v>
      </c>
      <c r="H7" s="473" t="s">
        <v>2605</v>
      </c>
      <c r="I7" s="473" t="s">
        <v>23</v>
      </c>
      <c r="J7" s="473" t="s">
        <v>23</v>
      </c>
    </row>
    <row r="8">
      <c r="D8" s="420" t="s">
        <v>2606</v>
      </c>
      <c r="E8" s="420" t="s">
        <v>2607</v>
      </c>
      <c r="F8" s="474">
        <v>45731.0</v>
      </c>
      <c r="G8" s="420">
        <v>119.02</v>
      </c>
      <c r="H8" s="432">
        <f>IFERROR(__xludf.DUMMYFUNCTION("GOOGLEFINANCE(""USDSGD"")"),1.2875999999999999)</f>
        <v>1.2876</v>
      </c>
      <c r="I8" s="432">
        <f t="shared" ref="I8:I11" si="1">G8*H8</f>
        <v>153.250152</v>
      </c>
      <c r="J8" s="432">
        <f>I8</f>
        <v>153.250152</v>
      </c>
    </row>
    <row r="9">
      <c r="D9" s="420" t="s">
        <v>2608</v>
      </c>
      <c r="E9" s="420" t="s">
        <v>2609</v>
      </c>
      <c r="F9" s="474">
        <v>45762.0</v>
      </c>
      <c r="G9" s="420">
        <v>48.79</v>
      </c>
      <c r="H9" s="432">
        <f>IFERROR(__xludf.DUMMYFUNCTION("GOOGLEFINANCE(""USDSGD"")"),1.2875999999999999)</f>
        <v>1.2876</v>
      </c>
      <c r="I9" s="432">
        <f t="shared" si="1"/>
        <v>62.822004</v>
      </c>
      <c r="J9" s="432">
        <f t="shared" ref="J9:J11" si="2">J8+I9</f>
        <v>216.072156</v>
      </c>
    </row>
    <row r="10">
      <c r="D10" s="420" t="s">
        <v>2610</v>
      </c>
      <c r="E10" s="420" t="s">
        <v>2611</v>
      </c>
      <c r="F10" s="474">
        <v>45792.0</v>
      </c>
      <c r="G10" s="420">
        <v>28.6</v>
      </c>
      <c r="H10" s="432">
        <f>IFERROR(__xludf.DUMMYFUNCTION("GOOGLEFINANCE(""USDSGD"")"),1.2875999999999999)</f>
        <v>1.2876</v>
      </c>
      <c r="I10" s="432">
        <f t="shared" si="1"/>
        <v>36.82536</v>
      </c>
      <c r="J10" s="432">
        <f t="shared" si="2"/>
        <v>252.897516</v>
      </c>
    </row>
    <row r="11">
      <c r="D11" s="420" t="s">
        <v>2612</v>
      </c>
      <c r="E11" s="420" t="s">
        <v>2613</v>
      </c>
      <c r="F11" s="474">
        <v>45792.0</v>
      </c>
      <c r="G11" s="420">
        <v>39.91</v>
      </c>
      <c r="H11" s="432">
        <f>IFERROR(__xludf.DUMMYFUNCTION("GOOGLEFINANCE(""USDSGD"")"),1.2875999999999999)</f>
        <v>1.2876</v>
      </c>
      <c r="I11" s="432">
        <f t="shared" si="1"/>
        <v>51.388116</v>
      </c>
      <c r="J11" s="432">
        <f t="shared" si="2"/>
        <v>304.285632</v>
      </c>
    </row>
    <row r="12">
      <c r="H12" s="432"/>
      <c r="I12" s="432"/>
      <c r="J12" s="432"/>
    </row>
    <row r="13">
      <c r="H13" s="432"/>
      <c r="I13" s="432"/>
      <c r="J13" s="432"/>
    </row>
    <row r="14">
      <c r="H14" s="432"/>
      <c r="I14" s="432"/>
      <c r="J14" s="432"/>
    </row>
    <row r="15">
      <c r="H15" s="432"/>
      <c r="I15" s="432"/>
      <c r="J15" s="432"/>
    </row>
    <row r="16">
      <c r="H16" s="432"/>
      <c r="I16" s="432"/>
      <c r="J16" s="432"/>
    </row>
    <row r="17">
      <c r="H17" s="432"/>
      <c r="I17" s="432"/>
      <c r="J17" s="432"/>
    </row>
    <row r="18">
      <c r="H18" s="432"/>
      <c r="I18" s="432"/>
      <c r="J18" s="432"/>
    </row>
    <row r="19">
      <c r="H19" s="432"/>
      <c r="I19" s="432"/>
      <c r="J19" s="432"/>
    </row>
    <row r="20">
      <c r="H20" s="432"/>
      <c r="I20" s="432"/>
      <c r="J20" s="432"/>
    </row>
    <row r="21">
      <c r="H21" s="432"/>
      <c r="I21" s="432"/>
      <c r="J21" s="432"/>
    </row>
    <row r="22">
      <c r="H22" s="432"/>
      <c r="I22" s="432"/>
      <c r="J22" s="432"/>
    </row>
    <row r="23">
      <c r="H23" s="432"/>
      <c r="I23" s="432"/>
      <c r="J23" s="432"/>
    </row>
    <row r="24">
      <c r="H24" s="432"/>
      <c r="I24" s="432"/>
      <c r="J24" s="432"/>
    </row>
    <row r="25">
      <c r="H25" s="432"/>
      <c r="I25" s="432"/>
      <c r="J25" s="432"/>
    </row>
    <row r="26">
      <c r="H26" s="432"/>
      <c r="I26" s="432"/>
      <c r="J26" s="432"/>
    </row>
    <row r="27">
      <c r="H27" s="432"/>
      <c r="I27" s="432"/>
      <c r="J27" s="432"/>
    </row>
    <row r="28">
      <c r="H28" s="432"/>
      <c r="I28" s="432"/>
      <c r="J28" s="432"/>
    </row>
    <row r="29">
      <c r="H29" s="432"/>
      <c r="I29" s="432"/>
      <c r="J29" s="432"/>
    </row>
    <row r="30">
      <c r="H30" s="432"/>
      <c r="I30" s="432"/>
      <c r="J30" s="432"/>
    </row>
    <row r="31">
      <c r="H31" s="432"/>
      <c r="I31" s="432"/>
      <c r="J31" s="432"/>
    </row>
    <row r="32">
      <c r="H32" s="432"/>
      <c r="I32" s="432"/>
      <c r="J32" s="432"/>
    </row>
    <row r="33">
      <c r="H33" s="432"/>
      <c r="I33" s="432"/>
      <c r="J33" s="432"/>
    </row>
    <row r="34">
      <c r="H34" s="432"/>
      <c r="I34" s="432"/>
      <c r="J34" s="432"/>
    </row>
    <row r="35">
      <c r="H35" s="432"/>
      <c r="I35" s="432"/>
      <c r="J35" s="432"/>
    </row>
    <row r="36">
      <c r="H36" s="432"/>
      <c r="I36" s="432"/>
      <c r="J36" s="432"/>
    </row>
    <row r="37">
      <c r="H37" s="432"/>
      <c r="I37" s="432"/>
      <c r="J37" s="432"/>
    </row>
    <row r="38">
      <c r="H38" s="432"/>
      <c r="I38" s="432"/>
      <c r="J38" s="432"/>
    </row>
    <row r="39">
      <c r="H39" s="432"/>
      <c r="I39" s="432"/>
      <c r="J39" s="432"/>
    </row>
    <row r="40">
      <c r="H40" s="432"/>
      <c r="I40" s="432"/>
      <c r="J40" s="432"/>
    </row>
    <row r="41">
      <c r="H41" s="432"/>
      <c r="I41" s="432"/>
      <c r="J41" s="432"/>
    </row>
    <row r="42">
      <c r="H42" s="432"/>
      <c r="I42" s="432"/>
      <c r="J42" s="432"/>
    </row>
    <row r="43">
      <c r="H43" s="432"/>
      <c r="I43" s="432"/>
      <c r="J43" s="432"/>
    </row>
    <row r="44">
      <c r="H44" s="432"/>
      <c r="I44" s="432"/>
      <c r="J44" s="432"/>
    </row>
    <row r="45">
      <c r="H45" s="432"/>
      <c r="I45" s="432"/>
      <c r="J45" s="432"/>
    </row>
    <row r="46">
      <c r="H46" s="432"/>
      <c r="I46" s="432"/>
      <c r="J46" s="432"/>
    </row>
    <row r="47">
      <c r="H47" s="432"/>
      <c r="I47" s="432"/>
      <c r="J47" s="432"/>
    </row>
    <row r="48">
      <c r="H48" s="432"/>
      <c r="I48" s="432"/>
      <c r="J48" s="432"/>
    </row>
    <row r="49">
      <c r="H49" s="432"/>
      <c r="I49" s="432"/>
      <c r="J49" s="432"/>
    </row>
    <row r="50">
      <c r="H50" s="432"/>
      <c r="I50" s="432"/>
      <c r="J50" s="432"/>
    </row>
    <row r="51">
      <c r="H51" s="432"/>
      <c r="I51" s="432"/>
      <c r="J51" s="432"/>
    </row>
    <row r="52">
      <c r="H52" s="432"/>
      <c r="I52" s="432"/>
      <c r="J52" s="432"/>
    </row>
    <row r="53">
      <c r="H53" s="432"/>
      <c r="I53" s="432"/>
      <c r="J53" s="432"/>
    </row>
    <row r="54">
      <c r="H54" s="432"/>
      <c r="I54" s="432"/>
      <c r="J54" s="432"/>
    </row>
    <row r="55">
      <c r="H55" s="432"/>
      <c r="I55" s="432"/>
      <c r="J55" s="432"/>
    </row>
    <row r="56">
      <c r="H56" s="432"/>
      <c r="I56" s="432"/>
      <c r="J56" s="432"/>
    </row>
    <row r="57">
      <c r="H57" s="432"/>
      <c r="I57" s="432"/>
      <c r="J57" s="432"/>
    </row>
    <row r="58">
      <c r="H58" s="432"/>
      <c r="I58" s="432"/>
      <c r="J58" s="432"/>
    </row>
    <row r="59">
      <c r="H59" s="432"/>
      <c r="I59" s="432"/>
      <c r="J59" s="432"/>
    </row>
    <row r="60">
      <c r="H60" s="432"/>
      <c r="I60" s="432"/>
      <c r="J60" s="432"/>
    </row>
    <row r="61">
      <c r="H61" s="432"/>
      <c r="I61" s="432"/>
      <c r="J61" s="432"/>
    </row>
    <row r="62">
      <c r="H62" s="432"/>
      <c r="I62" s="432"/>
      <c r="J62" s="432"/>
    </row>
    <row r="63">
      <c r="H63" s="432"/>
      <c r="I63" s="432"/>
      <c r="J63" s="432"/>
    </row>
    <row r="64">
      <c r="H64" s="432"/>
      <c r="I64" s="432"/>
      <c r="J64" s="432"/>
    </row>
    <row r="65">
      <c r="H65" s="432"/>
      <c r="I65" s="432"/>
      <c r="J65" s="432"/>
    </row>
    <row r="66">
      <c r="H66" s="432"/>
      <c r="I66" s="432"/>
      <c r="J66" s="432"/>
    </row>
    <row r="67">
      <c r="H67" s="432"/>
      <c r="I67" s="432"/>
      <c r="J67" s="432"/>
    </row>
    <row r="68">
      <c r="H68" s="432"/>
      <c r="I68" s="432"/>
      <c r="J68" s="432"/>
    </row>
    <row r="69">
      <c r="H69" s="432"/>
      <c r="I69" s="432"/>
      <c r="J69" s="432"/>
    </row>
    <row r="70">
      <c r="H70" s="432"/>
      <c r="I70" s="432"/>
      <c r="J70" s="432"/>
    </row>
    <row r="71">
      <c r="H71" s="432"/>
      <c r="I71" s="432"/>
      <c r="J71" s="432"/>
    </row>
    <row r="72">
      <c r="H72" s="432"/>
      <c r="I72" s="432"/>
      <c r="J72" s="432"/>
    </row>
    <row r="73">
      <c r="H73" s="432"/>
      <c r="I73" s="432"/>
      <c r="J73" s="432"/>
    </row>
    <row r="74">
      <c r="H74" s="432"/>
      <c r="I74" s="432"/>
      <c r="J74" s="432"/>
    </row>
    <row r="75">
      <c r="H75" s="432"/>
      <c r="I75" s="432"/>
      <c r="J75" s="432"/>
    </row>
    <row r="76">
      <c r="H76" s="432"/>
      <c r="I76" s="432"/>
      <c r="J76" s="432"/>
    </row>
    <row r="77">
      <c r="H77" s="432"/>
      <c r="I77" s="432"/>
      <c r="J77" s="432"/>
    </row>
    <row r="78">
      <c r="H78" s="432"/>
      <c r="I78" s="432"/>
      <c r="J78" s="432"/>
    </row>
    <row r="79">
      <c r="H79" s="432"/>
      <c r="I79" s="432"/>
      <c r="J79" s="432"/>
    </row>
    <row r="80">
      <c r="H80" s="432"/>
      <c r="I80" s="432"/>
      <c r="J80" s="432"/>
    </row>
    <row r="81">
      <c r="H81" s="432"/>
      <c r="I81" s="432"/>
      <c r="J81" s="432"/>
    </row>
    <row r="82">
      <c r="H82" s="432"/>
      <c r="I82" s="432"/>
      <c r="J82" s="432"/>
    </row>
    <row r="83">
      <c r="H83" s="432"/>
      <c r="I83" s="432"/>
      <c r="J83" s="432"/>
    </row>
    <row r="84">
      <c r="H84" s="432"/>
      <c r="I84" s="432"/>
      <c r="J84" s="432"/>
    </row>
    <row r="85">
      <c r="H85" s="432"/>
      <c r="I85" s="432"/>
      <c r="J85" s="432"/>
    </row>
    <row r="86">
      <c r="H86" s="432"/>
      <c r="I86" s="432"/>
      <c r="J86" s="432"/>
    </row>
    <row r="87">
      <c r="H87" s="432"/>
      <c r="I87" s="432"/>
      <c r="J87" s="432"/>
    </row>
    <row r="88">
      <c r="H88" s="432"/>
      <c r="I88" s="432"/>
      <c r="J88" s="432"/>
    </row>
    <row r="89">
      <c r="H89" s="432"/>
      <c r="I89" s="432"/>
      <c r="J89" s="432"/>
    </row>
    <row r="90">
      <c r="H90" s="432"/>
      <c r="I90" s="432"/>
      <c r="J90" s="432"/>
    </row>
    <row r="91">
      <c r="H91" s="432"/>
      <c r="I91" s="432"/>
      <c r="J91" s="432"/>
    </row>
    <row r="92">
      <c r="H92" s="432"/>
      <c r="I92" s="432"/>
      <c r="J92" s="432"/>
    </row>
    <row r="93">
      <c r="H93" s="432"/>
      <c r="I93" s="432"/>
      <c r="J93" s="432"/>
    </row>
    <row r="94">
      <c r="H94" s="432"/>
      <c r="I94" s="432"/>
      <c r="J94" s="432"/>
    </row>
    <row r="95">
      <c r="H95" s="432"/>
      <c r="I95" s="432"/>
      <c r="J95" s="432"/>
    </row>
    <row r="96">
      <c r="H96" s="432"/>
      <c r="I96" s="432"/>
      <c r="J96" s="432"/>
    </row>
    <row r="97">
      <c r="H97" s="432"/>
      <c r="I97" s="432"/>
      <c r="J97" s="432"/>
    </row>
    <row r="98">
      <c r="H98" s="432"/>
      <c r="I98" s="432"/>
      <c r="J98" s="432"/>
    </row>
    <row r="99">
      <c r="H99" s="432"/>
      <c r="I99" s="432"/>
      <c r="J99" s="432"/>
    </row>
    <row r="100">
      <c r="H100" s="432"/>
      <c r="I100" s="432"/>
      <c r="J100" s="432"/>
    </row>
    <row r="101">
      <c r="H101" s="432"/>
      <c r="I101" s="432"/>
      <c r="J101" s="432"/>
    </row>
    <row r="102">
      <c r="H102" s="432"/>
      <c r="I102" s="432"/>
      <c r="J102" s="432"/>
    </row>
    <row r="103">
      <c r="H103" s="432"/>
      <c r="I103" s="432"/>
      <c r="J103" s="432"/>
    </row>
    <row r="104">
      <c r="H104" s="432"/>
      <c r="I104" s="432"/>
      <c r="J104" s="432"/>
    </row>
    <row r="105">
      <c r="H105" s="432"/>
      <c r="I105" s="432"/>
      <c r="J105" s="432"/>
    </row>
    <row r="106">
      <c r="H106" s="432"/>
      <c r="I106" s="432"/>
      <c r="J106" s="432"/>
    </row>
    <row r="107">
      <c r="H107" s="432"/>
      <c r="I107" s="432"/>
      <c r="J107" s="432"/>
    </row>
    <row r="108">
      <c r="H108" s="432"/>
      <c r="I108" s="432"/>
      <c r="J108" s="432"/>
    </row>
    <row r="109">
      <c r="H109" s="432"/>
      <c r="I109" s="432"/>
      <c r="J109" s="432"/>
    </row>
    <row r="110">
      <c r="H110" s="432"/>
      <c r="I110" s="432"/>
      <c r="J110" s="432"/>
    </row>
    <row r="111">
      <c r="H111" s="432"/>
      <c r="I111" s="432"/>
      <c r="J111" s="432"/>
    </row>
    <row r="112">
      <c r="H112" s="432"/>
      <c r="I112" s="432"/>
      <c r="J112" s="432"/>
    </row>
    <row r="113">
      <c r="H113" s="432"/>
      <c r="I113" s="432"/>
      <c r="J113" s="432"/>
    </row>
    <row r="114">
      <c r="H114" s="432"/>
      <c r="I114" s="432"/>
      <c r="J114" s="432"/>
    </row>
    <row r="115">
      <c r="H115" s="432"/>
      <c r="I115" s="432"/>
      <c r="J115" s="432"/>
    </row>
    <row r="116">
      <c r="H116" s="432"/>
      <c r="I116" s="432"/>
      <c r="J116" s="432"/>
    </row>
    <row r="117">
      <c r="H117" s="432"/>
      <c r="I117" s="432"/>
      <c r="J117" s="432"/>
    </row>
    <row r="118">
      <c r="H118" s="432"/>
      <c r="I118" s="432"/>
      <c r="J118" s="432"/>
    </row>
    <row r="119">
      <c r="H119" s="432"/>
      <c r="I119" s="432"/>
      <c r="J119" s="432"/>
    </row>
    <row r="120">
      <c r="H120" s="432"/>
      <c r="I120" s="432"/>
      <c r="J120" s="432"/>
    </row>
    <row r="121">
      <c r="H121" s="432"/>
      <c r="I121" s="432"/>
      <c r="J121" s="432"/>
    </row>
    <row r="122">
      <c r="H122" s="432"/>
      <c r="I122" s="432"/>
      <c r="J122" s="432"/>
    </row>
    <row r="123">
      <c r="H123" s="432"/>
      <c r="I123" s="432"/>
      <c r="J123" s="432"/>
    </row>
    <row r="124">
      <c r="H124" s="432"/>
      <c r="I124" s="432"/>
      <c r="J124" s="432"/>
    </row>
    <row r="125">
      <c r="H125" s="432"/>
      <c r="I125" s="432"/>
      <c r="J125" s="432"/>
    </row>
    <row r="126">
      <c r="H126" s="432"/>
      <c r="I126" s="432"/>
      <c r="J126" s="432"/>
    </row>
    <row r="127">
      <c r="H127" s="432"/>
      <c r="I127" s="432"/>
      <c r="J127" s="432"/>
    </row>
    <row r="128">
      <c r="H128" s="432"/>
      <c r="I128" s="432"/>
      <c r="J128" s="432"/>
    </row>
    <row r="129">
      <c r="H129" s="432"/>
      <c r="I129" s="432"/>
      <c r="J129" s="432"/>
    </row>
    <row r="130">
      <c r="H130" s="432"/>
      <c r="I130" s="432"/>
      <c r="J130" s="432"/>
    </row>
    <row r="131">
      <c r="H131" s="432"/>
      <c r="I131" s="432"/>
      <c r="J131" s="432"/>
    </row>
    <row r="132">
      <c r="H132" s="432"/>
      <c r="I132" s="432"/>
      <c r="J132" s="432"/>
    </row>
    <row r="133">
      <c r="H133" s="432"/>
      <c r="I133" s="432"/>
      <c r="J133" s="432"/>
    </row>
    <row r="134">
      <c r="H134" s="432"/>
      <c r="I134" s="432"/>
      <c r="J134" s="432"/>
    </row>
    <row r="135">
      <c r="H135" s="432"/>
      <c r="I135" s="432"/>
      <c r="J135" s="432"/>
    </row>
    <row r="136">
      <c r="H136" s="432"/>
      <c r="I136" s="432"/>
      <c r="J136" s="432"/>
    </row>
    <row r="137">
      <c r="H137" s="432"/>
      <c r="I137" s="432"/>
      <c r="J137" s="432"/>
    </row>
    <row r="138">
      <c r="H138" s="432"/>
      <c r="I138" s="432"/>
      <c r="J138" s="432"/>
    </row>
    <row r="139">
      <c r="H139" s="432"/>
      <c r="I139" s="432"/>
      <c r="J139" s="432"/>
    </row>
    <row r="140">
      <c r="H140" s="432"/>
      <c r="I140" s="432"/>
      <c r="J140" s="432"/>
    </row>
    <row r="141">
      <c r="H141" s="432"/>
      <c r="I141" s="432"/>
      <c r="J141" s="432"/>
    </row>
    <row r="142">
      <c r="H142" s="432"/>
      <c r="I142" s="432"/>
      <c r="J142" s="432"/>
    </row>
    <row r="143">
      <c r="H143" s="432"/>
      <c r="I143" s="432"/>
      <c r="J143" s="432"/>
    </row>
    <row r="144">
      <c r="H144" s="432"/>
      <c r="I144" s="432"/>
      <c r="J144" s="432"/>
    </row>
    <row r="145">
      <c r="H145" s="432"/>
      <c r="I145" s="432"/>
      <c r="J145" s="432"/>
    </row>
    <row r="146">
      <c r="H146" s="432"/>
      <c r="I146" s="432"/>
      <c r="J146" s="432"/>
    </row>
    <row r="147">
      <c r="H147" s="432"/>
      <c r="I147" s="432"/>
      <c r="J147" s="432"/>
    </row>
    <row r="148">
      <c r="H148" s="432"/>
      <c r="I148" s="432"/>
      <c r="J148" s="432"/>
    </row>
    <row r="149">
      <c r="H149" s="432"/>
      <c r="I149" s="432"/>
      <c r="J149" s="432"/>
    </row>
    <row r="150">
      <c r="H150" s="432"/>
      <c r="I150" s="432"/>
      <c r="J150" s="432"/>
    </row>
    <row r="151">
      <c r="H151" s="432"/>
      <c r="I151" s="432"/>
      <c r="J151" s="432"/>
    </row>
    <row r="152">
      <c r="H152" s="432"/>
      <c r="I152" s="432"/>
      <c r="J152" s="432"/>
    </row>
    <row r="153">
      <c r="H153" s="432"/>
      <c r="I153" s="432"/>
      <c r="J153" s="432"/>
    </row>
    <row r="154">
      <c r="H154" s="432"/>
      <c r="I154" s="432"/>
      <c r="J154" s="432"/>
    </row>
    <row r="155">
      <c r="H155" s="432"/>
      <c r="I155" s="432"/>
      <c r="J155" s="432"/>
    </row>
    <row r="156">
      <c r="H156" s="432"/>
      <c r="I156" s="432"/>
      <c r="J156" s="432"/>
    </row>
    <row r="157">
      <c r="H157" s="432"/>
      <c r="I157" s="432"/>
      <c r="J157" s="432"/>
    </row>
    <row r="158">
      <c r="H158" s="432"/>
      <c r="I158" s="432"/>
      <c r="J158" s="432"/>
    </row>
    <row r="159">
      <c r="H159" s="432"/>
      <c r="I159" s="432"/>
      <c r="J159" s="432"/>
    </row>
    <row r="160">
      <c r="H160" s="432"/>
      <c r="I160" s="432"/>
      <c r="J160" s="432"/>
    </row>
    <row r="161">
      <c r="H161" s="432"/>
      <c r="I161" s="432"/>
      <c r="J161" s="432"/>
    </row>
    <row r="162">
      <c r="H162" s="432"/>
      <c r="I162" s="432"/>
      <c r="J162" s="432"/>
    </row>
    <row r="163">
      <c r="H163" s="432"/>
      <c r="I163" s="432"/>
      <c r="J163" s="432"/>
    </row>
    <row r="164">
      <c r="H164" s="432"/>
      <c r="I164" s="432"/>
      <c r="J164" s="432"/>
    </row>
    <row r="165">
      <c r="H165" s="432"/>
      <c r="I165" s="432"/>
      <c r="J165" s="432"/>
    </row>
    <row r="166">
      <c r="H166" s="432"/>
      <c r="I166" s="432"/>
      <c r="J166" s="432"/>
    </row>
    <row r="167">
      <c r="H167" s="432"/>
      <c r="I167" s="432"/>
      <c r="J167" s="432"/>
    </row>
    <row r="168">
      <c r="H168" s="432"/>
      <c r="I168" s="432"/>
      <c r="J168" s="432"/>
    </row>
    <row r="169">
      <c r="H169" s="432"/>
      <c r="I169" s="432"/>
      <c r="J169" s="432"/>
    </row>
    <row r="170">
      <c r="H170" s="432"/>
      <c r="I170" s="432"/>
      <c r="J170" s="432"/>
    </row>
    <row r="171">
      <c r="H171" s="432"/>
      <c r="I171" s="432"/>
      <c r="J171" s="432"/>
    </row>
    <row r="172">
      <c r="H172" s="432"/>
      <c r="I172" s="432"/>
      <c r="J172" s="432"/>
    </row>
    <row r="173">
      <c r="H173" s="432"/>
      <c r="I173" s="432"/>
      <c r="J173" s="432"/>
    </row>
    <row r="174">
      <c r="H174" s="432"/>
      <c r="I174" s="432"/>
      <c r="J174" s="432"/>
    </row>
    <row r="175">
      <c r="H175" s="432"/>
      <c r="I175" s="432"/>
      <c r="J175" s="432"/>
    </row>
    <row r="176">
      <c r="H176" s="432"/>
      <c r="I176" s="432"/>
      <c r="J176" s="432"/>
    </row>
    <row r="177">
      <c r="H177" s="432"/>
      <c r="I177" s="432"/>
      <c r="J177" s="432"/>
    </row>
    <row r="178">
      <c r="H178" s="432"/>
      <c r="I178" s="432"/>
      <c r="J178" s="432"/>
    </row>
    <row r="179">
      <c r="H179" s="432"/>
      <c r="I179" s="432"/>
      <c r="J179" s="432"/>
    </row>
    <row r="180">
      <c r="H180" s="432"/>
      <c r="I180" s="432"/>
      <c r="J180" s="432"/>
    </row>
    <row r="181">
      <c r="H181" s="432"/>
      <c r="I181" s="432"/>
      <c r="J181" s="432"/>
    </row>
    <row r="182">
      <c r="H182" s="432"/>
      <c r="I182" s="432"/>
      <c r="J182" s="432"/>
    </row>
    <row r="183">
      <c r="H183" s="432"/>
      <c r="I183" s="432"/>
      <c r="J183" s="432"/>
    </row>
    <row r="184">
      <c r="H184" s="432"/>
      <c r="I184" s="432"/>
      <c r="J184" s="432"/>
    </row>
    <row r="185">
      <c r="H185" s="432"/>
      <c r="I185" s="432"/>
      <c r="J185" s="432"/>
    </row>
    <row r="186">
      <c r="H186" s="432"/>
      <c r="I186" s="432"/>
      <c r="J186" s="432"/>
    </row>
    <row r="187">
      <c r="H187" s="432"/>
      <c r="I187" s="432"/>
      <c r="J187" s="432"/>
    </row>
    <row r="188">
      <c r="H188" s="432"/>
      <c r="I188" s="432"/>
      <c r="J188" s="432"/>
    </row>
    <row r="189">
      <c r="H189" s="432"/>
      <c r="I189" s="432"/>
      <c r="J189" s="432"/>
    </row>
    <row r="190">
      <c r="H190" s="432"/>
      <c r="I190" s="432"/>
      <c r="J190" s="432"/>
    </row>
    <row r="191">
      <c r="H191" s="432"/>
      <c r="I191" s="432"/>
      <c r="J191" s="432"/>
    </row>
    <row r="192">
      <c r="H192" s="432"/>
      <c r="I192" s="432"/>
      <c r="J192" s="432"/>
    </row>
    <row r="193">
      <c r="H193" s="432"/>
      <c r="I193" s="432"/>
      <c r="J193" s="432"/>
    </row>
    <row r="194">
      <c r="H194" s="432"/>
      <c r="I194" s="432"/>
      <c r="J194" s="432"/>
    </row>
    <row r="195">
      <c r="H195" s="432"/>
      <c r="I195" s="432"/>
      <c r="J195" s="432"/>
    </row>
    <row r="196">
      <c r="H196" s="432"/>
      <c r="I196" s="432"/>
      <c r="J196" s="432"/>
    </row>
    <row r="197">
      <c r="H197" s="432"/>
      <c r="I197" s="432"/>
      <c r="J197" s="432"/>
    </row>
    <row r="198">
      <c r="H198" s="432"/>
      <c r="I198" s="432"/>
      <c r="J198" s="432"/>
    </row>
    <row r="199">
      <c r="H199" s="432"/>
      <c r="I199" s="432"/>
      <c r="J199" s="432"/>
    </row>
    <row r="200">
      <c r="H200" s="432"/>
      <c r="I200" s="432"/>
      <c r="J200" s="432"/>
    </row>
    <row r="201">
      <c r="H201" s="432"/>
      <c r="I201" s="432"/>
      <c r="J201" s="432"/>
    </row>
    <row r="202">
      <c r="H202" s="432"/>
      <c r="I202" s="432"/>
      <c r="J202" s="432"/>
    </row>
    <row r="203">
      <c r="H203" s="432"/>
      <c r="I203" s="432"/>
      <c r="J203" s="432"/>
    </row>
    <row r="204">
      <c r="H204" s="432"/>
      <c r="I204" s="432"/>
      <c r="J204" s="432"/>
    </row>
    <row r="205">
      <c r="H205" s="432"/>
      <c r="I205" s="432"/>
      <c r="J205" s="432"/>
    </row>
    <row r="206">
      <c r="H206" s="432"/>
      <c r="I206" s="432"/>
      <c r="J206" s="432"/>
    </row>
    <row r="207">
      <c r="H207" s="432"/>
      <c r="I207" s="432"/>
      <c r="J207" s="432"/>
    </row>
    <row r="208">
      <c r="H208" s="432"/>
      <c r="I208" s="432"/>
      <c r="J208" s="432"/>
    </row>
    <row r="209">
      <c r="H209" s="432"/>
      <c r="I209" s="432"/>
      <c r="J209" s="432"/>
    </row>
    <row r="210">
      <c r="H210" s="432"/>
      <c r="I210" s="432"/>
      <c r="J210" s="432"/>
    </row>
    <row r="211">
      <c r="H211" s="432"/>
      <c r="I211" s="432"/>
      <c r="J211" s="432"/>
    </row>
    <row r="212">
      <c r="H212" s="432"/>
      <c r="I212" s="432"/>
      <c r="J212" s="432"/>
    </row>
    <row r="213">
      <c r="H213" s="432"/>
      <c r="I213" s="432"/>
      <c r="J213" s="432"/>
    </row>
    <row r="214">
      <c r="H214" s="432"/>
      <c r="I214" s="432"/>
      <c r="J214" s="432"/>
    </row>
    <row r="215">
      <c r="H215" s="432"/>
      <c r="I215" s="432"/>
      <c r="J215" s="432"/>
    </row>
    <row r="216">
      <c r="H216" s="432"/>
      <c r="I216" s="432"/>
      <c r="J216" s="432"/>
    </row>
    <row r="217">
      <c r="H217" s="432"/>
      <c r="I217" s="432"/>
      <c r="J217" s="432"/>
    </row>
    <row r="218">
      <c r="H218" s="432"/>
      <c r="I218" s="432"/>
      <c r="J218" s="432"/>
    </row>
    <row r="219">
      <c r="H219" s="432"/>
      <c r="I219" s="432"/>
      <c r="J219" s="432"/>
    </row>
    <row r="220">
      <c r="H220" s="432"/>
      <c r="I220" s="432"/>
      <c r="J220" s="432"/>
    </row>
    <row r="221">
      <c r="H221" s="432"/>
      <c r="I221" s="432"/>
      <c r="J221" s="432"/>
    </row>
    <row r="222">
      <c r="H222" s="432"/>
      <c r="I222" s="432"/>
      <c r="J222" s="432"/>
    </row>
    <row r="223">
      <c r="H223" s="432"/>
      <c r="I223" s="432"/>
      <c r="J223" s="432"/>
    </row>
    <row r="224">
      <c r="H224" s="432"/>
      <c r="I224" s="432"/>
      <c r="J224" s="432"/>
    </row>
    <row r="225">
      <c r="H225" s="432"/>
      <c r="I225" s="432"/>
      <c r="J225" s="432"/>
    </row>
    <row r="226">
      <c r="H226" s="432"/>
      <c r="I226" s="432"/>
      <c r="J226" s="432"/>
    </row>
    <row r="227">
      <c r="H227" s="432"/>
      <c r="I227" s="432"/>
      <c r="J227" s="432"/>
    </row>
    <row r="228">
      <c r="H228" s="432"/>
      <c r="I228" s="432"/>
      <c r="J228" s="432"/>
    </row>
    <row r="229">
      <c r="H229" s="432"/>
      <c r="I229" s="432"/>
      <c r="J229" s="432"/>
    </row>
    <row r="230">
      <c r="H230" s="432"/>
      <c r="I230" s="432"/>
      <c r="J230" s="432"/>
    </row>
    <row r="231">
      <c r="H231" s="432"/>
      <c r="I231" s="432"/>
      <c r="J231" s="432"/>
    </row>
    <row r="232">
      <c r="H232" s="432"/>
      <c r="I232" s="432"/>
      <c r="J232" s="432"/>
    </row>
    <row r="233">
      <c r="H233" s="432"/>
      <c r="I233" s="432"/>
      <c r="J233" s="432"/>
    </row>
    <row r="234">
      <c r="H234" s="432"/>
      <c r="I234" s="432"/>
      <c r="J234" s="432"/>
    </row>
    <row r="235">
      <c r="H235" s="432"/>
      <c r="I235" s="432"/>
      <c r="J235" s="432"/>
    </row>
    <row r="236">
      <c r="H236" s="432"/>
      <c r="I236" s="432"/>
      <c r="J236" s="432"/>
    </row>
    <row r="237">
      <c r="H237" s="432"/>
      <c r="I237" s="432"/>
      <c r="J237" s="432"/>
    </row>
    <row r="238">
      <c r="H238" s="432"/>
      <c r="I238" s="432"/>
      <c r="J238" s="432"/>
    </row>
    <row r="239">
      <c r="H239" s="432"/>
      <c r="I239" s="432"/>
      <c r="J239" s="432"/>
    </row>
    <row r="240">
      <c r="H240" s="432"/>
      <c r="I240" s="432"/>
      <c r="J240" s="432"/>
    </row>
    <row r="241">
      <c r="H241" s="432"/>
      <c r="I241" s="432"/>
      <c r="J241" s="432"/>
    </row>
    <row r="242">
      <c r="H242" s="432"/>
      <c r="I242" s="432"/>
      <c r="J242" s="432"/>
    </row>
    <row r="243">
      <c r="H243" s="432"/>
      <c r="I243" s="432"/>
      <c r="J243" s="432"/>
    </row>
    <row r="244">
      <c r="H244" s="432"/>
      <c r="I244" s="432"/>
      <c r="J244" s="432"/>
    </row>
    <row r="245">
      <c r="H245" s="432"/>
      <c r="I245" s="432"/>
      <c r="J245" s="432"/>
    </row>
    <row r="246">
      <c r="H246" s="432"/>
      <c r="I246" s="432"/>
      <c r="J246" s="432"/>
    </row>
    <row r="247">
      <c r="H247" s="432"/>
      <c r="I247" s="432"/>
      <c r="J247" s="432"/>
    </row>
    <row r="248">
      <c r="H248" s="432"/>
      <c r="I248" s="432"/>
      <c r="J248" s="432"/>
    </row>
    <row r="249">
      <c r="H249" s="432"/>
      <c r="I249" s="432"/>
      <c r="J249" s="432"/>
    </row>
    <row r="250">
      <c r="H250" s="432"/>
      <c r="I250" s="432"/>
      <c r="J250" s="432"/>
    </row>
    <row r="251">
      <c r="H251" s="432"/>
      <c r="I251" s="432"/>
      <c r="J251" s="432"/>
    </row>
    <row r="252">
      <c r="H252" s="432"/>
      <c r="I252" s="432"/>
      <c r="J252" s="432"/>
    </row>
    <row r="253">
      <c r="H253" s="432"/>
      <c r="I253" s="432"/>
      <c r="J253" s="432"/>
    </row>
    <row r="254">
      <c r="H254" s="432"/>
      <c r="I254" s="432"/>
      <c r="J254" s="432"/>
    </row>
    <row r="255">
      <c r="H255" s="432"/>
      <c r="I255" s="432"/>
      <c r="J255" s="432"/>
    </row>
    <row r="256">
      <c r="H256" s="432"/>
      <c r="I256" s="432"/>
      <c r="J256" s="432"/>
    </row>
    <row r="257">
      <c r="H257" s="432"/>
      <c r="I257" s="432"/>
      <c r="J257" s="432"/>
    </row>
    <row r="258">
      <c r="H258" s="432"/>
      <c r="I258" s="432"/>
      <c r="J258" s="432"/>
    </row>
    <row r="259">
      <c r="H259" s="432"/>
      <c r="I259" s="432"/>
      <c r="J259" s="432"/>
    </row>
    <row r="260">
      <c r="H260" s="432"/>
      <c r="I260" s="432"/>
      <c r="J260" s="432"/>
    </row>
    <row r="261">
      <c r="H261" s="432"/>
      <c r="I261" s="432"/>
      <c r="J261" s="432"/>
    </row>
    <row r="262">
      <c r="H262" s="432"/>
      <c r="I262" s="432"/>
      <c r="J262" s="432"/>
    </row>
    <row r="263">
      <c r="H263" s="432"/>
      <c r="I263" s="432"/>
      <c r="J263" s="432"/>
    </row>
    <row r="264">
      <c r="H264" s="432"/>
      <c r="I264" s="432"/>
      <c r="J264" s="432"/>
    </row>
    <row r="265">
      <c r="H265" s="432"/>
      <c r="I265" s="432"/>
      <c r="J265" s="432"/>
    </row>
    <row r="266">
      <c r="H266" s="432"/>
      <c r="I266" s="432"/>
      <c r="J266" s="432"/>
    </row>
    <row r="267">
      <c r="H267" s="432"/>
      <c r="I267" s="432"/>
      <c r="J267" s="432"/>
    </row>
    <row r="268">
      <c r="H268" s="432"/>
      <c r="I268" s="432"/>
      <c r="J268" s="432"/>
    </row>
    <row r="269">
      <c r="H269" s="432"/>
      <c r="I269" s="432"/>
      <c r="J269" s="432"/>
    </row>
    <row r="270">
      <c r="H270" s="432"/>
      <c r="I270" s="432"/>
      <c r="J270" s="432"/>
    </row>
    <row r="271">
      <c r="H271" s="432"/>
      <c r="I271" s="432"/>
      <c r="J271" s="432"/>
    </row>
    <row r="272">
      <c r="H272" s="432"/>
      <c r="I272" s="432"/>
      <c r="J272" s="432"/>
    </row>
    <row r="273">
      <c r="H273" s="432"/>
      <c r="I273" s="432"/>
      <c r="J273" s="432"/>
    </row>
    <row r="274">
      <c r="H274" s="432"/>
      <c r="I274" s="432"/>
      <c r="J274" s="432"/>
    </row>
    <row r="275">
      <c r="H275" s="432"/>
      <c r="I275" s="432"/>
      <c r="J275" s="432"/>
    </row>
    <row r="276">
      <c r="H276" s="432"/>
      <c r="I276" s="432"/>
      <c r="J276" s="432"/>
    </row>
    <row r="277">
      <c r="H277" s="432"/>
      <c r="I277" s="432"/>
      <c r="J277" s="432"/>
    </row>
    <row r="278">
      <c r="H278" s="432"/>
      <c r="I278" s="432"/>
      <c r="J278" s="432"/>
    </row>
    <row r="279">
      <c r="H279" s="432"/>
      <c r="I279" s="432"/>
      <c r="J279" s="432"/>
    </row>
    <row r="280">
      <c r="H280" s="432"/>
      <c r="I280" s="432"/>
      <c r="J280" s="432"/>
    </row>
    <row r="281">
      <c r="H281" s="432"/>
      <c r="I281" s="432"/>
      <c r="J281" s="432"/>
    </row>
    <row r="282">
      <c r="H282" s="432"/>
      <c r="I282" s="432"/>
      <c r="J282" s="432"/>
    </row>
    <row r="283">
      <c r="H283" s="432"/>
      <c r="I283" s="432"/>
      <c r="J283" s="432"/>
    </row>
    <row r="284">
      <c r="H284" s="432"/>
      <c r="I284" s="432"/>
      <c r="J284" s="432"/>
    </row>
    <row r="285">
      <c r="H285" s="432"/>
      <c r="I285" s="432"/>
      <c r="J285" s="432"/>
    </row>
    <row r="286">
      <c r="H286" s="432"/>
      <c r="I286" s="432"/>
      <c r="J286" s="432"/>
    </row>
    <row r="287">
      <c r="H287" s="432"/>
      <c r="I287" s="432"/>
      <c r="J287" s="432"/>
    </row>
    <row r="288">
      <c r="H288" s="432"/>
      <c r="I288" s="432"/>
      <c r="J288" s="432"/>
    </row>
    <row r="289">
      <c r="H289" s="432"/>
      <c r="I289" s="432"/>
      <c r="J289" s="432"/>
    </row>
    <row r="290">
      <c r="H290" s="432"/>
      <c r="I290" s="432"/>
      <c r="J290" s="432"/>
    </row>
    <row r="291">
      <c r="H291" s="432"/>
      <c r="I291" s="432"/>
      <c r="J291" s="432"/>
    </row>
    <row r="292">
      <c r="H292" s="432"/>
      <c r="I292" s="432"/>
      <c r="J292" s="432"/>
    </row>
    <row r="293">
      <c r="H293" s="432"/>
      <c r="I293" s="432"/>
      <c r="J293" s="432"/>
    </row>
    <row r="294">
      <c r="H294" s="432"/>
      <c r="I294" s="432"/>
      <c r="J294" s="432"/>
    </row>
    <row r="295">
      <c r="H295" s="432"/>
      <c r="I295" s="432"/>
      <c r="J295" s="432"/>
    </row>
    <row r="296">
      <c r="H296" s="432"/>
      <c r="I296" s="432"/>
      <c r="J296" s="432"/>
    </row>
    <row r="297">
      <c r="H297" s="432"/>
      <c r="I297" s="432"/>
      <c r="J297" s="432"/>
    </row>
    <row r="298">
      <c r="H298" s="432"/>
      <c r="I298" s="432"/>
      <c r="J298" s="432"/>
    </row>
    <row r="299">
      <c r="H299" s="432"/>
      <c r="I299" s="432"/>
      <c r="J299" s="432"/>
    </row>
    <row r="300">
      <c r="H300" s="432"/>
      <c r="I300" s="432"/>
      <c r="J300" s="432"/>
    </row>
    <row r="301">
      <c r="H301" s="432"/>
      <c r="I301" s="432"/>
      <c r="J301" s="432"/>
    </row>
    <row r="302">
      <c r="H302" s="432"/>
      <c r="I302" s="432"/>
      <c r="J302" s="432"/>
    </row>
    <row r="303">
      <c r="H303" s="432"/>
      <c r="I303" s="432"/>
      <c r="J303" s="432"/>
    </row>
    <row r="304">
      <c r="H304" s="432"/>
      <c r="I304" s="432"/>
      <c r="J304" s="432"/>
    </row>
    <row r="305">
      <c r="H305" s="432"/>
      <c r="I305" s="432"/>
      <c r="J305" s="432"/>
    </row>
    <row r="306">
      <c r="H306" s="432"/>
      <c r="I306" s="432"/>
      <c r="J306" s="432"/>
    </row>
    <row r="307">
      <c r="H307" s="432"/>
      <c r="I307" s="432"/>
      <c r="J307" s="432"/>
    </row>
    <row r="308">
      <c r="H308" s="432"/>
      <c r="I308" s="432"/>
      <c r="J308" s="432"/>
    </row>
    <row r="309">
      <c r="H309" s="432"/>
      <c r="I309" s="432"/>
      <c r="J309" s="432"/>
    </row>
    <row r="310">
      <c r="H310" s="432"/>
      <c r="I310" s="432"/>
      <c r="J310" s="432"/>
    </row>
    <row r="311">
      <c r="H311" s="432"/>
      <c r="I311" s="432"/>
      <c r="J311" s="432"/>
    </row>
    <row r="312">
      <c r="H312" s="432"/>
      <c r="I312" s="432"/>
      <c r="J312" s="432"/>
    </row>
    <row r="313">
      <c r="H313" s="432"/>
      <c r="I313" s="432"/>
      <c r="J313" s="432"/>
    </row>
    <row r="314">
      <c r="H314" s="432"/>
      <c r="I314" s="432"/>
      <c r="J314" s="432"/>
    </row>
    <row r="315">
      <c r="H315" s="432"/>
      <c r="I315" s="432"/>
      <c r="J315" s="432"/>
    </row>
    <row r="316">
      <c r="H316" s="432"/>
      <c r="I316" s="432"/>
      <c r="J316" s="432"/>
    </row>
    <row r="317">
      <c r="H317" s="432"/>
      <c r="I317" s="432"/>
      <c r="J317" s="432"/>
    </row>
    <row r="318">
      <c r="H318" s="432"/>
      <c r="I318" s="432"/>
      <c r="J318" s="432"/>
    </row>
    <row r="319">
      <c r="H319" s="432"/>
      <c r="I319" s="432"/>
      <c r="J319" s="432"/>
    </row>
    <row r="320">
      <c r="H320" s="432"/>
      <c r="I320" s="432"/>
      <c r="J320" s="432"/>
    </row>
    <row r="321">
      <c r="H321" s="432"/>
      <c r="I321" s="432"/>
      <c r="J321" s="432"/>
    </row>
    <row r="322">
      <c r="H322" s="432"/>
      <c r="I322" s="432"/>
      <c r="J322" s="432"/>
    </row>
    <row r="323">
      <c r="H323" s="432"/>
      <c r="I323" s="432"/>
      <c r="J323" s="432"/>
    </row>
    <row r="324">
      <c r="H324" s="432"/>
      <c r="I324" s="432"/>
      <c r="J324" s="432"/>
    </row>
    <row r="325">
      <c r="H325" s="432"/>
      <c r="I325" s="432"/>
      <c r="J325" s="432"/>
    </row>
    <row r="326">
      <c r="H326" s="432"/>
      <c r="I326" s="432"/>
      <c r="J326" s="432"/>
    </row>
    <row r="327">
      <c r="H327" s="432"/>
      <c r="I327" s="432"/>
      <c r="J327" s="432"/>
    </row>
    <row r="328">
      <c r="H328" s="432"/>
      <c r="I328" s="432"/>
      <c r="J328" s="432"/>
    </row>
    <row r="329">
      <c r="H329" s="432"/>
      <c r="I329" s="432"/>
      <c r="J329" s="432"/>
    </row>
    <row r="330">
      <c r="H330" s="432"/>
      <c r="I330" s="432"/>
      <c r="J330" s="432"/>
    </row>
    <row r="331">
      <c r="H331" s="432"/>
      <c r="I331" s="432"/>
      <c r="J331" s="432"/>
    </row>
    <row r="332">
      <c r="H332" s="432"/>
      <c r="I332" s="432"/>
      <c r="J332" s="432"/>
    </row>
    <row r="333">
      <c r="H333" s="432"/>
      <c r="I333" s="432"/>
      <c r="J333" s="432"/>
    </row>
    <row r="334">
      <c r="H334" s="432"/>
      <c r="I334" s="432"/>
      <c r="J334" s="432"/>
    </row>
    <row r="335">
      <c r="H335" s="432"/>
      <c r="I335" s="432"/>
      <c r="J335" s="432"/>
    </row>
    <row r="336">
      <c r="H336" s="432"/>
      <c r="I336" s="432"/>
      <c r="J336" s="432"/>
    </row>
    <row r="337">
      <c r="H337" s="432"/>
      <c r="I337" s="432"/>
      <c r="J337" s="432"/>
    </row>
    <row r="338">
      <c r="H338" s="432"/>
      <c r="I338" s="432"/>
      <c r="J338" s="432"/>
    </row>
    <row r="339">
      <c r="H339" s="432"/>
      <c r="I339" s="432"/>
      <c r="J339" s="432"/>
    </row>
    <row r="340">
      <c r="H340" s="432"/>
      <c r="I340" s="432"/>
      <c r="J340" s="432"/>
    </row>
    <row r="341">
      <c r="H341" s="432"/>
      <c r="I341" s="432"/>
      <c r="J341" s="432"/>
    </row>
    <row r="342">
      <c r="H342" s="432"/>
      <c r="I342" s="432"/>
      <c r="J342" s="432"/>
    </row>
    <row r="343">
      <c r="H343" s="432"/>
      <c r="I343" s="432"/>
      <c r="J343" s="432"/>
    </row>
    <row r="344">
      <c r="H344" s="432"/>
      <c r="I344" s="432"/>
      <c r="J344" s="432"/>
    </row>
    <row r="345">
      <c r="H345" s="432"/>
      <c r="I345" s="432"/>
      <c r="J345" s="432"/>
    </row>
    <row r="346">
      <c r="H346" s="432"/>
      <c r="I346" s="432"/>
      <c r="J346" s="432"/>
    </row>
    <row r="347">
      <c r="H347" s="432"/>
      <c r="I347" s="432"/>
      <c r="J347" s="432"/>
    </row>
    <row r="348">
      <c r="H348" s="432"/>
      <c r="I348" s="432"/>
      <c r="J348" s="432"/>
    </row>
    <row r="349">
      <c r="H349" s="432"/>
      <c r="I349" s="432"/>
      <c r="J349" s="432"/>
    </row>
    <row r="350">
      <c r="H350" s="432"/>
      <c r="I350" s="432"/>
      <c r="J350" s="432"/>
    </row>
    <row r="351">
      <c r="H351" s="432"/>
      <c r="I351" s="432"/>
      <c r="J351" s="432"/>
    </row>
    <row r="352">
      <c r="H352" s="432"/>
      <c r="I352" s="432"/>
      <c r="J352" s="432"/>
    </row>
    <row r="353">
      <c r="H353" s="432"/>
      <c r="I353" s="432"/>
      <c r="J353" s="432"/>
    </row>
    <row r="354">
      <c r="H354" s="432"/>
      <c r="I354" s="432"/>
      <c r="J354" s="432"/>
    </row>
    <row r="355">
      <c r="H355" s="432"/>
      <c r="I355" s="432"/>
      <c r="J355" s="432"/>
    </row>
    <row r="356">
      <c r="H356" s="432"/>
      <c r="I356" s="432"/>
      <c r="J356" s="432"/>
    </row>
    <row r="357">
      <c r="H357" s="432"/>
      <c r="I357" s="432"/>
      <c r="J357" s="432"/>
    </row>
    <row r="358">
      <c r="H358" s="432"/>
      <c r="I358" s="432"/>
      <c r="J358" s="432"/>
    </row>
    <row r="359">
      <c r="H359" s="432"/>
      <c r="I359" s="432"/>
      <c r="J359" s="432"/>
    </row>
    <row r="360">
      <c r="H360" s="432"/>
      <c r="I360" s="432"/>
      <c r="J360" s="432"/>
    </row>
    <row r="361">
      <c r="H361" s="432"/>
      <c r="I361" s="432"/>
      <c r="J361" s="432"/>
    </row>
    <row r="362">
      <c r="H362" s="432"/>
      <c r="I362" s="432"/>
      <c r="J362" s="432"/>
    </row>
    <row r="363">
      <c r="H363" s="432"/>
      <c r="I363" s="432"/>
      <c r="J363" s="432"/>
    </row>
    <row r="364">
      <c r="H364" s="432"/>
      <c r="I364" s="432"/>
      <c r="J364" s="432"/>
    </row>
    <row r="365">
      <c r="H365" s="432"/>
      <c r="I365" s="432"/>
      <c r="J365" s="432"/>
    </row>
    <row r="366">
      <c r="H366" s="432"/>
      <c r="I366" s="432"/>
      <c r="J366" s="432"/>
    </row>
    <row r="367">
      <c r="H367" s="432"/>
      <c r="I367" s="432"/>
      <c r="J367" s="432"/>
    </row>
    <row r="368">
      <c r="H368" s="432"/>
      <c r="I368" s="432"/>
      <c r="J368" s="432"/>
    </row>
    <row r="369">
      <c r="H369" s="432"/>
      <c r="I369" s="432"/>
      <c r="J369" s="432"/>
    </row>
    <row r="370">
      <c r="H370" s="432"/>
      <c r="I370" s="432"/>
      <c r="J370" s="432"/>
    </row>
    <row r="371">
      <c r="H371" s="432"/>
      <c r="I371" s="432"/>
      <c r="J371" s="432"/>
    </row>
    <row r="372">
      <c r="H372" s="432"/>
      <c r="I372" s="432"/>
      <c r="J372" s="432"/>
    </row>
    <row r="373">
      <c r="H373" s="432"/>
      <c r="I373" s="432"/>
      <c r="J373" s="432"/>
    </row>
    <row r="374">
      <c r="H374" s="432"/>
      <c r="I374" s="432"/>
      <c r="J374" s="432"/>
    </row>
    <row r="375">
      <c r="H375" s="432"/>
      <c r="I375" s="432"/>
      <c r="J375" s="432"/>
    </row>
    <row r="376">
      <c r="H376" s="432"/>
      <c r="I376" s="432"/>
      <c r="J376" s="432"/>
    </row>
    <row r="377">
      <c r="H377" s="432"/>
      <c r="I377" s="432"/>
      <c r="J377" s="432"/>
    </row>
    <row r="378">
      <c r="H378" s="432"/>
      <c r="I378" s="432"/>
      <c r="J378" s="432"/>
    </row>
    <row r="379">
      <c r="H379" s="432"/>
      <c r="I379" s="432"/>
      <c r="J379" s="432"/>
    </row>
    <row r="380">
      <c r="H380" s="432"/>
      <c r="I380" s="432"/>
      <c r="J380" s="432"/>
    </row>
    <row r="381">
      <c r="H381" s="432"/>
      <c r="I381" s="432"/>
      <c r="J381" s="432"/>
    </row>
    <row r="382">
      <c r="H382" s="432"/>
      <c r="I382" s="432"/>
      <c r="J382" s="432"/>
    </row>
    <row r="383">
      <c r="H383" s="432"/>
      <c r="I383" s="432"/>
      <c r="J383" s="432"/>
    </row>
    <row r="384">
      <c r="H384" s="432"/>
      <c r="I384" s="432"/>
      <c r="J384" s="432"/>
    </row>
    <row r="385">
      <c r="H385" s="432"/>
      <c r="I385" s="432"/>
      <c r="J385" s="432"/>
    </row>
    <row r="386">
      <c r="H386" s="432"/>
      <c r="I386" s="432"/>
      <c r="J386" s="432"/>
    </row>
    <row r="387">
      <c r="H387" s="432"/>
      <c r="I387" s="432"/>
      <c r="J387" s="432"/>
    </row>
    <row r="388">
      <c r="H388" s="432"/>
      <c r="I388" s="432"/>
      <c r="J388" s="432"/>
    </row>
    <row r="389">
      <c r="H389" s="432"/>
      <c r="I389" s="432"/>
      <c r="J389" s="432"/>
    </row>
    <row r="390">
      <c r="H390" s="432"/>
      <c r="I390" s="432"/>
      <c r="J390" s="432"/>
    </row>
    <row r="391">
      <c r="H391" s="432"/>
      <c r="I391" s="432"/>
      <c r="J391" s="432"/>
    </row>
    <row r="392">
      <c r="H392" s="432"/>
      <c r="I392" s="432"/>
      <c r="J392" s="432"/>
    </row>
    <row r="393">
      <c r="H393" s="432"/>
      <c r="I393" s="432"/>
      <c r="J393" s="432"/>
    </row>
    <row r="394">
      <c r="H394" s="432"/>
      <c r="I394" s="432"/>
      <c r="J394" s="432"/>
    </row>
    <row r="395">
      <c r="H395" s="432"/>
      <c r="I395" s="432"/>
      <c r="J395" s="432"/>
    </row>
    <row r="396">
      <c r="H396" s="432"/>
      <c r="I396" s="432"/>
      <c r="J396" s="432"/>
    </row>
    <row r="397">
      <c r="H397" s="432"/>
      <c r="I397" s="432"/>
      <c r="J397" s="432"/>
    </row>
    <row r="398">
      <c r="H398" s="432"/>
      <c r="I398" s="432"/>
      <c r="J398" s="432"/>
    </row>
    <row r="399">
      <c r="H399" s="432"/>
      <c r="I399" s="432"/>
      <c r="J399" s="432"/>
    </row>
    <row r="400">
      <c r="H400" s="432"/>
      <c r="I400" s="432"/>
      <c r="J400" s="432"/>
    </row>
    <row r="401">
      <c r="H401" s="432"/>
      <c r="I401" s="432"/>
      <c r="J401" s="432"/>
    </row>
    <row r="402">
      <c r="H402" s="432"/>
      <c r="I402" s="432"/>
      <c r="J402" s="432"/>
    </row>
    <row r="403">
      <c r="H403" s="432"/>
      <c r="I403" s="432"/>
      <c r="J403" s="432"/>
    </row>
    <row r="404">
      <c r="H404" s="432"/>
      <c r="I404" s="432"/>
      <c r="J404" s="432"/>
    </row>
    <row r="405">
      <c r="H405" s="432"/>
      <c r="I405" s="432"/>
      <c r="J405" s="432"/>
    </row>
    <row r="406">
      <c r="H406" s="432"/>
      <c r="I406" s="432"/>
      <c r="J406" s="432"/>
    </row>
    <row r="407">
      <c r="H407" s="432"/>
      <c r="I407" s="432"/>
      <c r="J407" s="432"/>
    </row>
    <row r="408">
      <c r="H408" s="432"/>
      <c r="I408" s="432"/>
      <c r="J408" s="432"/>
    </row>
    <row r="409">
      <c r="H409" s="432"/>
      <c r="I409" s="432"/>
      <c r="J409" s="432"/>
    </row>
    <row r="410">
      <c r="H410" s="432"/>
      <c r="I410" s="432"/>
      <c r="J410" s="432"/>
    </row>
    <row r="411">
      <c r="H411" s="432"/>
      <c r="I411" s="432"/>
      <c r="J411" s="432"/>
    </row>
    <row r="412">
      <c r="H412" s="432"/>
      <c r="I412" s="432"/>
      <c r="J412" s="432"/>
    </row>
    <row r="413">
      <c r="H413" s="432"/>
      <c r="I413" s="432"/>
      <c r="J413" s="432"/>
    </row>
    <row r="414">
      <c r="H414" s="432"/>
      <c r="I414" s="432"/>
      <c r="J414" s="432"/>
    </row>
    <row r="415">
      <c r="H415" s="432"/>
      <c r="I415" s="432"/>
      <c r="J415" s="432"/>
    </row>
    <row r="416">
      <c r="H416" s="432"/>
      <c r="I416" s="432"/>
      <c r="J416" s="432"/>
    </row>
    <row r="417">
      <c r="H417" s="432"/>
      <c r="I417" s="432"/>
      <c r="J417" s="432"/>
    </row>
    <row r="418">
      <c r="H418" s="432"/>
      <c r="I418" s="432"/>
      <c r="J418" s="432"/>
    </row>
    <row r="419">
      <c r="H419" s="432"/>
      <c r="I419" s="432"/>
      <c r="J419" s="432"/>
    </row>
    <row r="420">
      <c r="H420" s="432"/>
      <c r="I420" s="432"/>
      <c r="J420" s="432"/>
    </row>
    <row r="421">
      <c r="H421" s="432"/>
      <c r="I421" s="432"/>
      <c r="J421" s="432"/>
    </row>
    <row r="422">
      <c r="H422" s="432"/>
      <c r="I422" s="432"/>
      <c r="J422" s="432"/>
    </row>
    <row r="423">
      <c r="H423" s="432"/>
      <c r="I423" s="432"/>
      <c r="J423" s="432"/>
    </row>
    <row r="424">
      <c r="H424" s="432"/>
      <c r="I424" s="432"/>
      <c r="J424" s="432"/>
    </row>
    <row r="425">
      <c r="H425" s="432"/>
      <c r="I425" s="432"/>
      <c r="J425" s="432"/>
    </row>
    <row r="426">
      <c r="H426" s="432"/>
      <c r="I426" s="432"/>
      <c r="J426" s="432"/>
    </row>
    <row r="427">
      <c r="H427" s="432"/>
      <c r="I427" s="432"/>
      <c r="J427" s="432"/>
    </row>
    <row r="428">
      <c r="H428" s="432"/>
      <c r="I428" s="432"/>
      <c r="J428" s="432"/>
    </row>
    <row r="429">
      <c r="H429" s="432"/>
      <c r="I429" s="432"/>
      <c r="J429" s="432"/>
    </row>
    <row r="430">
      <c r="H430" s="432"/>
      <c r="I430" s="432"/>
      <c r="J430" s="432"/>
    </row>
    <row r="431">
      <c r="H431" s="432"/>
      <c r="I431" s="432"/>
      <c r="J431" s="432"/>
    </row>
    <row r="432">
      <c r="H432" s="432"/>
      <c r="I432" s="432"/>
      <c r="J432" s="432"/>
    </row>
    <row r="433">
      <c r="H433" s="432"/>
      <c r="I433" s="432"/>
      <c r="J433" s="432"/>
    </row>
    <row r="434">
      <c r="H434" s="432"/>
      <c r="I434" s="432"/>
      <c r="J434" s="432"/>
    </row>
    <row r="435">
      <c r="H435" s="432"/>
      <c r="I435" s="432"/>
      <c r="J435" s="432"/>
    </row>
    <row r="436">
      <c r="H436" s="432"/>
      <c r="I436" s="432"/>
      <c r="J436" s="432"/>
    </row>
    <row r="437">
      <c r="H437" s="432"/>
      <c r="I437" s="432"/>
      <c r="J437" s="432"/>
    </row>
    <row r="438">
      <c r="H438" s="432"/>
      <c r="I438" s="432"/>
      <c r="J438" s="432"/>
    </row>
    <row r="439">
      <c r="H439" s="432"/>
      <c r="I439" s="432"/>
      <c r="J439" s="432"/>
    </row>
    <row r="440">
      <c r="H440" s="432"/>
      <c r="I440" s="432"/>
      <c r="J440" s="432"/>
    </row>
    <row r="441">
      <c r="H441" s="432"/>
      <c r="I441" s="432"/>
      <c r="J441" s="432"/>
    </row>
    <row r="442">
      <c r="H442" s="432"/>
      <c r="I442" s="432"/>
      <c r="J442" s="432"/>
    </row>
    <row r="443">
      <c r="H443" s="432"/>
      <c r="I443" s="432"/>
      <c r="J443" s="432"/>
    </row>
    <row r="444">
      <c r="H444" s="432"/>
      <c r="I444" s="432"/>
      <c r="J444" s="432"/>
    </row>
    <row r="445">
      <c r="H445" s="432"/>
      <c r="I445" s="432"/>
      <c r="J445" s="432"/>
    </row>
    <row r="446">
      <c r="H446" s="432"/>
      <c r="I446" s="432"/>
      <c r="J446" s="432"/>
    </row>
    <row r="447">
      <c r="H447" s="432"/>
      <c r="I447" s="432"/>
      <c r="J447" s="432"/>
    </row>
    <row r="448">
      <c r="H448" s="432"/>
      <c r="I448" s="432"/>
      <c r="J448" s="432"/>
    </row>
    <row r="449">
      <c r="H449" s="432"/>
      <c r="I449" s="432"/>
      <c r="J449" s="432"/>
    </row>
    <row r="450">
      <c r="H450" s="432"/>
      <c r="I450" s="432"/>
      <c r="J450" s="432"/>
    </row>
    <row r="451">
      <c r="H451" s="432"/>
      <c r="I451" s="432"/>
      <c r="J451" s="432"/>
    </row>
    <row r="452">
      <c r="H452" s="432"/>
      <c r="I452" s="432"/>
      <c r="J452" s="432"/>
    </row>
    <row r="453">
      <c r="H453" s="432"/>
      <c r="I453" s="432"/>
      <c r="J453" s="432"/>
    </row>
    <row r="454">
      <c r="H454" s="432"/>
      <c r="I454" s="432"/>
      <c r="J454" s="432"/>
    </row>
    <row r="455">
      <c r="H455" s="432"/>
      <c r="I455" s="432"/>
      <c r="J455" s="432"/>
    </row>
    <row r="456">
      <c r="H456" s="432"/>
      <c r="I456" s="432"/>
      <c r="J456" s="432"/>
    </row>
    <row r="457">
      <c r="H457" s="432"/>
      <c r="I457" s="432"/>
      <c r="J457" s="432"/>
    </row>
    <row r="458">
      <c r="H458" s="432"/>
      <c r="I458" s="432"/>
      <c r="J458" s="432"/>
    </row>
    <row r="459">
      <c r="H459" s="432"/>
      <c r="I459" s="432"/>
      <c r="J459" s="432"/>
    </row>
    <row r="460">
      <c r="H460" s="432"/>
      <c r="I460" s="432"/>
      <c r="J460" s="432"/>
    </row>
    <row r="461">
      <c r="H461" s="432"/>
      <c r="I461" s="432"/>
      <c r="J461" s="432"/>
    </row>
    <row r="462">
      <c r="H462" s="432"/>
      <c r="I462" s="432"/>
      <c r="J462" s="432"/>
    </row>
    <row r="463">
      <c r="H463" s="432"/>
      <c r="I463" s="432"/>
      <c r="J463" s="432"/>
    </row>
    <row r="464">
      <c r="H464" s="432"/>
      <c r="I464" s="432"/>
      <c r="J464" s="432"/>
    </row>
    <row r="465">
      <c r="H465" s="432"/>
      <c r="I465" s="432"/>
      <c r="J465" s="432"/>
    </row>
    <row r="466">
      <c r="H466" s="432"/>
      <c r="I466" s="432"/>
      <c r="J466" s="432"/>
    </row>
    <row r="467">
      <c r="H467" s="432"/>
      <c r="I467" s="432"/>
      <c r="J467" s="432"/>
    </row>
    <row r="468">
      <c r="H468" s="432"/>
      <c r="I468" s="432"/>
      <c r="J468" s="432"/>
    </row>
    <row r="469">
      <c r="H469" s="432"/>
      <c r="I469" s="432"/>
      <c r="J469" s="432"/>
    </row>
    <row r="470">
      <c r="H470" s="432"/>
      <c r="I470" s="432"/>
      <c r="J470" s="432"/>
    </row>
    <row r="471">
      <c r="H471" s="432"/>
      <c r="I471" s="432"/>
      <c r="J471" s="432"/>
    </row>
    <row r="472">
      <c r="H472" s="432"/>
      <c r="I472" s="432"/>
      <c r="J472" s="432"/>
    </row>
    <row r="473">
      <c r="H473" s="432"/>
      <c r="I473" s="432"/>
      <c r="J473" s="432"/>
    </row>
    <row r="474">
      <c r="H474" s="432"/>
      <c r="I474" s="432"/>
      <c r="J474" s="432"/>
    </row>
    <row r="475">
      <c r="H475" s="432"/>
      <c r="I475" s="432"/>
      <c r="J475" s="432"/>
    </row>
    <row r="476">
      <c r="H476" s="432"/>
      <c r="I476" s="432"/>
      <c r="J476" s="432"/>
    </row>
    <row r="477">
      <c r="H477" s="432"/>
      <c r="I477" s="432"/>
      <c r="J477" s="432"/>
    </row>
    <row r="478">
      <c r="H478" s="432"/>
      <c r="I478" s="432"/>
      <c r="J478" s="432"/>
    </row>
    <row r="479">
      <c r="H479" s="432"/>
      <c r="I479" s="432"/>
      <c r="J479" s="432"/>
    </row>
    <row r="480">
      <c r="H480" s="432"/>
      <c r="I480" s="432"/>
      <c r="J480" s="432"/>
    </row>
    <row r="481">
      <c r="H481" s="432"/>
      <c r="I481" s="432"/>
      <c r="J481" s="432"/>
    </row>
    <row r="482">
      <c r="H482" s="432"/>
      <c r="I482" s="432"/>
      <c r="J482" s="432"/>
    </row>
    <row r="483">
      <c r="H483" s="432"/>
      <c r="I483" s="432"/>
      <c r="J483" s="432"/>
    </row>
    <row r="484">
      <c r="H484" s="432"/>
      <c r="I484" s="432"/>
      <c r="J484" s="432"/>
    </row>
    <row r="485">
      <c r="H485" s="432"/>
      <c r="I485" s="432"/>
      <c r="J485" s="432"/>
    </row>
    <row r="486">
      <c r="H486" s="432"/>
      <c r="I486" s="432"/>
      <c r="J486" s="432"/>
    </row>
    <row r="487">
      <c r="H487" s="432"/>
      <c r="I487" s="432"/>
      <c r="J487" s="432"/>
    </row>
    <row r="488">
      <c r="H488" s="432"/>
      <c r="I488" s="432"/>
      <c r="J488" s="432"/>
    </row>
    <row r="489">
      <c r="H489" s="432"/>
      <c r="I489" s="432"/>
      <c r="J489" s="432"/>
    </row>
    <row r="490">
      <c r="H490" s="432"/>
      <c r="I490" s="432"/>
      <c r="J490" s="432"/>
    </row>
    <row r="491">
      <c r="H491" s="432"/>
      <c r="I491" s="432"/>
      <c r="J491" s="432"/>
    </row>
    <row r="492">
      <c r="H492" s="432"/>
      <c r="I492" s="432"/>
      <c r="J492" s="432"/>
    </row>
    <row r="493">
      <c r="H493" s="432"/>
      <c r="I493" s="432"/>
      <c r="J493" s="432"/>
    </row>
    <row r="494">
      <c r="H494" s="432"/>
      <c r="I494" s="432"/>
      <c r="J494" s="432"/>
    </row>
    <row r="495">
      <c r="H495" s="432"/>
      <c r="I495" s="432"/>
      <c r="J495" s="432"/>
    </row>
    <row r="496">
      <c r="H496" s="432"/>
      <c r="I496" s="432"/>
      <c r="J496" s="432"/>
    </row>
    <row r="497">
      <c r="H497" s="432"/>
      <c r="I497" s="432"/>
      <c r="J497" s="432"/>
    </row>
    <row r="498">
      <c r="H498" s="432"/>
      <c r="I498" s="432"/>
      <c r="J498" s="432"/>
    </row>
    <row r="499">
      <c r="H499" s="432"/>
      <c r="I499" s="432"/>
      <c r="J499" s="432"/>
    </row>
    <row r="500">
      <c r="H500" s="432"/>
      <c r="I500" s="432"/>
      <c r="J500" s="432"/>
    </row>
    <row r="501">
      <c r="H501" s="432"/>
      <c r="I501" s="432"/>
      <c r="J501" s="432"/>
    </row>
    <row r="502">
      <c r="H502" s="432"/>
      <c r="I502" s="432"/>
      <c r="J502" s="432"/>
    </row>
    <row r="503">
      <c r="H503" s="432"/>
      <c r="I503" s="432"/>
      <c r="J503" s="432"/>
    </row>
    <row r="504">
      <c r="H504" s="432"/>
      <c r="I504" s="432"/>
      <c r="J504" s="432"/>
    </row>
    <row r="505">
      <c r="H505" s="432"/>
      <c r="I505" s="432"/>
      <c r="J505" s="432"/>
    </row>
    <row r="506">
      <c r="H506" s="432"/>
      <c r="I506" s="432"/>
      <c r="J506" s="432"/>
    </row>
    <row r="507">
      <c r="H507" s="432"/>
      <c r="I507" s="432"/>
      <c r="J507" s="432"/>
    </row>
    <row r="508">
      <c r="H508" s="432"/>
      <c r="I508" s="432"/>
      <c r="J508" s="432"/>
    </row>
    <row r="509">
      <c r="H509" s="432"/>
      <c r="I509" s="432"/>
      <c r="J509" s="432"/>
    </row>
    <row r="510">
      <c r="H510" s="432"/>
      <c r="I510" s="432"/>
      <c r="J510" s="432"/>
    </row>
    <row r="511">
      <c r="H511" s="432"/>
      <c r="I511" s="432"/>
      <c r="J511" s="432"/>
    </row>
    <row r="512">
      <c r="H512" s="432"/>
      <c r="I512" s="432"/>
      <c r="J512" s="432"/>
    </row>
    <row r="513">
      <c r="H513" s="432"/>
      <c r="I513" s="432"/>
      <c r="J513" s="432"/>
    </row>
    <row r="514">
      <c r="H514" s="432"/>
      <c r="I514" s="432"/>
      <c r="J514" s="432"/>
    </row>
    <row r="515">
      <c r="H515" s="432"/>
      <c r="I515" s="432"/>
      <c r="J515" s="432"/>
    </row>
    <row r="516">
      <c r="H516" s="432"/>
      <c r="I516" s="432"/>
      <c r="J516" s="432"/>
    </row>
    <row r="517">
      <c r="H517" s="432"/>
      <c r="I517" s="432"/>
      <c r="J517" s="432"/>
    </row>
    <row r="518">
      <c r="H518" s="432"/>
      <c r="I518" s="432"/>
      <c r="J518" s="432"/>
    </row>
    <row r="519">
      <c r="H519" s="432"/>
      <c r="I519" s="432"/>
      <c r="J519" s="432"/>
    </row>
    <row r="520">
      <c r="H520" s="432"/>
      <c r="I520" s="432"/>
      <c r="J520" s="432"/>
    </row>
    <row r="521">
      <c r="H521" s="432"/>
      <c r="I521" s="432"/>
      <c r="J521" s="432"/>
    </row>
    <row r="522">
      <c r="H522" s="432"/>
      <c r="I522" s="432"/>
      <c r="J522" s="432"/>
    </row>
    <row r="523">
      <c r="H523" s="432"/>
      <c r="I523" s="432"/>
      <c r="J523" s="432"/>
    </row>
    <row r="524">
      <c r="H524" s="432"/>
      <c r="I524" s="432"/>
      <c r="J524" s="432"/>
    </row>
    <row r="525">
      <c r="H525" s="432"/>
      <c r="I525" s="432"/>
      <c r="J525" s="432"/>
    </row>
    <row r="526">
      <c r="H526" s="432"/>
      <c r="I526" s="432"/>
      <c r="J526" s="432"/>
    </row>
    <row r="527">
      <c r="H527" s="432"/>
      <c r="I527" s="432"/>
      <c r="J527" s="432"/>
    </row>
    <row r="528">
      <c r="H528" s="432"/>
      <c r="I528" s="432"/>
      <c r="J528" s="432"/>
    </row>
    <row r="529">
      <c r="H529" s="432"/>
      <c r="I529" s="432"/>
      <c r="J529" s="432"/>
    </row>
    <row r="530">
      <c r="H530" s="432"/>
      <c r="I530" s="432"/>
      <c r="J530" s="432"/>
    </row>
    <row r="531">
      <c r="H531" s="432"/>
      <c r="I531" s="432"/>
      <c r="J531" s="432"/>
    </row>
    <row r="532">
      <c r="H532" s="432"/>
      <c r="I532" s="432"/>
      <c r="J532" s="432"/>
    </row>
    <row r="533">
      <c r="H533" s="432"/>
      <c r="I533" s="432"/>
      <c r="J533" s="432"/>
    </row>
    <row r="534">
      <c r="H534" s="432"/>
      <c r="I534" s="432"/>
      <c r="J534" s="432"/>
    </row>
    <row r="535">
      <c r="H535" s="432"/>
      <c r="I535" s="432"/>
      <c r="J535" s="432"/>
    </row>
    <row r="536">
      <c r="H536" s="432"/>
      <c r="I536" s="432"/>
      <c r="J536" s="432"/>
    </row>
    <row r="537">
      <c r="H537" s="432"/>
      <c r="I537" s="432"/>
      <c r="J537" s="432"/>
    </row>
    <row r="538">
      <c r="H538" s="432"/>
      <c r="I538" s="432"/>
      <c r="J538" s="432"/>
    </row>
    <row r="539">
      <c r="H539" s="432"/>
      <c r="I539" s="432"/>
      <c r="J539" s="432"/>
    </row>
    <row r="540">
      <c r="H540" s="432"/>
      <c r="I540" s="432"/>
      <c r="J540" s="432"/>
    </row>
    <row r="541">
      <c r="H541" s="432"/>
      <c r="I541" s="432"/>
      <c r="J541" s="432"/>
    </row>
    <row r="542">
      <c r="H542" s="432"/>
      <c r="I542" s="432"/>
      <c r="J542" s="432"/>
    </row>
    <row r="543">
      <c r="H543" s="432"/>
      <c r="I543" s="432"/>
      <c r="J543" s="432"/>
    </row>
    <row r="544">
      <c r="H544" s="432"/>
      <c r="I544" s="432"/>
      <c r="J544" s="432"/>
    </row>
    <row r="545">
      <c r="H545" s="432"/>
      <c r="I545" s="432"/>
      <c r="J545" s="432"/>
    </row>
    <row r="546">
      <c r="H546" s="432"/>
      <c r="I546" s="432"/>
      <c r="J546" s="432"/>
    </row>
    <row r="547">
      <c r="H547" s="432"/>
      <c r="I547" s="432"/>
      <c r="J547" s="432"/>
    </row>
    <row r="548">
      <c r="H548" s="432"/>
      <c r="I548" s="432"/>
      <c r="J548" s="432"/>
    </row>
    <row r="549">
      <c r="H549" s="432"/>
      <c r="I549" s="432"/>
      <c r="J549" s="432"/>
    </row>
    <row r="550">
      <c r="H550" s="432"/>
      <c r="I550" s="432"/>
      <c r="J550" s="432"/>
    </row>
    <row r="551">
      <c r="H551" s="432"/>
      <c r="I551" s="432"/>
      <c r="J551" s="432"/>
    </row>
    <row r="552">
      <c r="H552" s="432"/>
      <c r="I552" s="432"/>
      <c r="J552" s="432"/>
    </row>
    <row r="553">
      <c r="H553" s="432"/>
      <c r="I553" s="432"/>
      <c r="J553" s="432"/>
    </row>
    <row r="554">
      <c r="H554" s="432"/>
      <c r="I554" s="432"/>
      <c r="J554" s="432"/>
    </row>
    <row r="555">
      <c r="H555" s="432"/>
      <c r="I555" s="432"/>
      <c r="J555" s="432"/>
    </row>
    <row r="556">
      <c r="H556" s="432"/>
      <c r="I556" s="432"/>
      <c r="J556" s="432"/>
    </row>
    <row r="557">
      <c r="H557" s="432"/>
      <c r="I557" s="432"/>
      <c r="J557" s="432"/>
    </row>
    <row r="558">
      <c r="H558" s="432"/>
      <c r="I558" s="432"/>
      <c r="J558" s="432"/>
    </row>
    <row r="559">
      <c r="H559" s="432"/>
      <c r="I559" s="432"/>
      <c r="J559" s="432"/>
    </row>
    <row r="560">
      <c r="H560" s="432"/>
      <c r="I560" s="432"/>
      <c r="J560" s="432"/>
    </row>
    <row r="561">
      <c r="H561" s="432"/>
      <c r="I561" s="432"/>
      <c r="J561" s="432"/>
    </row>
    <row r="562">
      <c r="H562" s="432"/>
      <c r="I562" s="432"/>
      <c r="J562" s="432"/>
    </row>
    <row r="563">
      <c r="H563" s="432"/>
      <c r="I563" s="432"/>
      <c r="J563" s="432"/>
    </row>
    <row r="564">
      <c r="H564" s="432"/>
      <c r="I564" s="432"/>
      <c r="J564" s="432"/>
    </row>
    <row r="565">
      <c r="H565" s="432"/>
      <c r="I565" s="432"/>
      <c r="J565" s="432"/>
    </row>
    <row r="566">
      <c r="H566" s="432"/>
      <c r="I566" s="432"/>
      <c r="J566" s="432"/>
    </row>
    <row r="567">
      <c r="H567" s="432"/>
      <c r="I567" s="432"/>
      <c r="J567" s="432"/>
    </row>
    <row r="568">
      <c r="H568" s="432"/>
      <c r="I568" s="432"/>
      <c r="J568" s="432"/>
    </row>
    <row r="569">
      <c r="H569" s="432"/>
      <c r="I569" s="432"/>
      <c r="J569" s="432"/>
    </row>
    <row r="570">
      <c r="H570" s="432"/>
      <c r="I570" s="432"/>
      <c r="J570" s="432"/>
    </row>
    <row r="571">
      <c r="H571" s="432"/>
      <c r="I571" s="432"/>
      <c r="J571" s="432"/>
    </row>
    <row r="572">
      <c r="H572" s="432"/>
      <c r="I572" s="432"/>
      <c r="J572" s="432"/>
    </row>
    <row r="573">
      <c r="H573" s="432"/>
      <c r="I573" s="432"/>
      <c r="J573" s="432"/>
    </row>
    <row r="574">
      <c r="H574" s="432"/>
      <c r="I574" s="432"/>
      <c r="J574" s="432"/>
    </row>
    <row r="575">
      <c r="H575" s="432"/>
      <c r="I575" s="432"/>
      <c r="J575" s="432"/>
    </row>
    <row r="576">
      <c r="H576" s="432"/>
      <c r="I576" s="432"/>
      <c r="J576" s="432"/>
    </row>
    <row r="577">
      <c r="H577" s="432"/>
      <c r="I577" s="432"/>
      <c r="J577" s="432"/>
    </row>
    <row r="578">
      <c r="H578" s="432"/>
      <c r="I578" s="432"/>
      <c r="J578" s="432"/>
    </row>
    <row r="579">
      <c r="H579" s="432"/>
      <c r="I579" s="432"/>
      <c r="J579" s="432"/>
    </row>
    <row r="580">
      <c r="H580" s="432"/>
      <c r="I580" s="432"/>
      <c r="J580" s="432"/>
    </row>
    <row r="581">
      <c r="H581" s="432"/>
      <c r="I581" s="432"/>
      <c r="J581" s="432"/>
    </row>
    <row r="582">
      <c r="H582" s="432"/>
      <c r="I582" s="432"/>
      <c r="J582" s="432"/>
    </row>
    <row r="583">
      <c r="H583" s="432"/>
      <c r="I583" s="432"/>
      <c r="J583" s="432"/>
    </row>
    <row r="584">
      <c r="H584" s="432"/>
      <c r="I584" s="432"/>
      <c r="J584" s="432"/>
    </row>
    <row r="585">
      <c r="H585" s="432"/>
      <c r="I585" s="432"/>
      <c r="J585" s="432"/>
    </row>
    <row r="586">
      <c r="H586" s="432"/>
      <c r="I586" s="432"/>
      <c r="J586" s="432"/>
    </row>
    <row r="587">
      <c r="H587" s="432"/>
      <c r="I587" s="432"/>
      <c r="J587" s="432"/>
    </row>
    <row r="588">
      <c r="H588" s="432"/>
      <c r="I588" s="432"/>
      <c r="J588" s="432"/>
    </row>
    <row r="589">
      <c r="H589" s="432"/>
      <c r="I589" s="432"/>
      <c r="J589" s="432"/>
    </row>
    <row r="590">
      <c r="H590" s="432"/>
      <c r="I590" s="432"/>
      <c r="J590" s="432"/>
    </row>
    <row r="591">
      <c r="H591" s="432"/>
      <c r="I591" s="432"/>
      <c r="J591" s="432"/>
    </row>
    <row r="592">
      <c r="H592" s="432"/>
      <c r="I592" s="432"/>
      <c r="J592" s="432"/>
    </row>
    <row r="593">
      <c r="H593" s="432"/>
      <c r="I593" s="432"/>
      <c r="J593" s="432"/>
    </row>
    <row r="594">
      <c r="H594" s="432"/>
      <c r="I594" s="432"/>
      <c r="J594" s="432"/>
    </row>
    <row r="595">
      <c r="H595" s="432"/>
      <c r="I595" s="432"/>
      <c r="J595" s="432"/>
    </row>
    <row r="596">
      <c r="H596" s="432"/>
      <c r="I596" s="432"/>
      <c r="J596" s="432"/>
    </row>
    <row r="597">
      <c r="H597" s="432"/>
      <c r="I597" s="432"/>
      <c r="J597" s="432"/>
    </row>
    <row r="598">
      <c r="H598" s="432"/>
      <c r="I598" s="432"/>
      <c r="J598" s="432"/>
    </row>
    <row r="599">
      <c r="H599" s="432"/>
      <c r="I599" s="432"/>
      <c r="J599" s="432"/>
    </row>
    <row r="600">
      <c r="H600" s="432"/>
      <c r="I600" s="432"/>
      <c r="J600" s="432"/>
    </row>
    <row r="601">
      <c r="H601" s="432"/>
      <c r="I601" s="432"/>
      <c r="J601" s="432"/>
    </row>
    <row r="602">
      <c r="H602" s="432"/>
      <c r="I602" s="432"/>
      <c r="J602" s="432"/>
    </row>
    <row r="603">
      <c r="H603" s="432"/>
      <c r="I603" s="432"/>
      <c r="J603" s="432"/>
    </row>
    <row r="604">
      <c r="H604" s="432"/>
      <c r="I604" s="432"/>
      <c r="J604" s="432"/>
    </row>
    <row r="605">
      <c r="H605" s="432"/>
      <c r="I605" s="432"/>
      <c r="J605" s="432"/>
    </row>
    <row r="606">
      <c r="H606" s="432"/>
      <c r="I606" s="432"/>
      <c r="J606" s="432"/>
    </row>
    <row r="607">
      <c r="H607" s="432"/>
      <c r="I607" s="432"/>
      <c r="J607" s="432"/>
    </row>
    <row r="608">
      <c r="H608" s="432"/>
      <c r="I608" s="432"/>
      <c r="J608" s="432"/>
    </row>
    <row r="609">
      <c r="H609" s="432"/>
      <c r="I609" s="432"/>
      <c r="J609" s="432"/>
    </row>
    <row r="610">
      <c r="H610" s="432"/>
      <c r="I610" s="432"/>
      <c r="J610" s="432"/>
    </row>
    <row r="611">
      <c r="H611" s="432"/>
      <c r="I611" s="432"/>
      <c r="J611" s="432"/>
    </row>
    <row r="612">
      <c r="H612" s="432"/>
      <c r="I612" s="432"/>
      <c r="J612" s="432"/>
    </row>
    <row r="613">
      <c r="H613" s="432"/>
      <c r="I613" s="432"/>
      <c r="J613" s="432"/>
    </row>
    <row r="614">
      <c r="H614" s="432"/>
      <c r="I614" s="432"/>
      <c r="J614" s="432"/>
    </row>
    <row r="615">
      <c r="H615" s="432"/>
      <c r="I615" s="432"/>
      <c r="J615" s="432"/>
    </row>
    <row r="616">
      <c r="H616" s="432"/>
      <c r="I616" s="432"/>
      <c r="J616" s="432"/>
    </row>
    <row r="617">
      <c r="H617" s="432"/>
      <c r="I617" s="432"/>
      <c r="J617" s="432"/>
    </row>
    <row r="618">
      <c r="H618" s="432"/>
      <c r="I618" s="432"/>
      <c r="J618" s="432"/>
    </row>
    <row r="619">
      <c r="H619" s="432"/>
      <c r="I619" s="432"/>
      <c r="J619" s="432"/>
    </row>
    <row r="620">
      <c r="H620" s="432"/>
      <c r="I620" s="432"/>
      <c r="J620" s="432"/>
    </row>
    <row r="621">
      <c r="H621" s="432"/>
      <c r="I621" s="432"/>
      <c r="J621" s="432"/>
    </row>
    <row r="622">
      <c r="H622" s="432"/>
      <c r="I622" s="432"/>
      <c r="J622" s="432"/>
    </row>
    <row r="623">
      <c r="H623" s="432"/>
      <c r="I623" s="432"/>
      <c r="J623" s="432"/>
    </row>
    <row r="624">
      <c r="H624" s="432"/>
      <c r="I624" s="432"/>
      <c r="J624" s="432"/>
    </row>
    <row r="625">
      <c r="H625" s="432"/>
      <c r="I625" s="432"/>
      <c r="J625" s="432"/>
    </row>
    <row r="626">
      <c r="H626" s="432"/>
      <c r="I626" s="432"/>
      <c r="J626" s="432"/>
    </row>
    <row r="627">
      <c r="H627" s="432"/>
      <c r="I627" s="432"/>
      <c r="J627" s="432"/>
    </row>
    <row r="628">
      <c r="H628" s="432"/>
      <c r="I628" s="432"/>
      <c r="J628" s="432"/>
    </row>
    <row r="629">
      <c r="H629" s="432"/>
      <c r="I629" s="432"/>
      <c r="J629" s="432"/>
    </row>
    <row r="630">
      <c r="H630" s="432"/>
      <c r="I630" s="432"/>
      <c r="J630" s="432"/>
    </row>
    <row r="631">
      <c r="H631" s="432"/>
      <c r="I631" s="432"/>
      <c r="J631" s="432"/>
    </row>
    <row r="632">
      <c r="H632" s="432"/>
      <c r="I632" s="432"/>
      <c r="J632" s="432"/>
    </row>
    <row r="633">
      <c r="H633" s="432"/>
      <c r="I633" s="432"/>
      <c r="J633" s="432"/>
    </row>
    <row r="634">
      <c r="H634" s="432"/>
      <c r="I634" s="432"/>
      <c r="J634" s="432"/>
    </row>
    <row r="635">
      <c r="H635" s="432"/>
      <c r="I635" s="432"/>
      <c r="J635" s="432"/>
    </row>
    <row r="636">
      <c r="H636" s="432"/>
      <c r="I636" s="432"/>
      <c r="J636" s="432"/>
    </row>
    <row r="637">
      <c r="H637" s="432"/>
      <c r="I637" s="432"/>
      <c r="J637" s="432"/>
    </row>
    <row r="638">
      <c r="H638" s="432"/>
      <c r="I638" s="432"/>
      <c r="J638" s="432"/>
    </row>
    <row r="639">
      <c r="H639" s="432"/>
      <c r="I639" s="432"/>
      <c r="J639" s="432"/>
    </row>
    <row r="640">
      <c r="H640" s="432"/>
      <c r="I640" s="432"/>
      <c r="J640" s="432"/>
    </row>
    <row r="641">
      <c r="H641" s="432"/>
      <c r="I641" s="432"/>
      <c r="J641" s="432"/>
    </row>
    <row r="642">
      <c r="H642" s="432"/>
      <c r="I642" s="432"/>
      <c r="J642" s="432"/>
    </row>
    <row r="643">
      <c r="H643" s="432"/>
      <c r="I643" s="432"/>
      <c r="J643" s="432"/>
    </row>
    <row r="644">
      <c r="H644" s="432"/>
      <c r="I644" s="432"/>
      <c r="J644" s="432"/>
    </row>
    <row r="645">
      <c r="H645" s="432"/>
      <c r="I645" s="432"/>
      <c r="J645" s="432"/>
    </row>
    <row r="646">
      <c r="H646" s="432"/>
      <c r="I646" s="432"/>
      <c r="J646" s="432"/>
    </row>
    <row r="647">
      <c r="H647" s="432"/>
      <c r="I647" s="432"/>
      <c r="J647" s="432"/>
    </row>
    <row r="648">
      <c r="H648" s="432"/>
      <c r="I648" s="432"/>
      <c r="J648" s="432"/>
    </row>
    <row r="649">
      <c r="H649" s="432"/>
      <c r="I649" s="432"/>
      <c r="J649" s="432"/>
    </row>
    <row r="650">
      <c r="H650" s="432"/>
      <c r="I650" s="432"/>
      <c r="J650" s="432"/>
    </row>
    <row r="651">
      <c r="H651" s="432"/>
      <c r="I651" s="432"/>
      <c r="J651" s="432"/>
    </row>
    <row r="652">
      <c r="H652" s="432"/>
      <c r="I652" s="432"/>
      <c r="J652" s="432"/>
    </row>
    <row r="653">
      <c r="H653" s="432"/>
      <c r="I653" s="432"/>
      <c r="J653" s="432"/>
    </row>
    <row r="654">
      <c r="H654" s="432"/>
      <c r="I654" s="432"/>
      <c r="J654" s="432"/>
    </row>
    <row r="655">
      <c r="H655" s="432"/>
      <c r="I655" s="432"/>
      <c r="J655" s="432"/>
    </row>
    <row r="656">
      <c r="H656" s="432"/>
      <c r="I656" s="432"/>
      <c r="J656" s="432"/>
    </row>
    <row r="657">
      <c r="H657" s="432"/>
      <c r="I657" s="432"/>
      <c r="J657" s="432"/>
    </row>
    <row r="658">
      <c r="H658" s="432"/>
      <c r="I658" s="432"/>
      <c r="J658" s="432"/>
    </row>
    <row r="659">
      <c r="H659" s="432"/>
      <c r="I659" s="432"/>
      <c r="J659" s="432"/>
    </row>
    <row r="660">
      <c r="H660" s="432"/>
      <c r="I660" s="432"/>
      <c r="J660" s="432"/>
    </row>
    <row r="661">
      <c r="H661" s="432"/>
      <c r="I661" s="432"/>
      <c r="J661" s="432"/>
    </row>
    <row r="662">
      <c r="H662" s="432"/>
      <c r="I662" s="432"/>
      <c r="J662" s="432"/>
    </row>
    <row r="663">
      <c r="H663" s="432"/>
      <c r="I663" s="432"/>
      <c r="J663" s="432"/>
    </row>
    <row r="664">
      <c r="H664" s="432"/>
      <c r="I664" s="432"/>
      <c r="J664" s="432"/>
    </row>
    <row r="665">
      <c r="H665" s="432"/>
      <c r="I665" s="432"/>
      <c r="J665" s="432"/>
    </row>
    <row r="666">
      <c r="H666" s="432"/>
      <c r="I666" s="432"/>
      <c r="J666" s="432"/>
    </row>
    <row r="667">
      <c r="H667" s="432"/>
      <c r="I667" s="432"/>
      <c r="J667" s="432"/>
    </row>
    <row r="668">
      <c r="H668" s="432"/>
      <c r="I668" s="432"/>
      <c r="J668" s="432"/>
    </row>
    <row r="669">
      <c r="H669" s="432"/>
      <c r="I669" s="432"/>
      <c r="J669" s="432"/>
    </row>
    <row r="670">
      <c r="H670" s="432"/>
      <c r="I670" s="432"/>
      <c r="J670" s="432"/>
    </row>
    <row r="671">
      <c r="H671" s="432"/>
      <c r="I671" s="432"/>
      <c r="J671" s="432"/>
    </row>
    <row r="672">
      <c r="H672" s="432"/>
      <c r="I672" s="432"/>
      <c r="J672" s="432"/>
    </row>
    <row r="673">
      <c r="H673" s="432"/>
      <c r="I673" s="432"/>
      <c r="J673" s="432"/>
    </row>
    <row r="674">
      <c r="H674" s="432"/>
      <c r="I674" s="432"/>
      <c r="J674" s="432"/>
    </row>
    <row r="675">
      <c r="H675" s="432"/>
      <c r="I675" s="432"/>
      <c r="J675" s="432"/>
    </row>
    <row r="676">
      <c r="H676" s="432"/>
      <c r="I676" s="432"/>
      <c r="J676" s="432"/>
    </row>
    <row r="677">
      <c r="H677" s="432"/>
      <c r="I677" s="432"/>
      <c r="J677" s="432"/>
    </row>
    <row r="678">
      <c r="H678" s="432"/>
      <c r="I678" s="432"/>
      <c r="J678" s="432"/>
    </row>
    <row r="679">
      <c r="H679" s="432"/>
      <c r="I679" s="432"/>
      <c r="J679" s="432"/>
    </row>
    <row r="680">
      <c r="H680" s="432"/>
      <c r="I680" s="432"/>
      <c r="J680" s="432"/>
    </row>
    <row r="681">
      <c r="H681" s="432"/>
      <c r="I681" s="432"/>
      <c r="J681" s="432"/>
    </row>
    <row r="682">
      <c r="H682" s="432"/>
      <c r="I682" s="432"/>
      <c r="J682" s="432"/>
    </row>
    <row r="683">
      <c r="H683" s="432"/>
      <c r="I683" s="432"/>
      <c r="J683" s="432"/>
    </row>
    <row r="684">
      <c r="H684" s="432"/>
      <c r="I684" s="432"/>
      <c r="J684" s="432"/>
    </row>
    <row r="685">
      <c r="H685" s="432"/>
      <c r="I685" s="432"/>
      <c r="J685" s="432"/>
    </row>
    <row r="686">
      <c r="H686" s="432"/>
      <c r="I686" s="432"/>
      <c r="J686" s="432"/>
    </row>
    <row r="687">
      <c r="H687" s="432"/>
      <c r="I687" s="432"/>
      <c r="J687" s="432"/>
    </row>
    <row r="688">
      <c r="H688" s="432"/>
      <c r="I688" s="432"/>
      <c r="J688" s="432"/>
    </row>
    <row r="689">
      <c r="H689" s="432"/>
      <c r="I689" s="432"/>
      <c r="J689" s="432"/>
    </row>
    <row r="690">
      <c r="H690" s="432"/>
      <c r="I690" s="432"/>
      <c r="J690" s="432"/>
    </row>
    <row r="691">
      <c r="H691" s="432"/>
      <c r="I691" s="432"/>
      <c r="J691" s="432"/>
    </row>
    <row r="692">
      <c r="H692" s="432"/>
      <c r="I692" s="432"/>
      <c r="J692" s="432"/>
    </row>
    <row r="693">
      <c r="H693" s="432"/>
      <c r="I693" s="432"/>
      <c r="J693" s="432"/>
    </row>
    <row r="694">
      <c r="H694" s="432"/>
      <c r="I694" s="432"/>
      <c r="J694" s="432"/>
    </row>
    <row r="695">
      <c r="H695" s="432"/>
      <c r="I695" s="432"/>
      <c r="J695" s="432"/>
    </row>
    <row r="696">
      <c r="H696" s="432"/>
      <c r="I696" s="432"/>
      <c r="J696" s="432"/>
    </row>
    <row r="697">
      <c r="H697" s="432"/>
      <c r="I697" s="432"/>
      <c r="J697" s="432"/>
    </row>
    <row r="698">
      <c r="H698" s="432"/>
      <c r="I698" s="432"/>
      <c r="J698" s="432"/>
    </row>
    <row r="699">
      <c r="H699" s="432"/>
      <c r="I699" s="432"/>
      <c r="J699" s="432"/>
    </row>
    <row r="700">
      <c r="H700" s="432"/>
      <c r="I700" s="432"/>
      <c r="J700" s="432"/>
    </row>
    <row r="701">
      <c r="H701" s="432"/>
      <c r="I701" s="432"/>
      <c r="J701" s="432"/>
    </row>
    <row r="702">
      <c r="H702" s="432"/>
      <c r="I702" s="432"/>
      <c r="J702" s="432"/>
    </row>
    <row r="703">
      <c r="H703" s="432"/>
      <c r="I703" s="432"/>
      <c r="J703" s="432"/>
    </row>
    <row r="704">
      <c r="H704" s="432"/>
      <c r="I704" s="432"/>
      <c r="J704" s="432"/>
    </row>
    <row r="705">
      <c r="H705" s="432"/>
      <c r="I705" s="432"/>
      <c r="J705" s="432"/>
    </row>
    <row r="706">
      <c r="H706" s="432"/>
      <c r="I706" s="432"/>
      <c r="J706" s="432"/>
    </row>
    <row r="707">
      <c r="H707" s="432"/>
      <c r="I707" s="432"/>
      <c r="J707" s="432"/>
    </row>
    <row r="708">
      <c r="H708" s="432"/>
      <c r="I708" s="432"/>
      <c r="J708" s="432"/>
    </row>
    <row r="709">
      <c r="H709" s="432"/>
      <c r="I709" s="432"/>
      <c r="J709" s="432"/>
    </row>
    <row r="710">
      <c r="H710" s="432"/>
      <c r="I710" s="432"/>
      <c r="J710" s="432"/>
    </row>
    <row r="711">
      <c r="H711" s="432"/>
      <c r="I711" s="432"/>
      <c r="J711" s="432"/>
    </row>
    <row r="712">
      <c r="H712" s="432"/>
      <c r="I712" s="432"/>
      <c r="J712" s="432"/>
    </row>
    <row r="713">
      <c r="H713" s="432"/>
      <c r="I713" s="432"/>
      <c r="J713" s="432"/>
    </row>
    <row r="714">
      <c r="H714" s="432"/>
      <c r="I714" s="432"/>
      <c r="J714" s="432"/>
    </row>
    <row r="715">
      <c r="H715" s="432"/>
      <c r="I715" s="432"/>
      <c r="J715" s="432"/>
    </row>
    <row r="716">
      <c r="H716" s="432"/>
      <c r="I716" s="432"/>
      <c r="J716" s="432"/>
    </row>
    <row r="717">
      <c r="H717" s="432"/>
      <c r="I717" s="432"/>
      <c r="J717" s="432"/>
    </row>
    <row r="718">
      <c r="H718" s="432"/>
      <c r="I718" s="432"/>
      <c r="J718" s="432"/>
    </row>
    <row r="719">
      <c r="H719" s="432"/>
      <c r="I719" s="432"/>
      <c r="J719" s="432"/>
    </row>
    <row r="720">
      <c r="H720" s="432"/>
      <c r="I720" s="432"/>
      <c r="J720" s="432"/>
    </row>
    <row r="721">
      <c r="H721" s="432"/>
      <c r="I721" s="432"/>
      <c r="J721" s="432"/>
    </row>
    <row r="722">
      <c r="H722" s="432"/>
      <c r="I722" s="432"/>
      <c r="J722" s="432"/>
    </row>
    <row r="723">
      <c r="H723" s="432"/>
      <c r="I723" s="432"/>
      <c r="J723" s="432"/>
    </row>
    <row r="724">
      <c r="H724" s="432"/>
      <c r="I724" s="432"/>
      <c r="J724" s="432"/>
    </row>
    <row r="725">
      <c r="H725" s="432"/>
      <c r="I725" s="432"/>
      <c r="J725" s="432"/>
    </row>
    <row r="726">
      <c r="H726" s="432"/>
      <c r="I726" s="432"/>
      <c r="J726" s="432"/>
    </row>
    <row r="727">
      <c r="H727" s="432"/>
      <c r="I727" s="432"/>
      <c r="J727" s="432"/>
    </row>
    <row r="728">
      <c r="H728" s="432"/>
      <c r="I728" s="432"/>
      <c r="J728" s="432"/>
    </row>
    <row r="729">
      <c r="H729" s="432"/>
      <c r="I729" s="432"/>
      <c r="J729" s="432"/>
    </row>
    <row r="730">
      <c r="H730" s="432"/>
      <c r="I730" s="432"/>
      <c r="J730" s="432"/>
    </row>
    <row r="731">
      <c r="H731" s="432"/>
      <c r="I731" s="432"/>
      <c r="J731" s="432"/>
    </row>
    <row r="732">
      <c r="H732" s="432"/>
      <c r="I732" s="432"/>
      <c r="J732" s="432"/>
    </row>
    <row r="733">
      <c r="H733" s="432"/>
      <c r="I733" s="432"/>
      <c r="J733" s="432"/>
    </row>
    <row r="734">
      <c r="H734" s="432"/>
      <c r="I734" s="432"/>
      <c r="J734" s="432"/>
    </row>
    <row r="735">
      <c r="H735" s="432"/>
      <c r="I735" s="432"/>
      <c r="J735" s="432"/>
    </row>
    <row r="736">
      <c r="H736" s="432"/>
      <c r="I736" s="432"/>
      <c r="J736" s="432"/>
    </row>
    <row r="737">
      <c r="H737" s="432"/>
      <c r="I737" s="432"/>
      <c r="J737" s="432"/>
    </row>
    <row r="738">
      <c r="H738" s="432"/>
      <c r="I738" s="432"/>
      <c r="J738" s="432"/>
    </row>
    <row r="739">
      <c r="H739" s="432"/>
      <c r="I739" s="432"/>
      <c r="J739" s="432"/>
    </row>
    <row r="740">
      <c r="H740" s="432"/>
      <c r="I740" s="432"/>
      <c r="J740" s="432"/>
    </row>
    <row r="741">
      <c r="H741" s="432"/>
      <c r="I741" s="432"/>
      <c r="J741" s="432"/>
    </row>
    <row r="742">
      <c r="H742" s="432"/>
      <c r="I742" s="432"/>
      <c r="J742" s="432"/>
    </row>
    <row r="743">
      <c r="H743" s="432"/>
      <c r="I743" s="432"/>
      <c r="J743" s="432"/>
    </row>
    <row r="744">
      <c r="H744" s="432"/>
      <c r="I744" s="432"/>
      <c r="J744" s="432"/>
    </row>
    <row r="745">
      <c r="H745" s="432"/>
      <c r="I745" s="432"/>
      <c r="J745" s="432"/>
    </row>
    <row r="746">
      <c r="H746" s="432"/>
      <c r="I746" s="432"/>
      <c r="J746" s="432"/>
    </row>
    <row r="747">
      <c r="H747" s="432"/>
      <c r="I747" s="432"/>
      <c r="J747" s="432"/>
    </row>
    <row r="748">
      <c r="H748" s="432"/>
      <c r="I748" s="432"/>
      <c r="J748" s="432"/>
    </row>
    <row r="749">
      <c r="H749" s="432"/>
      <c r="I749" s="432"/>
      <c r="J749" s="432"/>
    </row>
    <row r="750">
      <c r="H750" s="432"/>
      <c r="I750" s="432"/>
      <c r="J750" s="432"/>
    </row>
    <row r="751">
      <c r="H751" s="432"/>
      <c r="I751" s="432"/>
      <c r="J751" s="432"/>
    </row>
    <row r="752">
      <c r="H752" s="432"/>
      <c r="I752" s="432"/>
      <c r="J752" s="432"/>
    </row>
    <row r="753">
      <c r="H753" s="432"/>
      <c r="I753" s="432"/>
      <c r="J753" s="432"/>
    </row>
    <row r="754">
      <c r="H754" s="432"/>
      <c r="I754" s="432"/>
      <c r="J754" s="432"/>
    </row>
    <row r="755">
      <c r="H755" s="432"/>
      <c r="I755" s="432"/>
      <c r="J755" s="432"/>
    </row>
    <row r="756">
      <c r="H756" s="432"/>
      <c r="I756" s="432"/>
      <c r="J756" s="432"/>
    </row>
    <row r="757">
      <c r="H757" s="432"/>
      <c r="I757" s="432"/>
      <c r="J757" s="432"/>
    </row>
    <row r="758">
      <c r="H758" s="432"/>
      <c r="I758" s="432"/>
      <c r="J758" s="432"/>
    </row>
    <row r="759">
      <c r="H759" s="432"/>
      <c r="I759" s="432"/>
      <c r="J759" s="432"/>
    </row>
    <row r="760">
      <c r="H760" s="432"/>
      <c r="I760" s="432"/>
      <c r="J760" s="432"/>
    </row>
    <row r="761">
      <c r="H761" s="432"/>
      <c r="I761" s="432"/>
      <c r="J761" s="432"/>
    </row>
    <row r="762">
      <c r="H762" s="432"/>
      <c r="I762" s="432"/>
      <c r="J762" s="432"/>
    </row>
    <row r="763">
      <c r="H763" s="432"/>
      <c r="I763" s="432"/>
      <c r="J763" s="432"/>
    </row>
    <row r="764">
      <c r="H764" s="432"/>
      <c r="I764" s="432"/>
      <c r="J764" s="432"/>
    </row>
    <row r="765">
      <c r="H765" s="432"/>
      <c r="I765" s="432"/>
      <c r="J765" s="432"/>
    </row>
    <row r="766">
      <c r="H766" s="432"/>
      <c r="I766" s="432"/>
      <c r="J766" s="432"/>
    </row>
    <row r="767">
      <c r="H767" s="432"/>
      <c r="I767" s="432"/>
      <c r="J767" s="432"/>
    </row>
    <row r="768">
      <c r="H768" s="432"/>
      <c r="I768" s="432"/>
      <c r="J768" s="432"/>
    </row>
    <row r="769">
      <c r="H769" s="432"/>
      <c r="I769" s="432"/>
      <c r="J769" s="432"/>
    </row>
    <row r="770">
      <c r="H770" s="432"/>
      <c r="I770" s="432"/>
      <c r="J770" s="432"/>
    </row>
    <row r="771">
      <c r="H771" s="432"/>
      <c r="I771" s="432"/>
      <c r="J771" s="432"/>
    </row>
    <row r="772">
      <c r="H772" s="432"/>
      <c r="I772" s="432"/>
      <c r="J772" s="432"/>
    </row>
    <row r="773">
      <c r="H773" s="432"/>
      <c r="I773" s="432"/>
      <c r="J773" s="432"/>
    </row>
    <row r="774">
      <c r="H774" s="432"/>
      <c r="I774" s="432"/>
      <c r="J774" s="432"/>
    </row>
    <row r="775">
      <c r="H775" s="432"/>
      <c r="I775" s="432"/>
      <c r="J775" s="432"/>
    </row>
    <row r="776">
      <c r="H776" s="432"/>
      <c r="I776" s="432"/>
      <c r="J776" s="432"/>
    </row>
    <row r="777">
      <c r="H777" s="432"/>
      <c r="I777" s="432"/>
      <c r="J777" s="432"/>
    </row>
    <row r="778">
      <c r="H778" s="432"/>
      <c r="I778" s="432"/>
      <c r="J778" s="432"/>
    </row>
    <row r="779">
      <c r="H779" s="432"/>
      <c r="I779" s="432"/>
      <c r="J779" s="432"/>
    </row>
    <row r="780">
      <c r="H780" s="432"/>
      <c r="I780" s="432"/>
      <c r="J780" s="432"/>
    </row>
    <row r="781">
      <c r="H781" s="432"/>
      <c r="I781" s="432"/>
      <c r="J781" s="432"/>
    </row>
    <row r="782">
      <c r="H782" s="432"/>
      <c r="I782" s="432"/>
      <c r="J782" s="432"/>
    </row>
    <row r="783">
      <c r="H783" s="432"/>
      <c r="I783" s="432"/>
      <c r="J783" s="432"/>
    </row>
    <row r="784">
      <c r="H784" s="432"/>
      <c r="I784" s="432"/>
      <c r="J784" s="432"/>
    </row>
    <row r="785">
      <c r="H785" s="432"/>
      <c r="I785" s="432"/>
      <c r="J785" s="432"/>
    </row>
    <row r="786">
      <c r="H786" s="432"/>
      <c r="I786" s="432"/>
      <c r="J786" s="432"/>
    </row>
    <row r="787">
      <c r="H787" s="432"/>
      <c r="I787" s="432"/>
      <c r="J787" s="432"/>
    </row>
    <row r="788">
      <c r="H788" s="432"/>
      <c r="I788" s="432"/>
      <c r="J788" s="432"/>
    </row>
    <row r="789">
      <c r="H789" s="432"/>
      <c r="I789" s="432"/>
      <c r="J789" s="432"/>
    </row>
    <row r="790">
      <c r="H790" s="432"/>
      <c r="I790" s="432"/>
      <c r="J790" s="432"/>
    </row>
    <row r="791">
      <c r="H791" s="432"/>
      <c r="I791" s="432"/>
      <c r="J791" s="432"/>
    </row>
    <row r="792">
      <c r="H792" s="432"/>
      <c r="I792" s="432"/>
      <c r="J792" s="432"/>
    </row>
    <row r="793">
      <c r="H793" s="432"/>
      <c r="I793" s="432"/>
      <c r="J793" s="432"/>
    </row>
    <row r="794">
      <c r="H794" s="432"/>
      <c r="I794" s="432"/>
      <c r="J794" s="432"/>
    </row>
    <row r="795">
      <c r="H795" s="432"/>
      <c r="I795" s="432"/>
      <c r="J795" s="432"/>
    </row>
    <row r="796">
      <c r="H796" s="432"/>
      <c r="I796" s="432"/>
      <c r="J796" s="432"/>
    </row>
    <row r="797">
      <c r="H797" s="432"/>
      <c r="I797" s="432"/>
      <c r="J797" s="432"/>
    </row>
    <row r="798">
      <c r="H798" s="432"/>
      <c r="I798" s="432"/>
      <c r="J798" s="432"/>
    </row>
    <row r="799">
      <c r="H799" s="432"/>
      <c r="I799" s="432"/>
      <c r="J799" s="432"/>
    </row>
    <row r="800">
      <c r="H800" s="432"/>
      <c r="I800" s="432"/>
      <c r="J800" s="432"/>
    </row>
    <row r="801">
      <c r="H801" s="432"/>
      <c r="I801" s="432"/>
      <c r="J801" s="432"/>
    </row>
    <row r="802">
      <c r="H802" s="432"/>
      <c r="I802" s="432"/>
      <c r="J802" s="432"/>
    </row>
    <row r="803">
      <c r="H803" s="432"/>
      <c r="I803" s="432"/>
      <c r="J803" s="432"/>
    </row>
    <row r="804">
      <c r="H804" s="432"/>
      <c r="I804" s="432"/>
      <c r="J804" s="432"/>
    </row>
    <row r="805">
      <c r="H805" s="432"/>
      <c r="I805" s="432"/>
      <c r="J805" s="432"/>
    </row>
    <row r="806">
      <c r="H806" s="432"/>
      <c r="I806" s="432"/>
      <c r="J806" s="432"/>
    </row>
    <row r="807">
      <c r="H807" s="432"/>
      <c r="I807" s="432"/>
      <c r="J807" s="432"/>
    </row>
    <row r="808">
      <c r="H808" s="432"/>
      <c r="I808" s="432"/>
      <c r="J808" s="432"/>
    </row>
    <row r="809">
      <c r="H809" s="432"/>
      <c r="I809" s="432"/>
      <c r="J809" s="432"/>
    </row>
    <row r="810">
      <c r="H810" s="432"/>
      <c r="I810" s="432"/>
      <c r="J810" s="432"/>
    </row>
    <row r="811">
      <c r="H811" s="432"/>
      <c r="I811" s="432"/>
      <c r="J811" s="432"/>
    </row>
    <row r="812">
      <c r="H812" s="432"/>
      <c r="I812" s="432"/>
      <c r="J812" s="432"/>
    </row>
    <row r="813">
      <c r="H813" s="432"/>
      <c r="I813" s="432"/>
      <c r="J813" s="432"/>
    </row>
    <row r="814">
      <c r="H814" s="432"/>
      <c r="I814" s="432"/>
      <c r="J814" s="432"/>
    </row>
    <row r="815">
      <c r="H815" s="432"/>
      <c r="I815" s="432"/>
      <c r="J815" s="432"/>
    </row>
    <row r="816">
      <c r="H816" s="432"/>
      <c r="I816" s="432"/>
      <c r="J816" s="432"/>
    </row>
    <row r="817">
      <c r="H817" s="432"/>
      <c r="I817" s="432"/>
      <c r="J817" s="432"/>
    </row>
    <row r="818">
      <c r="H818" s="432"/>
      <c r="I818" s="432"/>
      <c r="J818" s="432"/>
    </row>
    <row r="819">
      <c r="H819" s="432"/>
      <c r="I819" s="432"/>
      <c r="J819" s="432"/>
    </row>
    <row r="820">
      <c r="H820" s="432"/>
      <c r="I820" s="432"/>
      <c r="J820" s="432"/>
    </row>
    <row r="821">
      <c r="H821" s="432"/>
      <c r="I821" s="432"/>
      <c r="J821" s="432"/>
    </row>
    <row r="822">
      <c r="H822" s="432"/>
      <c r="I822" s="432"/>
      <c r="J822" s="432"/>
    </row>
    <row r="823">
      <c r="H823" s="432"/>
      <c r="I823" s="432"/>
      <c r="J823" s="432"/>
    </row>
    <row r="824">
      <c r="H824" s="432"/>
      <c r="I824" s="432"/>
      <c r="J824" s="432"/>
    </row>
    <row r="825">
      <c r="H825" s="432"/>
      <c r="I825" s="432"/>
      <c r="J825" s="432"/>
    </row>
    <row r="826">
      <c r="H826" s="432"/>
      <c r="I826" s="432"/>
      <c r="J826" s="432"/>
    </row>
    <row r="827">
      <c r="H827" s="432"/>
      <c r="I827" s="432"/>
      <c r="J827" s="432"/>
    </row>
    <row r="828">
      <c r="H828" s="432"/>
      <c r="I828" s="432"/>
      <c r="J828" s="432"/>
    </row>
    <row r="829">
      <c r="H829" s="432"/>
      <c r="I829" s="432"/>
      <c r="J829" s="432"/>
    </row>
    <row r="830">
      <c r="H830" s="432"/>
      <c r="I830" s="432"/>
      <c r="J830" s="432"/>
    </row>
    <row r="831">
      <c r="H831" s="432"/>
      <c r="I831" s="432"/>
      <c r="J831" s="432"/>
    </row>
    <row r="832">
      <c r="H832" s="432"/>
      <c r="I832" s="432"/>
      <c r="J832" s="432"/>
    </row>
    <row r="833">
      <c r="H833" s="432"/>
      <c r="I833" s="432"/>
      <c r="J833" s="432"/>
    </row>
    <row r="834">
      <c r="H834" s="432"/>
      <c r="I834" s="432"/>
      <c r="J834" s="432"/>
    </row>
    <row r="835">
      <c r="H835" s="432"/>
      <c r="I835" s="432"/>
      <c r="J835" s="432"/>
    </row>
    <row r="836">
      <c r="H836" s="432"/>
      <c r="I836" s="432"/>
      <c r="J836" s="432"/>
    </row>
    <row r="837">
      <c r="H837" s="432"/>
      <c r="I837" s="432"/>
      <c r="J837" s="432"/>
    </row>
    <row r="838">
      <c r="H838" s="432"/>
      <c r="I838" s="432"/>
      <c r="J838" s="432"/>
    </row>
    <row r="839">
      <c r="H839" s="432"/>
      <c r="I839" s="432"/>
      <c r="J839" s="432"/>
    </row>
    <row r="840">
      <c r="H840" s="432"/>
      <c r="I840" s="432"/>
      <c r="J840" s="432"/>
    </row>
    <row r="841">
      <c r="H841" s="432"/>
      <c r="I841" s="432"/>
      <c r="J841" s="432"/>
    </row>
    <row r="842">
      <c r="H842" s="432"/>
      <c r="I842" s="432"/>
      <c r="J842" s="432"/>
    </row>
    <row r="843">
      <c r="H843" s="432"/>
      <c r="I843" s="432"/>
      <c r="J843" s="432"/>
    </row>
    <row r="844">
      <c r="H844" s="432"/>
      <c r="I844" s="432"/>
      <c r="J844" s="432"/>
    </row>
    <row r="845">
      <c r="H845" s="432"/>
      <c r="I845" s="432"/>
      <c r="J845" s="432"/>
    </row>
    <row r="846">
      <c r="H846" s="432"/>
      <c r="I846" s="432"/>
      <c r="J846" s="432"/>
    </row>
    <row r="847">
      <c r="H847" s="432"/>
      <c r="I847" s="432"/>
      <c r="J847" s="432"/>
    </row>
    <row r="848">
      <c r="H848" s="432"/>
      <c r="I848" s="432"/>
      <c r="J848" s="432"/>
    </row>
    <row r="849">
      <c r="H849" s="432"/>
      <c r="I849" s="432"/>
      <c r="J849" s="432"/>
    </row>
    <row r="850">
      <c r="H850" s="432"/>
      <c r="I850" s="432"/>
      <c r="J850" s="432"/>
    </row>
    <row r="851">
      <c r="H851" s="432"/>
      <c r="I851" s="432"/>
      <c r="J851" s="432"/>
    </row>
    <row r="852">
      <c r="H852" s="432"/>
      <c r="I852" s="432"/>
      <c r="J852" s="432"/>
    </row>
    <row r="853">
      <c r="H853" s="432"/>
      <c r="I853" s="432"/>
      <c r="J853" s="432"/>
    </row>
    <row r="854">
      <c r="H854" s="432"/>
      <c r="I854" s="432"/>
      <c r="J854" s="432"/>
    </row>
    <row r="855">
      <c r="H855" s="432"/>
      <c r="I855" s="432"/>
      <c r="J855" s="432"/>
    </row>
    <row r="856">
      <c r="H856" s="432"/>
      <c r="I856" s="432"/>
      <c r="J856" s="432"/>
    </row>
    <row r="857">
      <c r="H857" s="432"/>
      <c r="I857" s="432"/>
      <c r="J857" s="432"/>
    </row>
    <row r="858">
      <c r="H858" s="432"/>
      <c r="I858" s="432"/>
      <c r="J858" s="432"/>
    </row>
    <row r="859">
      <c r="H859" s="432"/>
      <c r="I859" s="432"/>
      <c r="J859" s="432"/>
    </row>
    <row r="860">
      <c r="H860" s="432"/>
      <c r="I860" s="432"/>
      <c r="J860" s="432"/>
    </row>
    <row r="861">
      <c r="H861" s="432"/>
      <c r="I861" s="432"/>
      <c r="J861" s="432"/>
    </row>
    <row r="862">
      <c r="H862" s="432"/>
      <c r="I862" s="432"/>
      <c r="J862" s="432"/>
    </row>
    <row r="863">
      <c r="H863" s="432"/>
      <c r="I863" s="432"/>
      <c r="J863" s="432"/>
    </row>
    <row r="864">
      <c r="H864" s="432"/>
      <c r="I864" s="432"/>
      <c r="J864" s="432"/>
    </row>
    <row r="865">
      <c r="H865" s="432"/>
      <c r="I865" s="432"/>
      <c r="J865" s="432"/>
    </row>
    <row r="866">
      <c r="H866" s="432"/>
      <c r="I866" s="432"/>
      <c r="J866" s="432"/>
    </row>
    <row r="867">
      <c r="H867" s="432"/>
      <c r="I867" s="432"/>
      <c r="J867" s="432"/>
    </row>
    <row r="868">
      <c r="H868" s="432"/>
      <c r="I868" s="432"/>
      <c r="J868" s="432"/>
    </row>
    <row r="869">
      <c r="H869" s="432"/>
      <c r="I869" s="432"/>
      <c r="J869" s="432"/>
    </row>
    <row r="870">
      <c r="H870" s="432"/>
      <c r="I870" s="432"/>
      <c r="J870" s="432"/>
    </row>
    <row r="871">
      <c r="H871" s="432"/>
      <c r="I871" s="432"/>
      <c r="J871" s="432"/>
    </row>
    <row r="872">
      <c r="H872" s="432"/>
      <c r="I872" s="432"/>
      <c r="J872" s="432"/>
    </row>
    <row r="873">
      <c r="H873" s="432"/>
      <c r="I873" s="432"/>
      <c r="J873" s="432"/>
    </row>
    <row r="874">
      <c r="H874" s="432"/>
      <c r="I874" s="432"/>
      <c r="J874" s="432"/>
    </row>
    <row r="875">
      <c r="H875" s="432"/>
      <c r="I875" s="432"/>
      <c r="J875" s="432"/>
    </row>
    <row r="876">
      <c r="H876" s="432"/>
      <c r="I876" s="432"/>
      <c r="J876" s="432"/>
    </row>
    <row r="877">
      <c r="H877" s="432"/>
      <c r="I877" s="432"/>
      <c r="J877" s="432"/>
    </row>
    <row r="878">
      <c r="H878" s="432"/>
      <c r="I878" s="432"/>
      <c r="J878" s="432"/>
    </row>
    <row r="879">
      <c r="H879" s="432"/>
      <c r="I879" s="432"/>
      <c r="J879" s="432"/>
    </row>
    <row r="880">
      <c r="H880" s="432"/>
      <c r="I880" s="432"/>
      <c r="J880" s="432"/>
    </row>
    <row r="881">
      <c r="H881" s="432"/>
      <c r="I881" s="432"/>
      <c r="J881" s="432"/>
    </row>
    <row r="882">
      <c r="H882" s="432"/>
      <c r="I882" s="432"/>
      <c r="J882" s="432"/>
    </row>
    <row r="883">
      <c r="H883" s="432"/>
      <c r="I883" s="432"/>
      <c r="J883" s="432"/>
    </row>
    <row r="884">
      <c r="H884" s="432"/>
      <c r="I884" s="432"/>
      <c r="J884" s="432"/>
    </row>
    <row r="885">
      <c r="H885" s="432"/>
      <c r="I885" s="432"/>
      <c r="J885" s="432"/>
    </row>
    <row r="886">
      <c r="H886" s="432"/>
      <c r="I886" s="432"/>
      <c r="J886" s="432"/>
    </row>
    <row r="887">
      <c r="H887" s="432"/>
      <c r="I887" s="432"/>
      <c r="J887" s="432"/>
    </row>
    <row r="888">
      <c r="H888" s="432"/>
      <c r="I888" s="432"/>
      <c r="J888" s="432"/>
    </row>
    <row r="889">
      <c r="H889" s="432"/>
      <c r="I889" s="432"/>
      <c r="J889" s="432"/>
    </row>
    <row r="890">
      <c r="H890" s="432"/>
      <c r="I890" s="432"/>
      <c r="J890" s="432"/>
    </row>
    <row r="891">
      <c r="H891" s="432"/>
      <c r="I891" s="432"/>
      <c r="J891" s="432"/>
    </row>
    <row r="892">
      <c r="H892" s="432"/>
      <c r="I892" s="432"/>
      <c r="J892" s="432"/>
    </row>
    <row r="893">
      <c r="H893" s="432"/>
      <c r="I893" s="432"/>
      <c r="J893" s="432"/>
    </row>
    <row r="894">
      <c r="H894" s="432"/>
      <c r="I894" s="432"/>
      <c r="J894" s="432"/>
    </row>
    <row r="895">
      <c r="H895" s="432"/>
      <c r="I895" s="432"/>
      <c r="J895" s="432"/>
    </row>
    <row r="896">
      <c r="H896" s="432"/>
      <c r="I896" s="432"/>
      <c r="J896" s="432"/>
    </row>
    <row r="897">
      <c r="H897" s="432"/>
      <c r="I897" s="432"/>
      <c r="J897" s="432"/>
    </row>
    <row r="898">
      <c r="H898" s="432"/>
      <c r="I898" s="432"/>
      <c r="J898" s="432"/>
    </row>
    <row r="899">
      <c r="H899" s="432"/>
      <c r="I899" s="432"/>
      <c r="J899" s="432"/>
    </row>
    <row r="900">
      <c r="H900" s="432"/>
      <c r="I900" s="432"/>
      <c r="J900" s="432"/>
    </row>
    <row r="901">
      <c r="H901" s="432"/>
      <c r="I901" s="432"/>
      <c r="J901" s="432"/>
    </row>
    <row r="902">
      <c r="H902" s="432"/>
      <c r="I902" s="432"/>
      <c r="J902" s="432"/>
    </row>
    <row r="903">
      <c r="H903" s="432"/>
      <c r="I903" s="432"/>
      <c r="J903" s="432"/>
    </row>
    <row r="904">
      <c r="H904" s="432"/>
      <c r="I904" s="432"/>
      <c r="J904" s="432"/>
    </row>
    <row r="905">
      <c r="H905" s="432"/>
      <c r="I905" s="432"/>
      <c r="J905" s="432"/>
    </row>
    <row r="906">
      <c r="H906" s="432"/>
      <c r="I906" s="432"/>
      <c r="J906" s="432"/>
    </row>
    <row r="907">
      <c r="H907" s="432"/>
      <c r="I907" s="432"/>
      <c r="J907" s="432"/>
    </row>
    <row r="908">
      <c r="H908" s="432"/>
      <c r="I908" s="432"/>
      <c r="J908" s="432"/>
    </row>
    <row r="909">
      <c r="H909" s="432"/>
      <c r="I909" s="432"/>
      <c r="J909" s="432"/>
    </row>
    <row r="910">
      <c r="H910" s="432"/>
      <c r="I910" s="432"/>
      <c r="J910" s="432"/>
    </row>
    <row r="911">
      <c r="H911" s="432"/>
      <c r="I911" s="432"/>
      <c r="J911" s="432"/>
    </row>
    <row r="912">
      <c r="H912" s="432"/>
      <c r="I912" s="432"/>
      <c r="J912" s="432"/>
    </row>
    <row r="913">
      <c r="H913" s="432"/>
      <c r="I913" s="432"/>
      <c r="J913" s="432"/>
    </row>
    <row r="914">
      <c r="H914" s="432"/>
      <c r="I914" s="432"/>
      <c r="J914" s="432"/>
    </row>
    <row r="915">
      <c r="H915" s="432"/>
      <c r="I915" s="432"/>
      <c r="J915" s="432"/>
    </row>
    <row r="916">
      <c r="H916" s="432"/>
      <c r="I916" s="432"/>
      <c r="J916" s="432"/>
    </row>
    <row r="917">
      <c r="H917" s="432"/>
      <c r="I917" s="432"/>
      <c r="J917" s="432"/>
    </row>
    <row r="918">
      <c r="H918" s="432"/>
      <c r="I918" s="432"/>
      <c r="J918" s="432"/>
    </row>
    <row r="919">
      <c r="H919" s="432"/>
      <c r="I919" s="432"/>
      <c r="J919" s="432"/>
    </row>
    <row r="920">
      <c r="H920" s="432"/>
      <c r="I920" s="432"/>
      <c r="J920" s="432"/>
    </row>
    <row r="921">
      <c r="H921" s="432"/>
      <c r="I921" s="432"/>
      <c r="J921" s="432"/>
    </row>
    <row r="922">
      <c r="H922" s="432"/>
      <c r="I922" s="432"/>
      <c r="J922" s="432"/>
    </row>
    <row r="923">
      <c r="H923" s="432"/>
      <c r="I923" s="432"/>
      <c r="J923" s="432"/>
    </row>
    <row r="924">
      <c r="H924" s="432"/>
      <c r="I924" s="432"/>
      <c r="J924" s="432"/>
    </row>
    <row r="925">
      <c r="H925" s="432"/>
      <c r="I925" s="432"/>
      <c r="J925" s="432"/>
    </row>
    <row r="926">
      <c r="H926" s="432"/>
      <c r="I926" s="432"/>
      <c r="J926" s="432"/>
    </row>
    <row r="927">
      <c r="H927" s="432"/>
      <c r="I927" s="432"/>
      <c r="J927" s="432"/>
    </row>
    <row r="928">
      <c r="H928" s="432"/>
      <c r="I928" s="432"/>
      <c r="J928" s="432"/>
    </row>
    <row r="929">
      <c r="H929" s="432"/>
      <c r="I929" s="432"/>
      <c r="J929" s="432"/>
    </row>
    <row r="930">
      <c r="H930" s="432"/>
      <c r="I930" s="432"/>
      <c r="J930" s="432"/>
    </row>
    <row r="931">
      <c r="H931" s="432"/>
      <c r="I931" s="432"/>
      <c r="J931" s="432"/>
    </row>
    <row r="932">
      <c r="H932" s="432"/>
      <c r="I932" s="432"/>
      <c r="J932" s="432"/>
    </row>
    <row r="933">
      <c r="H933" s="432"/>
      <c r="I933" s="432"/>
      <c r="J933" s="432"/>
    </row>
    <row r="934">
      <c r="H934" s="432"/>
      <c r="I934" s="432"/>
      <c r="J934" s="432"/>
    </row>
    <row r="935">
      <c r="H935" s="432"/>
      <c r="I935" s="432"/>
      <c r="J935" s="432"/>
    </row>
    <row r="936">
      <c r="H936" s="432"/>
      <c r="I936" s="432"/>
      <c r="J936" s="432"/>
    </row>
    <row r="937">
      <c r="H937" s="432"/>
      <c r="I937" s="432"/>
      <c r="J937" s="432"/>
    </row>
    <row r="938">
      <c r="H938" s="432"/>
      <c r="I938" s="432"/>
      <c r="J938" s="432"/>
    </row>
    <row r="939">
      <c r="H939" s="432"/>
      <c r="I939" s="432"/>
      <c r="J939" s="432"/>
    </row>
    <row r="940">
      <c r="H940" s="432"/>
      <c r="I940" s="432"/>
      <c r="J940" s="432"/>
    </row>
    <row r="941">
      <c r="H941" s="432"/>
      <c r="I941" s="432"/>
      <c r="J941" s="432"/>
    </row>
    <row r="942">
      <c r="H942" s="432"/>
      <c r="I942" s="432"/>
      <c r="J942" s="432"/>
    </row>
    <row r="943">
      <c r="H943" s="432"/>
      <c r="I943" s="432"/>
      <c r="J943" s="432"/>
    </row>
    <row r="944">
      <c r="H944" s="432"/>
      <c r="I944" s="432"/>
      <c r="J944" s="432"/>
    </row>
    <row r="945">
      <c r="H945" s="432"/>
      <c r="I945" s="432"/>
      <c r="J945" s="432"/>
    </row>
    <row r="946">
      <c r="H946" s="432"/>
      <c r="I946" s="432"/>
      <c r="J946" s="432"/>
    </row>
    <row r="947">
      <c r="H947" s="432"/>
      <c r="I947" s="432"/>
      <c r="J947" s="432"/>
    </row>
    <row r="948">
      <c r="H948" s="432"/>
      <c r="I948" s="432"/>
      <c r="J948" s="432"/>
    </row>
    <row r="949">
      <c r="H949" s="432"/>
      <c r="I949" s="432"/>
      <c r="J949" s="432"/>
    </row>
    <row r="950">
      <c r="H950" s="432"/>
      <c r="I950" s="432"/>
      <c r="J950" s="432"/>
    </row>
    <row r="951">
      <c r="H951" s="432"/>
      <c r="I951" s="432"/>
      <c r="J951" s="432"/>
    </row>
    <row r="952">
      <c r="H952" s="432"/>
      <c r="I952" s="432"/>
      <c r="J952" s="432"/>
    </row>
    <row r="953">
      <c r="H953" s="432"/>
      <c r="I953" s="432"/>
      <c r="J953" s="432"/>
    </row>
    <row r="954">
      <c r="H954" s="432"/>
      <c r="I954" s="432"/>
      <c r="J954" s="432"/>
    </row>
    <row r="955">
      <c r="H955" s="432"/>
      <c r="I955" s="432"/>
      <c r="J955" s="432"/>
    </row>
    <row r="956">
      <c r="H956" s="432"/>
      <c r="I956" s="432"/>
      <c r="J956" s="432"/>
    </row>
    <row r="957">
      <c r="H957" s="432"/>
      <c r="I957" s="432"/>
      <c r="J957" s="432"/>
    </row>
    <row r="958">
      <c r="H958" s="432"/>
      <c r="I958" s="432"/>
      <c r="J958" s="432"/>
    </row>
    <row r="959">
      <c r="H959" s="432"/>
      <c r="I959" s="432"/>
      <c r="J959" s="432"/>
    </row>
    <row r="960">
      <c r="H960" s="432"/>
      <c r="I960" s="432"/>
      <c r="J960" s="432"/>
    </row>
    <row r="961">
      <c r="H961" s="432"/>
      <c r="I961" s="432"/>
      <c r="J961" s="432"/>
    </row>
    <row r="962">
      <c r="H962" s="432"/>
      <c r="I962" s="432"/>
      <c r="J962" s="432"/>
    </row>
    <row r="963">
      <c r="H963" s="432"/>
      <c r="I963" s="432"/>
      <c r="J963" s="432"/>
    </row>
    <row r="964">
      <c r="H964" s="432"/>
      <c r="I964" s="432"/>
      <c r="J964" s="432"/>
    </row>
    <row r="965">
      <c r="H965" s="432"/>
      <c r="I965" s="432"/>
      <c r="J965" s="432"/>
    </row>
    <row r="966">
      <c r="H966" s="432"/>
      <c r="I966" s="432"/>
      <c r="J966" s="432"/>
    </row>
    <row r="967">
      <c r="H967" s="432"/>
      <c r="I967" s="432"/>
      <c r="J967" s="432"/>
    </row>
    <row r="968">
      <c r="H968" s="432"/>
      <c r="I968" s="432"/>
      <c r="J968" s="432"/>
    </row>
    <row r="969">
      <c r="H969" s="432"/>
      <c r="I969" s="432"/>
      <c r="J969" s="432"/>
    </row>
    <row r="970">
      <c r="H970" s="432"/>
      <c r="I970" s="432"/>
      <c r="J970" s="432"/>
    </row>
    <row r="971">
      <c r="H971" s="432"/>
      <c r="I971" s="432"/>
      <c r="J971" s="432"/>
    </row>
    <row r="972">
      <c r="H972" s="432"/>
      <c r="I972" s="432"/>
      <c r="J972" s="432"/>
    </row>
    <row r="973">
      <c r="H973" s="432"/>
      <c r="I973" s="432"/>
      <c r="J973" s="432"/>
    </row>
    <row r="974">
      <c r="H974" s="432"/>
      <c r="I974" s="432"/>
      <c r="J974" s="432"/>
    </row>
    <row r="975">
      <c r="H975" s="432"/>
      <c r="I975" s="432"/>
      <c r="J975" s="432"/>
    </row>
    <row r="976">
      <c r="H976" s="432"/>
      <c r="I976" s="432"/>
      <c r="J976" s="432"/>
    </row>
    <row r="977">
      <c r="H977" s="432"/>
      <c r="I977" s="432"/>
      <c r="J977" s="432"/>
    </row>
    <row r="978">
      <c r="H978" s="432"/>
      <c r="I978" s="432"/>
      <c r="J978" s="432"/>
    </row>
    <row r="979">
      <c r="H979" s="432"/>
      <c r="I979" s="432"/>
      <c r="J979" s="432"/>
    </row>
    <row r="980">
      <c r="H980" s="432"/>
      <c r="I980" s="432"/>
      <c r="J980" s="432"/>
    </row>
    <row r="981">
      <c r="H981" s="432"/>
      <c r="I981" s="432"/>
      <c r="J981" s="432"/>
    </row>
    <row r="982">
      <c r="H982" s="432"/>
      <c r="I982" s="432"/>
      <c r="J982" s="432"/>
    </row>
    <row r="983">
      <c r="H983" s="432"/>
      <c r="I983" s="432"/>
      <c r="J983" s="432"/>
    </row>
    <row r="984">
      <c r="H984" s="432"/>
      <c r="I984" s="432"/>
      <c r="J984" s="432"/>
    </row>
    <row r="985">
      <c r="H985" s="432"/>
      <c r="I985" s="432"/>
      <c r="J985" s="432"/>
    </row>
    <row r="986">
      <c r="H986" s="432"/>
      <c r="I986" s="432"/>
      <c r="J986" s="432"/>
    </row>
    <row r="987">
      <c r="H987" s="432"/>
      <c r="I987" s="432"/>
      <c r="J987" s="432"/>
    </row>
    <row r="988">
      <c r="H988" s="432"/>
      <c r="I988" s="432"/>
      <c r="J988" s="432"/>
    </row>
    <row r="989">
      <c r="H989" s="432"/>
      <c r="I989" s="432"/>
      <c r="J989" s="432"/>
    </row>
    <row r="990">
      <c r="H990" s="432"/>
      <c r="I990" s="432"/>
      <c r="J990" s="432"/>
    </row>
    <row r="991">
      <c r="H991" s="432"/>
      <c r="I991" s="432"/>
      <c r="J991" s="432"/>
    </row>
    <row r="992">
      <c r="H992" s="432"/>
      <c r="I992" s="432"/>
      <c r="J992" s="432"/>
    </row>
    <row r="993">
      <c r="H993" s="432"/>
      <c r="I993" s="432"/>
      <c r="J993" s="432"/>
    </row>
    <row r="994">
      <c r="H994" s="432"/>
      <c r="I994" s="432"/>
      <c r="J994" s="432"/>
    </row>
    <row r="995">
      <c r="H995" s="432"/>
      <c r="I995" s="432"/>
      <c r="J995" s="432"/>
    </row>
    <row r="996">
      <c r="H996" s="432"/>
      <c r="I996" s="432"/>
      <c r="J996" s="432"/>
    </row>
    <row r="997">
      <c r="H997" s="432"/>
      <c r="I997" s="432"/>
      <c r="J997" s="432"/>
    </row>
    <row r="998">
      <c r="H998" s="432"/>
      <c r="I998" s="432"/>
      <c r="J998" s="432"/>
    </row>
    <row r="999">
      <c r="H999" s="432"/>
      <c r="I999" s="432"/>
      <c r="J999" s="432"/>
    </row>
    <row r="1000">
      <c r="H1000" s="432"/>
      <c r="I1000" s="432"/>
      <c r="J1000" s="432"/>
    </row>
  </sheetData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71"/>
  </cols>
  <sheetData>
    <row r="1">
      <c r="C1" s="475"/>
      <c r="D1" s="476"/>
      <c r="E1" s="477"/>
      <c r="F1" s="478"/>
    </row>
    <row r="2">
      <c r="C2" s="475"/>
      <c r="D2" s="476"/>
      <c r="E2" s="477"/>
      <c r="F2" s="478"/>
    </row>
    <row r="3">
      <c r="C3" s="475"/>
      <c r="D3" s="476"/>
      <c r="E3" s="477"/>
      <c r="F3" s="478">
        <v>1380.0</v>
      </c>
    </row>
    <row r="4">
      <c r="C4" s="475"/>
      <c r="D4" s="476"/>
      <c r="E4" s="477"/>
      <c r="F4" s="478"/>
    </row>
    <row r="5">
      <c r="B5" s="420" t="s">
        <v>2614</v>
      </c>
      <c r="C5" s="475"/>
      <c r="D5" s="476"/>
      <c r="E5" s="477">
        <f>F5/F3-100000</f>
        <v>99636.73043</v>
      </c>
      <c r="F5" s="478">
        <f>'24.07월'!H21</f>
        <v>275498688</v>
      </c>
      <c r="G5" s="420" t="s">
        <v>2615</v>
      </c>
    </row>
    <row r="6">
      <c r="B6" s="420" t="s">
        <v>2616</v>
      </c>
      <c r="C6" s="475"/>
      <c r="D6" s="476"/>
      <c r="E6" s="477">
        <f> 203550+120000</f>
        <v>323550</v>
      </c>
      <c r="F6" s="478">
        <f>E6*F3</f>
        <v>446499000</v>
      </c>
      <c r="G6" s="420" t="s">
        <v>2615</v>
      </c>
    </row>
    <row r="7">
      <c r="B7" s="420" t="s">
        <v>2617</v>
      </c>
      <c r="C7" s="479">
        <v>197986.0</v>
      </c>
      <c r="D7" s="480">
        <v>2.0</v>
      </c>
      <c r="E7" s="477">
        <f>C7*D7</f>
        <v>395972</v>
      </c>
      <c r="F7" s="478">
        <f>E7*F3</f>
        <v>546441360</v>
      </c>
    </row>
    <row r="8">
      <c r="B8" s="420" t="s">
        <v>2508</v>
      </c>
      <c r="C8" s="475"/>
      <c r="D8" s="480"/>
      <c r="E8" s="481">
        <v>260000.0</v>
      </c>
      <c r="F8" s="478">
        <f>E8*F3</f>
        <v>358800000</v>
      </c>
    </row>
    <row r="9">
      <c r="C9" s="475"/>
      <c r="D9" s="476"/>
      <c r="E9" s="477"/>
      <c r="F9" s="478"/>
    </row>
    <row r="10">
      <c r="C10" s="475"/>
      <c r="D10" s="476"/>
      <c r="E10" s="477"/>
      <c r="F10" s="478"/>
    </row>
    <row r="11">
      <c r="C11" s="475"/>
      <c r="D11" s="476"/>
      <c r="E11" s="477">
        <f t="shared" ref="E11:F11" si="1">SUM(E5:E10)</f>
        <v>1079158.73</v>
      </c>
      <c r="F11" s="477">
        <f t="shared" si="1"/>
        <v>1627239048</v>
      </c>
    </row>
    <row r="12">
      <c r="C12" s="475"/>
      <c r="D12" s="476"/>
      <c r="E12" s="477"/>
      <c r="F12" s="478"/>
    </row>
    <row r="13">
      <c r="C13" s="475"/>
      <c r="D13" s="480" t="s">
        <v>2618</v>
      </c>
      <c r="E13" s="481">
        <v>110000.0</v>
      </c>
      <c r="F13" s="478">
        <f>E13*F3</f>
        <v>151800000</v>
      </c>
    </row>
    <row r="14">
      <c r="C14" s="475"/>
      <c r="D14" s="476"/>
      <c r="E14" s="477"/>
      <c r="F14" s="478"/>
    </row>
    <row r="15">
      <c r="C15" s="475"/>
      <c r="D15" s="476"/>
      <c r="E15" s="475">
        <f>E11/E13</f>
        <v>9.810533913</v>
      </c>
      <c r="F15" s="478"/>
    </row>
    <row r="16">
      <c r="C16" s="475"/>
      <c r="D16" s="476"/>
      <c r="E16" s="477"/>
      <c r="F16" s="478"/>
    </row>
    <row r="17">
      <c r="C17" s="475"/>
      <c r="D17" s="476"/>
      <c r="E17" s="477"/>
      <c r="F17" s="478"/>
    </row>
    <row r="18">
      <c r="C18" s="475"/>
      <c r="D18" s="476"/>
      <c r="E18" s="477"/>
      <c r="F18" s="478"/>
    </row>
    <row r="19">
      <c r="C19" s="475"/>
      <c r="D19" s="476"/>
      <c r="E19" s="477"/>
      <c r="F19" s="478">
        <v>1330.0</v>
      </c>
    </row>
    <row r="20">
      <c r="C20" s="475"/>
      <c r="D20" s="476"/>
      <c r="E20" s="477"/>
      <c r="F20" s="478"/>
    </row>
    <row r="21">
      <c r="B21" s="420" t="s">
        <v>2614</v>
      </c>
      <c r="C21" s="475"/>
      <c r="D21" s="476"/>
      <c r="E21" s="477">
        <f>F21/F19-110000</f>
        <v>81626.74662</v>
      </c>
      <c r="F21" s="478">
        <f>'24.08월'!H21</f>
        <v>254863573</v>
      </c>
      <c r="G21" s="420" t="s">
        <v>2619</v>
      </c>
    </row>
    <row r="22">
      <c r="B22" s="420" t="s">
        <v>2616</v>
      </c>
      <c r="C22" s="475"/>
      <c r="D22" s="476"/>
      <c r="E22" s="477">
        <f> 68627.47</f>
        <v>68627.47</v>
      </c>
      <c r="F22" s="478">
        <f>E22*F19</f>
        <v>91274535.1</v>
      </c>
      <c r="G22" s="420" t="s">
        <v>2619</v>
      </c>
    </row>
    <row r="23">
      <c r="B23" s="420" t="s">
        <v>2617</v>
      </c>
      <c r="C23" s="479">
        <f>258977.49247294-50000</f>
        <v>208977.4925</v>
      </c>
      <c r="D23" s="480">
        <f>407847.52/258977.49247294</f>
        <v>1.574837705</v>
      </c>
      <c r="G23" s="482">
        <f>C23*D23</f>
        <v>329105.6347</v>
      </c>
      <c r="H23" s="483">
        <f>G23*F19</f>
        <v>437710494.2</v>
      </c>
    </row>
    <row r="24">
      <c r="B24" s="420" t="s">
        <v>2508</v>
      </c>
      <c r="C24" s="475"/>
      <c r="D24" s="480"/>
      <c r="E24" s="481">
        <v>260000.0</v>
      </c>
      <c r="F24" s="478">
        <f>E24*F19</f>
        <v>345800000</v>
      </c>
    </row>
    <row r="25">
      <c r="B25" s="420" t="s">
        <v>2620</v>
      </c>
      <c r="C25" s="475"/>
      <c r="D25" s="476"/>
      <c r="E25" s="481">
        <v>1000000.0</v>
      </c>
      <c r="F25" s="478"/>
    </row>
    <row r="26">
      <c r="C26" s="475"/>
      <c r="D26" s="476"/>
      <c r="E26" s="477"/>
      <c r="F26" s="478"/>
    </row>
    <row r="27">
      <c r="C27" s="475"/>
      <c r="D27" s="476"/>
      <c r="E27" s="477">
        <f t="shared" ref="E27:F27" si="2">SUM(E21:E26)</f>
        <v>1410254.217</v>
      </c>
      <c r="F27" s="477">
        <f t="shared" si="2"/>
        <v>691938108.1</v>
      </c>
    </row>
    <row r="28">
      <c r="C28" s="475"/>
      <c r="D28" s="476"/>
      <c r="E28" s="477"/>
      <c r="F28" s="478"/>
    </row>
    <row r="29">
      <c r="C29" s="475"/>
      <c r="D29" s="480" t="s">
        <v>2618</v>
      </c>
      <c r="E29" s="481">
        <v>110000.0</v>
      </c>
      <c r="F29" s="478">
        <f>E29*F19</f>
        <v>146300000</v>
      </c>
    </row>
    <row r="30">
      <c r="C30" s="475"/>
      <c r="D30" s="476"/>
      <c r="E30" s="477"/>
      <c r="F30" s="478"/>
    </row>
    <row r="31">
      <c r="C31" s="475"/>
      <c r="D31" s="476"/>
      <c r="E31" s="475">
        <f>E27/E29</f>
        <v>12.82049288</v>
      </c>
      <c r="F31" s="478"/>
    </row>
    <row r="32">
      <c r="C32" s="475"/>
      <c r="D32" s="476"/>
      <c r="E32" s="477"/>
      <c r="F32" s="478"/>
    </row>
    <row r="33">
      <c r="C33" s="475"/>
      <c r="D33" s="476"/>
      <c r="E33" s="477"/>
      <c r="F33" s="478">
        <v>1330.0</v>
      </c>
    </row>
    <row r="34">
      <c r="C34" s="475"/>
      <c r="D34" s="476"/>
      <c r="E34" s="477"/>
      <c r="F34" s="478"/>
    </row>
    <row r="35">
      <c r="B35" s="420" t="s">
        <v>2614</v>
      </c>
      <c r="C35" s="475"/>
      <c r="D35" s="476"/>
      <c r="E35" s="477">
        <f>F35/F33-110000</f>
        <v>81626.74662</v>
      </c>
      <c r="F35" s="478">
        <f>'24.08월'!H21</f>
        <v>254863573</v>
      </c>
      <c r="G35" s="420" t="s">
        <v>2619</v>
      </c>
    </row>
    <row r="36">
      <c r="B36" s="420" t="s">
        <v>2616</v>
      </c>
      <c r="C36" s="475"/>
      <c r="D36" s="476"/>
      <c r="E36" s="477">
        <f> 68627.47</f>
        <v>68627.47</v>
      </c>
      <c r="F36" s="478">
        <f>E36*F33</f>
        <v>91274535.1</v>
      </c>
      <c r="G36" s="420" t="s">
        <v>2619</v>
      </c>
    </row>
    <row r="37">
      <c r="B37" s="420" t="s">
        <v>2617</v>
      </c>
      <c r="C37" s="479">
        <f>258977.49247294-50000</f>
        <v>208977.4925</v>
      </c>
      <c r="D37" s="480">
        <f>407847.52/258977.49247294</f>
        <v>1.574837705</v>
      </c>
      <c r="G37" s="482">
        <f>C37*D37</f>
        <v>329105.6347</v>
      </c>
      <c r="H37" s="483">
        <f>G37*F33</f>
        <v>437710494.2</v>
      </c>
    </row>
    <row r="38">
      <c r="B38" s="420" t="s">
        <v>2508</v>
      </c>
      <c r="C38" s="475"/>
      <c r="D38" s="480"/>
      <c r="E38" s="481">
        <v>260000.0</v>
      </c>
      <c r="F38" s="478">
        <f>E38*F33</f>
        <v>345800000</v>
      </c>
    </row>
    <row r="39">
      <c r="B39" s="420" t="s">
        <v>2620</v>
      </c>
      <c r="C39" s="475"/>
      <c r="D39" s="476"/>
      <c r="E39" s="481">
        <v>500000.0</v>
      </c>
      <c r="F39" s="478"/>
    </row>
    <row r="40">
      <c r="C40" s="475"/>
      <c r="D40" s="476"/>
      <c r="E40" s="477"/>
      <c r="F40" s="478"/>
    </row>
    <row r="41">
      <c r="C41" s="475"/>
      <c r="D41" s="476"/>
      <c r="E41" s="477">
        <f t="shared" ref="E41:F41" si="3">SUM(E35:E40)</f>
        <v>910254.2166</v>
      </c>
      <c r="F41" s="477">
        <f t="shared" si="3"/>
        <v>691938108.1</v>
      </c>
    </row>
    <row r="42">
      <c r="C42" s="475"/>
      <c r="D42" s="476"/>
      <c r="E42" s="477"/>
      <c r="F42" s="478"/>
    </row>
    <row r="43">
      <c r="C43" s="475"/>
      <c r="D43" s="480" t="s">
        <v>2618</v>
      </c>
      <c r="E43" s="481">
        <v>110000.0</v>
      </c>
      <c r="F43" s="478">
        <f>E43*F33</f>
        <v>146300000</v>
      </c>
    </row>
    <row r="44">
      <c r="C44" s="475"/>
      <c r="D44" s="476"/>
      <c r="E44" s="477"/>
      <c r="F44" s="478"/>
    </row>
    <row r="45">
      <c r="C45" s="475"/>
      <c r="D45" s="476"/>
      <c r="E45" s="475">
        <f>E41/E43</f>
        <v>8.275038333</v>
      </c>
      <c r="F45" s="478"/>
    </row>
    <row r="46">
      <c r="C46" s="475"/>
      <c r="D46" s="476"/>
      <c r="E46" s="477"/>
      <c r="F46" s="478"/>
    </row>
    <row r="47">
      <c r="C47" s="475"/>
      <c r="D47" s="476"/>
      <c r="E47" s="477"/>
      <c r="F47" s="478"/>
    </row>
    <row r="48">
      <c r="C48" s="475"/>
      <c r="D48" s="476"/>
      <c r="E48" s="477"/>
      <c r="F48" s="478"/>
    </row>
    <row r="49">
      <c r="C49" s="475"/>
      <c r="D49" s="476"/>
      <c r="E49" s="477"/>
      <c r="F49" s="478"/>
    </row>
    <row r="50">
      <c r="C50" s="475"/>
      <c r="D50" s="476"/>
      <c r="E50" s="477"/>
      <c r="F50" s="478"/>
    </row>
    <row r="51">
      <c r="C51" s="475"/>
      <c r="D51" s="476"/>
      <c r="E51" s="477"/>
      <c r="F51" s="478"/>
    </row>
    <row r="52">
      <c r="C52" s="475"/>
      <c r="D52" s="476"/>
      <c r="E52" s="477"/>
      <c r="F52" s="478"/>
    </row>
    <row r="53">
      <c r="C53" s="475"/>
      <c r="D53" s="476"/>
      <c r="E53" s="477"/>
      <c r="F53" s="478"/>
    </row>
    <row r="54">
      <c r="C54" s="475"/>
      <c r="D54" s="476"/>
      <c r="E54" s="477"/>
      <c r="F54" s="478"/>
    </row>
    <row r="55">
      <c r="C55" s="475"/>
      <c r="D55" s="476"/>
      <c r="E55" s="477"/>
      <c r="F55" s="478"/>
    </row>
    <row r="56">
      <c r="C56" s="475"/>
      <c r="D56" s="476"/>
      <c r="E56" s="477"/>
      <c r="F56" s="478"/>
    </row>
    <row r="57">
      <c r="C57" s="475"/>
      <c r="D57" s="476"/>
      <c r="E57" s="477"/>
      <c r="F57" s="478"/>
    </row>
    <row r="58">
      <c r="C58" s="475"/>
      <c r="D58" s="476"/>
      <c r="E58" s="477"/>
      <c r="F58" s="478"/>
    </row>
    <row r="59">
      <c r="C59" s="475"/>
      <c r="D59" s="476"/>
      <c r="E59" s="477"/>
      <c r="F59" s="478"/>
    </row>
    <row r="60">
      <c r="C60" s="475"/>
      <c r="D60" s="476"/>
      <c r="E60" s="477"/>
      <c r="F60" s="478"/>
    </row>
    <row r="61">
      <c r="C61" s="475"/>
      <c r="D61" s="476"/>
      <c r="E61" s="477"/>
      <c r="F61" s="478"/>
    </row>
    <row r="62">
      <c r="C62" s="475"/>
      <c r="D62" s="476"/>
      <c r="E62" s="477"/>
      <c r="F62" s="478"/>
    </row>
    <row r="63">
      <c r="C63" s="475"/>
      <c r="D63" s="476"/>
      <c r="E63" s="477"/>
      <c r="F63" s="478"/>
    </row>
    <row r="64">
      <c r="C64" s="475"/>
      <c r="D64" s="476"/>
      <c r="E64" s="477"/>
      <c r="F64" s="478"/>
    </row>
    <row r="65">
      <c r="C65" s="475"/>
      <c r="D65" s="476"/>
      <c r="E65" s="477"/>
      <c r="F65" s="478"/>
    </row>
    <row r="66">
      <c r="C66" s="475"/>
      <c r="D66" s="476"/>
      <c r="E66" s="477"/>
      <c r="F66" s="478"/>
    </row>
    <row r="67">
      <c r="C67" s="475"/>
      <c r="D67" s="476"/>
      <c r="E67" s="477"/>
      <c r="F67" s="478"/>
    </row>
    <row r="68">
      <c r="C68" s="475"/>
      <c r="D68" s="476"/>
      <c r="E68" s="477"/>
      <c r="F68" s="478"/>
    </row>
    <row r="69">
      <c r="C69" s="475"/>
      <c r="D69" s="476"/>
      <c r="E69" s="477"/>
      <c r="F69" s="478"/>
    </row>
    <row r="70">
      <c r="C70" s="475"/>
      <c r="D70" s="476"/>
      <c r="E70" s="477"/>
      <c r="F70" s="478"/>
    </row>
    <row r="71">
      <c r="C71" s="475"/>
      <c r="D71" s="476"/>
      <c r="E71" s="477"/>
      <c r="F71" s="478"/>
    </row>
    <row r="72">
      <c r="C72" s="475"/>
      <c r="D72" s="476"/>
      <c r="E72" s="477"/>
      <c r="F72" s="478"/>
    </row>
    <row r="73">
      <c r="C73" s="475"/>
      <c r="D73" s="476"/>
      <c r="E73" s="477"/>
      <c r="F73" s="478"/>
    </row>
    <row r="74">
      <c r="C74" s="475"/>
      <c r="D74" s="476"/>
      <c r="E74" s="477"/>
      <c r="F74" s="478"/>
    </row>
    <row r="75">
      <c r="C75" s="475"/>
      <c r="D75" s="476"/>
      <c r="E75" s="477"/>
      <c r="F75" s="478"/>
    </row>
    <row r="76">
      <c r="C76" s="475"/>
      <c r="D76" s="476"/>
      <c r="E76" s="477"/>
      <c r="F76" s="478"/>
    </row>
    <row r="77">
      <c r="C77" s="475"/>
      <c r="D77" s="476"/>
      <c r="E77" s="477"/>
      <c r="F77" s="478"/>
    </row>
    <row r="78">
      <c r="C78" s="475"/>
      <c r="D78" s="476"/>
      <c r="E78" s="477"/>
      <c r="F78" s="478"/>
    </row>
    <row r="79">
      <c r="C79" s="475"/>
      <c r="D79" s="476"/>
      <c r="E79" s="477"/>
      <c r="F79" s="478"/>
    </row>
    <row r="80">
      <c r="C80" s="475"/>
      <c r="D80" s="476"/>
      <c r="E80" s="477"/>
      <c r="F80" s="478"/>
    </row>
    <row r="81">
      <c r="C81" s="475"/>
      <c r="D81" s="476"/>
      <c r="E81" s="477"/>
      <c r="F81" s="478"/>
    </row>
    <row r="82">
      <c r="C82" s="475"/>
      <c r="D82" s="476"/>
      <c r="E82" s="477"/>
      <c r="F82" s="478"/>
    </row>
    <row r="83">
      <c r="C83" s="475"/>
      <c r="D83" s="476"/>
      <c r="E83" s="477"/>
      <c r="F83" s="478"/>
    </row>
    <row r="84">
      <c r="C84" s="475"/>
      <c r="D84" s="476"/>
      <c r="E84" s="477"/>
      <c r="F84" s="478"/>
    </row>
    <row r="85">
      <c r="C85" s="475"/>
      <c r="D85" s="476"/>
      <c r="E85" s="477"/>
      <c r="F85" s="478"/>
    </row>
    <row r="86">
      <c r="C86" s="475"/>
      <c r="D86" s="476"/>
      <c r="E86" s="477"/>
      <c r="F86" s="478"/>
    </row>
    <row r="87">
      <c r="C87" s="475"/>
      <c r="D87" s="476"/>
      <c r="E87" s="477"/>
      <c r="F87" s="478"/>
    </row>
    <row r="88">
      <c r="C88" s="475"/>
      <c r="D88" s="476"/>
      <c r="E88" s="477"/>
      <c r="F88" s="478"/>
    </row>
    <row r="89">
      <c r="C89" s="475"/>
      <c r="D89" s="476"/>
      <c r="E89" s="477"/>
      <c r="F89" s="478"/>
    </row>
    <row r="90">
      <c r="C90" s="475"/>
      <c r="D90" s="476"/>
      <c r="E90" s="477"/>
      <c r="F90" s="478"/>
    </row>
    <row r="91">
      <c r="C91" s="475"/>
      <c r="D91" s="476"/>
      <c r="E91" s="477"/>
      <c r="F91" s="478"/>
    </row>
    <row r="92">
      <c r="C92" s="475"/>
      <c r="D92" s="476"/>
      <c r="E92" s="477"/>
      <c r="F92" s="478"/>
    </row>
    <row r="93">
      <c r="C93" s="475"/>
      <c r="D93" s="476"/>
      <c r="E93" s="477"/>
      <c r="F93" s="478"/>
    </row>
    <row r="94">
      <c r="C94" s="475"/>
      <c r="D94" s="476"/>
      <c r="E94" s="477"/>
      <c r="F94" s="478"/>
    </row>
    <row r="95">
      <c r="C95" s="475"/>
      <c r="D95" s="476"/>
      <c r="E95" s="477"/>
      <c r="F95" s="478"/>
    </row>
    <row r="96">
      <c r="C96" s="475"/>
      <c r="D96" s="476"/>
      <c r="E96" s="477"/>
      <c r="F96" s="478"/>
    </row>
    <row r="97">
      <c r="C97" s="475"/>
      <c r="D97" s="476"/>
      <c r="E97" s="477"/>
      <c r="F97" s="478"/>
    </row>
    <row r="98">
      <c r="C98" s="475"/>
      <c r="D98" s="476"/>
      <c r="E98" s="477"/>
      <c r="F98" s="478"/>
    </row>
    <row r="99">
      <c r="C99" s="475"/>
      <c r="D99" s="476"/>
      <c r="E99" s="477"/>
      <c r="F99" s="478"/>
    </row>
    <row r="100">
      <c r="C100" s="475"/>
      <c r="D100" s="476"/>
      <c r="E100" s="477"/>
      <c r="F100" s="478"/>
    </row>
    <row r="101">
      <c r="C101" s="475"/>
      <c r="D101" s="476"/>
      <c r="E101" s="477"/>
      <c r="F101" s="478"/>
    </row>
    <row r="102">
      <c r="C102" s="475"/>
      <c r="D102" s="476"/>
      <c r="E102" s="477"/>
      <c r="F102" s="478"/>
    </row>
    <row r="103">
      <c r="C103" s="475"/>
      <c r="D103" s="476"/>
      <c r="E103" s="477"/>
      <c r="F103" s="478"/>
    </row>
    <row r="104">
      <c r="C104" s="475"/>
      <c r="D104" s="476"/>
      <c r="E104" s="477"/>
      <c r="F104" s="478"/>
    </row>
    <row r="105">
      <c r="C105" s="475"/>
      <c r="D105" s="476"/>
      <c r="E105" s="477"/>
      <c r="F105" s="478"/>
    </row>
    <row r="106">
      <c r="C106" s="475"/>
      <c r="D106" s="476"/>
      <c r="E106" s="477"/>
      <c r="F106" s="478"/>
    </row>
    <row r="107">
      <c r="C107" s="475"/>
      <c r="D107" s="476"/>
      <c r="E107" s="477"/>
      <c r="F107" s="478"/>
    </row>
    <row r="108">
      <c r="C108" s="475"/>
      <c r="D108" s="476"/>
      <c r="E108" s="477"/>
      <c r="F108" s="478"/>
    </row>
    <row r="109">
      <c r="C109" s="475"/>
      <c r="D109" s="476"/>
      <c r="E109" s="477"/>
      <c r="F109" s="478"/>
    </row>
    <row r="110">
      <c r="C110" s="475"/>
      <c r="D110" s="476"/>
      <c r="E110" s="477"/>
      <c r="F110" s="478"/>
    </row>
    <row r="111">
      <c r="C111" s="475"/>
      <c r="D111" s="476"/>
      <c r="E111" s="477"/>
      <c r="F111" s="478"/>
    </row>
    <row r="112">
      <c r="C112" s="475"/>
      <c r="D112" s="476"/>
      <c r="E112" s="477"/>
      <c r="F112" s="478"/>
    </row>
    <row r="113">
      <c r="C113" s="475"/>
      <c r="D113" s="476"/>
      <c r="E113" s="477"/>
      <c r="F113" s="478"/>
    </row>
    <row r="114">
      <c r="C114" s="475"/>
      <c r="D114" s="476"/>
      <c r="E114" s="477"/>
      <c r="F114" s="478"/>
    </row>
    <row r="115">
      <c r="C115" s="475"/>
      <c r="D115" s="476"/>
      <c r="E115" s="477"/>
      <c r="F115" s="478"/>
    </row>
    <row r="116">
      <c r="C116" s="475"/>
      <c r="D116" s="476"/>
      <c r="E116" s="477"/>
      <c r="F116" s="478"/>
    </row>
    <row r="117">
      <c r="C117" s="475"/>
      <c r="D117" s="476"/>
      <c r="E117" s="477"/>
      <c r="F117" s="478"/>
    </row>
    <row r="118">
      <c r="C118" s="475"/>
      <c r="D118" s="476"/>
      <c r="E118" s="477"/>
      <c r="F118" s="478"/>
    </row>
    <row r="119">
      <c r="C119" s="475"/>
      <c r="D119" s="476"/>
      <c r="E119" s="477"/>
      <c r="F119" s="478"/>
    </row>
    <row r="120">
      <c r="C120" s="475"/>
      <c r="D120" s="476"/>
      <c r="E120" s="477"/>
      <c r="F120" s="478"/>
    </row>
    <row r="121">
      <c r="C121" s="475"/>
      <c r="D121" s="476"/>
      <c r="E121" s="477"/>
      <c r="F121" s="478"/>
    </row>
    <row r="122">
      <c r="C122" s="475"/>
      <c r="D122" s="476"/>
      <c r="E122" s="477"/>
      <c r="F122" s="478"/>
    </row>
    <row r="123">
      <c r="C123" s="475"/>
      <c r="D123" s="476"/>
      <c r="E123" s="477"/>
      <c r="F123" s="478"/>
    </row>
    <row r="124">
      <c r="C124" s="475"/>
      <c r="D124" s="476"/>
      <c r="E124" s="477"/>
      <c r="F124" s="478"/>
    </row>
    <row r="125">
      <c r="C125" s="475"/>
      <c r="D125" s="476"/>
      <c r="E125" s="477"/>
      <c r="F125" s="478"/>
    </row>
    <row r="126">
      <c r="C126" s="475"/>
      <c r="D126" s="476"/>
      <c r="E126" s="477"/>
      <c r="F126" s="478"/>
    </row>
    <row r="127">
      <c r="C127" s="475"/>
      <c r="D127" s="476"/>
      <c r="E127" s="477"/>
      <c r="F127" s="478"/>
    </row>
    <row r="128">
      <c r="C128" s="475"/>
      <c r="D128" s="476"/>
      <c r="E128" s="477"/>
      <c r="F128" s="478"/>
    </row>
    <row r="129">
      <c r="C129" s="475"/>
      <c r="D129" s="476"/>
      <c r="E129" s="477"/>
      <c r="F129" s="478"/>
    </row>
    <row r="130">
      <c r="C130" s="475"/>
      <c r="D130" s="476"/>
      <c r="E130" s="477"/>
      <c r="F130" s="478"/>
    </row>
    <row r="131">
      <c r="C131" s="475"/>
      <c r="D131" s="476"/>
      <c r="E131" s="477"/>
      <c r="F131" s="478"/>
    </row>
    <row r="132">
      <c r="C132" s="475"/>
      <c r="D132" s="476"/>
      <c r="E132" s="477"/>
      <c r="F132" s="478"/>
    </row>
    <row r="133">
      <c r="C133" s="475"/>
      <c r="D133" s="476"/>
      <c r="E133" s="477"/>
      <c r="F133" s="478"/>
    </row>
    <row r="134">
      <c r="C134" s="475"/>
      <c r="D134" s="476"/>
      <c r="E134" s="477"/>
      <c r="F134" s="478"/>
    </row>
    <row r="135">
      <c r="C135" s="475"/>
      <c r="D135" s="476"/>
      <c r="E135" s="477"/>
      <c r="F135" s="478"/>
    </row>
    <row r="136">
      <c r="C136" s="475"/>
      <c r="D136" s="476"/>
      <c r="E136" s="477"/>
      <c r="F136" s="478"/>
    </row>
    <row r="137">
      <c r="C137" s="475"/>
      <c r="D137" s="476"/>
      <c r="E137" s="477"/>
      <c r="F137" s="478"/>
    </row>
    <row r="138">
      <c r="C138" s="475"/>
      <c r="D138" s="476"/>
      <c r="E138" s="477"/>
      <c r="F138" s="478"/>
    </row>
    <row r="139">
      <c r="C139" s="475"/>
      <c r="D139" s="476"/>
      <c r="E139" s="477"/>
      <c r="F139" s="478"/>
    </row>
    <row r="140">
      <c r="C140" s="475"/>
      <c r="D140" s="476"/>
      <c r="E140" s="477"/>
      <c r="F140" s="478"/>
    </row>
    <row r="141">
      <c r="C141" s="475"/>
      <c r="D141" s="476"/>
      <c r="E141" s="477"/>
      <c r="F141" s="478"/>
    </row>
    <row r="142">
      <c r="C142" s="475"/>
      <c r="D142" s="476"/>
      <c r="E142" s="477"/>
      <c r="F142" s="478"/>
    </row>
    <row r="143">
      <c r="C143" s="475"/>
      <c r="D143" s="476"/>
      <c r="E143" s="477"/>
      <c r="F143" s="478"/>
    </row>
    <row r="144">
      <c r="C144" s="475"/>
      <c r="D144" s="476"/>
      <c r="E144" s="477"/>
      <c r="F144" s="478"/>
    </row>
    <row r="145">
      <c r="C145" s="475"/>
      <c r="D145" s="476"/>
      <c r="E145" s="477"/>
      <c r="F145" s="478"/>
    </row>
    <row r="146">
      <c r="C146" s="475"/>
      <c r="D146" s="476"/>
      <c r="E146" s="477"/>
      <c r="F146" s="478"/>
    </row>
    <row r="147">
      <c r="C147" s="475"/>
      <c r="D147" s="476"/>
      <c r="E147" s="477"/>
      <c r="F147" s="478"/>
    </row>
    <row r="148">
      <c r="C148" s="475"/>
      <c r="D148" s="476"/>
      <c r="E148" s="477"/>
      <c r="F148" s="478"/>
    </row>
    <row r="149">
      <c r="C149" s="475"/>
      <c r="D149" s="476"/>
      <c r="E149" s="477"/>
      <c r="F149" s="478"/>
    </row>
    <row r="150">
      <c r="C150" s="475"/>
      <c r="D150" s="476"/>
      <c r="E150" s="477"/>
      <c r="F150" s="478"/>
    </row>
    <row r="151">
      <c r="C151" s="475"/>
      <c r="D151" s="476"/>
      <c r="E151" s="477"/>
      <c r="F151" s="478"/>
    </row>
    <row r="152">
      <c r="C152" s="475"/>
      <c r="D152" s="476"/>
      <c r="E152" s="477"/>
      <c r="F152" s="478"/>
    </row>
    <row r="153">
      <c r="C153" s="475"/>
      <c r="D153" s="476"/>
      <c r="E153" s="477"/>
      <c r="F153" s="478"/>
    </row>
    <row r="154">
      <c r="C154" s="475"/>
      <c r="D154" s="476"/>
      <c r="E154" s="477"/>
      <c r="F154" s="478"/>
    </row>
    <row r="155">
      <c r="C155" s="475"/>
      <c r="D155" s="476"/>
      <c r="E155" s="477"/>
      <c r="F155" s="478"/>
    </row>
    <row r="156">
      <c r="C156" s="475"/>
      <c r="D156" s="476"/>
      <c r="E156" s="477"/>
      <c r="F156" s="478"/>
    </row>
    <row r="157">
      <c r="C157" s="475"/>
      <c r="D157" s="476"/>
      <c r="E157" s="477"/>
      <c r="F157" s="478"/>
    </row>
    <row r="158">
      <c r="C158" s="475"/>
      <c r="D158" s="476"/>
      <c r="E158" s="477"/>
      <c r="F158" s="478"/>
    </row>
    <row r="159">
      <c r="C159" s="475"/>
      <c r="D159" s="476"/>
      <c r="E159" s="477"/>
      <c r="F159" s="478"/>
    </row>
    <row r="160">
      <c r="C160" s="475"/>
      <c r="D160" s="476"/>
      <c r="E160" s="477"/>
      <c r="F160" s="478"/>
    </row>
    <row r="161">
      <c r="C161" s="475"/>
      <c r="D161" s="476"/>
      <c r="E161" s="477"/>
      <c r="F161" s="478"/>
    </row>
    <row r="162">
      <c r="C162" s="475"/>
      <c r="D162" s="476"/>
      <c r="E162" s="477"/>
      <c r="F162" s="478"/>
    </row>
    <row r="163">
      <c r="C163" s="475"/>
      <c r="D163" s="476"/>
      <c r="E163" s="477"/>
      <c r="F163" s="478"/>
    </row>
    <row r="164">
      <c r="C164" s="475"/>
      <c r="D164" s="476"/>
      <c r="E164" s="477"/>
      <c r="F164" s="478"/>
    </row>
    <row r="165">
      <c r="C165" s="475"/>
      <c r="D165" s="476"/>
      <c r="E165" s="477"/>
      <c r="F165" s="478"/>
    </row>
    <row r="166">
      <c r="C166" s="475"/>
      <c r="D166" s="476"/>
      <c r="E166" s="477"/>
      <c r="F166" s="478"/>
    </row>
    <row r="167">
      <c r="C167" s="475"/>
      <c r="D167" s="476"/>
      <c r="E167" s="477"/>
      <c r="F167" s="478"/>
    </row>
    <row r="168">
      <c r="C168" s="475"/>
      <c r="D168" s="476"/>
      <c r="E168" s="477"/>
      <c r="F168" s="478"/>
    </row>
    <row r="169">
      <c r="C169" s="475"/>
      <c r="D169" s="476"/>
      <c r="E169" s="477"/>
      <c r="F169" s="478"/>
    </row>
    <row r="170">
      <c r="C170" s="475"/>
      <c r="D170" s="476"/>
      <c r="E170" s="477"/>
      <c r="F170" s="478"/>
    </row>
    <row r="171">
      <c r="C171" s="475"/>
      <c r="D171" s="476"/>
      <c r="E171" s="477"/>
      <c r="F171" s="478"/>
    </row>
    <row r="172">
      <c r="C172" s="475"/>
      <c r="D172" s="476"/>
      <c r="E172" s="477"/>
      <c r="F172" s="478"/>
    </row>
    <row r="173">
      <c r="C173" s="475"/>
      <c r="D173" s="476"/>
      <c r="E173" s="477"/>
      <c r="F173" s="478"/>
    </row>
    <row r="174">
      <c r="C174" s="475"/>
      <c r="D174" s="476"/>
      <c r="E174" s="477"/>
      <c r="F174" s="478"/>
    </row>
    <row r="175">
      <c r="C175" s="475"/>
      <c r="D175" s="476"/>
      <c r="E175" s="477"/>
      <c r="F175" s="478"/>
    </row>
    <row r="176">
      <c r="C176" s="475"/>
      <c r="D176" s="476"/>
      <c r="E176" s="477"/>
      <c r="F176" s="478"/>
    </row>
    <row r="177">
      <c r="C177" s="475"/>
      <c r="D177" s="476"/>
      <c r="E177" s="477"/>
      <c r="F177" s="478"/>
    </row>
    <row r="178">
      <c r="C178" s="475"/>
      <c r="D178" s="476"/>
      <c r="E178" s="477"/>
      <c r="F178" s="478"/>
    </row>
    <row r="179">
      <c r="C179" s="475"/>
      <c r="D179" s="476"/>
      <c r="E179" s="477"/>
      <c r="F179" s="478"/>
    </row>
    <row r="180">
      <c r="C180" s="475"/>
      <c r="D180" s="476"/>
      <c r="E180" s="477"/>
      <c r="F180" s="478"/>
    </row>
    <row r="181">
      <c r="C181" s="475"/>
      <c r="D181" s="476"/>
      <c r="E181" s="477"/>
      <c r="F181" s="478"/>
    </row>
    <row r="182">
      <c r="C182" s="475"/>
      <c r="D182" s="476"/>
      <c r="E182" s="477"/>
      <c r="F182" s="478"/>
    </row>
    <row r="183">
      <c r="C183" s="475"/>
      <c r="D183" s="476"/>
      <c r="E183" s="477"/>
      <c r="F183" s="478"/>
    </row>
    <row r="184">
      <c r="C184" s="475"/>
      <c r="D184" s="476"/>
      <c r="E184" s="477"/>
      <c r="F184" s="478"/>
    </row>
    <row r="185">
      <c r="C185" s="475"/>
      <c r="D185" s="476"/>
      <c r="E185" s="477"/>
      <c r="F185" s="478"/>
    </row>
    <row r="186">
      <c r="C186" s="475"/>
      <c r="D186" s="476"/>
      <c r="E186" s="477"/>
      <c r="F186" s="478"/>
    </row>
    <row r="187">
      <c r="C187" s="475"/>
      <c r="D187" s="476"/>
      <c r="E187" s="477"/>
      <c r="F187" s="478"/>
    </row>
    <row r="188">
      <c r="C188" s="475"/>
      <c r="D188" s="476"/>
      <c r="E188" s="477"/>
      <c r="F188" s="478"/>
    </row>
    <row r="189">
      <c r="C189" s="475"/>
      <c r="D189" s="476"/>
      <c r="E189" s="477"/>
      <c r="F189" s="478"/>
    </row>
    <row r="190">
      <c r="C190" s="475"/>
      <c r="D190" s="476"/>
      <c r="E190" s="477"/>
      <c r="F190" s="478"/>
    </row>
    <row r="191">
      <c r="C191" s="475"/>
      <c r="D191" s="476"/>
      <c r="E191" s="477"/>
      <c r="F191" s="478"/>
    </row>
    <row r="192">
      <c r="C192" s="475"/>
      <c r="D192" s="476"/>
      <c r="E192" s="477"/>
      <c r="F192" s="478"/>
    </row>
    <row r="193">
      <c r="C193" s="475"/>
      <c r="D193" s="476"/>
      <c r="E193" s="477"/>
      <c r="F193" s="478"/>
    </row>
    <row r="194">
      <c r="C194" s="475"/>
      <c r="D194" s="476"/>
      <c r="E194" s="477"/>
      <c r="F194" s="478"/>
    </row>
    <row r="195">
      <c r="C195" s="475"/>
      <c r="D195" s="476"/>
      <c r="E195" s="477"/>
      <c r="F195" s="478"/>
    </row>
    <row r="196">
      <c r="C196" s="475"/>
      <c r="D196" s="476"/>
      <c r="E196" s="477"/>
      <c r="F196" s="478"/>
    </row>
    <row r="197">
      <c r="C197" s="475"/>
      <c r="D197" s="476"/>
      <c r="E197" s="477"/>
      <c r="F197" s="478"/>
    </row>
    <row r="198">
      <c r="C198" s="475"/>
      <c r="D198" s="476"/>
      <c r="E198" s="477"/>
      <c r="F198" s="478"/>
    </row>
    <row r="199">
      <c r="C199" s="475"/>
      <c r="D199" s="476"/>
      <c r="E199" s="477"/>
      <c r="F199" s="478"/>
    </row>
    <row r="200">
      <c r="C200" s="475"/>
      <c r="D200" s="476"/>
      <c r="E200" s="477"/>
      <c r="F200" s="478"/>
    </row>
    <row r="201">
      <c r="C201" s="475"/>
      <c r="D201" s="476"/>
      <c r="E201" s="477"/>
      <c r="F201" s="478"/>
    </row>
    <row r="202">
      <c r="C202" s="475"/>
      <c r="D202" s="476"/>
      <c r="E202" s="477"/>
      <c r="F202" s="478"/>
    </row>
    <row r="203">
      <c r="C203" s="475"/>
      <c r="D203" s="476"/>
      <c r="E203" s="477"/>
      <c r="F203" s="478"/>
    </row>
    <row r="204">
      <c r="C204" s="475"/>
      <c r="D204" s="476"/>
      <c r="E204" s="477"/>
      <c r="F204" s="478"/>
    </row>
    <row r="205">
      <c r="C205" s="475"/>
      <c r="D205" s="476"/>
      <c r="E205" s="477"/>
      <c r="F205" s="478"/>
    </row>
    <row r="206">
      <c r="C206" s="475"/>
      <c r="D206" s="476"/>
      <c r="E206" s="477"/>
      <c r="F206" s="478"/>
    </row>
    <row r="207">
      <c r="C207" s="475"/>
      <c r="D207" s="476"/>
      <c r="E207" s="477"/>
      <c r="F207" s="478"/>
    </row>
    <row r="208">
      <c r="C208" s="475"/>
      <c r="D208" s="476"/>
      <c r="E208" s="477"/>
      <c r="F208" s="478"/>
    </row>
    <row r="209">
      <c r="C209" s="475"/>
      <c r="D209" s="476"/>
      <c r="E209" s="477"/>
      <c r="F209" s="478"/>
    </row>
    <row r="210">
      <c r="C210" s="475"/>
      <c r="D210" s="476"/>
      <c r="E210" s="477"/>
      <c r="F210" s="478"/>
    </row>
    <row r="211">
      <c r="C211" s="475"/>
      <c r="D211" s="476"/>
      <c r="E211" s="477"/>
      <c r="F211" s="478"/>
    </row>
    <row r="212">
      <c r="C212" s="475"/>
      <c r="D212" s="476"/>
      <c r="E212" s="477"/>
      <c r="F212" s="478"/>
    </row>
    <row r="213">
      <c r="C213" s="475"/>
      <c r="D213" s="476"/>
      <c r="E213" s="477"/>
      <c r="F213" s="478"/>
    </row>
    <row r="214">
      <c r="C214" s="475"/>
      <c r="D214" s="476"/>
      <c r="E214" s="477"/>
      <c r="F214" s="478"/>
    </row>
    <row r="215">
      <c r="C215" s="475"/>
      <c r="D215" s="476"/>
      <c r="E215" s="477"/>
      <c r="F215" s="478"/>
    </row>
    <row r="216">
      <c r="C216" s="475"/>
      <c r="D216" s="476"/>
      <c r="E216" s="477"/>
      <c r="F216" s="478"/>
    </row>
    <row r="217">
      <c r="C217" s="475"/>
      <c r="D217" s="476"/>
      <c r="E217" s="477"/>
      <c r="F217" s="478"/>
    </row>
    <row r="218">
      <c r="C218" s="475"/>
      <c r="D218" s="476"/>
      <c r="E218" s="477"/>
      <c r="F218" s="478"/>
    </row>
    <row r="219">
      <c r="C219" s="475"/>
      <c r="D219" s="476"/>
      <c r="E219" s="477"/>
      <c r="F219" s="478"/>
    </row>
    <row r="220">
      <c r="C220" s="475"/>
      <c r="D220" s="476"/>
      <c r="E220" s="477"/>
      <c r="F220" s="478"/>
    </row>
    <row r="221">
      <c r="C221" s="475"/>
      <c r="D221" s="476"/>
      <c r="E221" s="477"/>
      <c r="F221" s="478"/>
    </row>
    <row r="222">
      <c r="C222" s="475"/>
      <c r="D222" s="476"/>
      <c r="E222" s="477"/>
      <c r="F222" s="478"/>
    </row>
    <row r="223">
      <c r="C223" s="475"/>
      <c r="D223" s="476"/>
      <c r="E223" s="477"/>
      <c r="F223" s="478"/>
    </row>
    <row r="224">
      <c r="C224" s="475"/>
      <c r="D224" s="476"/>
      <c r="E224" s="477"/>
      <c r="F224" s="478"/>
    </row>
    <row r="225">
      <c r="C225" s="475"/>
      <c r="D225" s="476"/>
      <c r="E225" s="477"/>
      <c r="F225" s="478"/>
    </row>
    <row r="226">
      <c r="C226" s="475"/>
      <c r="D226" s="476"/>
      <c r="E226" s="477"/>
      <c r="F226" s="478"/>
    </row>
    <row r="227">
      <c r="C227" s="475"/>
      <c r="D227" s="476"/>
      <c r="E227" s="477"/>
      <c r="F227" s="478"/>
    </row>
    <row r="228">
      <c r="C228" s="475"/>
      <c r="D228" s="476"/>
      <c r="E228" s="477"/>
      <c r="F228" s="478"/>
    </row>
    <row r="229">
      <c r="C229" s="475"/>
      <c r="D229" s="476"/>
      <c r="E229" s="477"/>
      <c r="F229" s="478"/>
    </row>
    <row r="230">
      <c r="C230" s="475"/>
      <c r="D230" s="476"/>
      <c r="E230" s="477"/>
      <c r="F230" s="478"/>
    </row>
    <row r="231">
      <c r="C231" s="475"/>
      <c r="D231" s="476"/>
      <c r="E231" s="477"/>
      <c r="F231" s="478"/>
    </row>
    <row r="232">
      <c r="C232" s="475"/>
      <c r="D232" s="476"/>
      <c r="E232" s="477"/>
      <c r="F232" s="478"/>
    </row>
    <row r="233">
      <c r="C233" s="475"/>
      <c r="D233" s="476"/>
      <c r="E233" s="477"/>
      <c r="F233" s="478"/>
    </row>
    <row r="234">
      <c r="C234" s="475"/>
      <c r="D234" s="476"/>
      <c r="E234" s="477"/>
      <c r="F234" s="478"/>
    </row>
    <row r="235">
      <c r="C235" s="475"/>
      <c r="D235" s="476"/>
      <c r="E235" s="477"/>
      <c r="F235" s="478"/>
    </row>
    <row r="236">
      <c r="C236" s="475"/>
      <c r="D236" s="476"/>
      <c r="E236" s="477"/>
      <c r="F236" s="478"/>
    </row>
    <row r="237">
      <c r="C237" s="475"/>
      <c r="D237" s="476"/>
      <c r="E237" s="477"/>
      <c r="F237" s="478"/>
    </row>
    <row r="238">
      <c r="C238" s="475"/>
      <c r="D238" s="476"/>
      <c r="E238" s="477"/>
      <c r="F238" s="478"/>
    </row>
    <row r="239">
      <c r="C239" s="475"/>
      <c r="D239" s="476"/>
      <c r="E239" s="477"/>
      <c r="F239" s="478"/>
    </row>
    <row r="240">
      <c r="C240" s="475"/>
      <c r="D240" s="476"/>
      <c r="E240" s="477"/>
      <c r="F240" s="478"/>
    </row>
    <row r="241">
      <c r="C241" s="475"/>
      <c r="D241" s="476"/>
      <c r="E241" s="477"/>
      <c r="F241" s="478"/>
    </row>
    <row r="242">
      <c r="C242" s="475"/>
      <c r="D242" s="476"/>
      <c r="E242" s="477"/>
      <c r="F242" s="478"/>
    </row>
    <row r="243">
      <c r="C243" s="475"/>
      <c r="D243" s="476"/>
      <c r="E243" s="477"/>
      <c r="F243" s="478"/>
    </row>
    <row r="244">
      <c r="C244" s="475"/>
      <c r="D244" s="476"/>
      <c r="E244" s="477"/>
      <c r="F244" s="478"/>
    </row>
    <row r="245">
      <c r="C245" s="475"/>
      <c r="D245" s="476"/>
      <c r="E245" s="477"/>
      <c r="F245" s="478"/>
    </row>
    <row r="246">
      <c r="C246" s="475"/>
      <c r="D246" s="476"/>
      <c r="E246" s="477"/>
      <c r="F246" s="478"/>
    </row>
    <row r="247">
      <c r="C247" s="475"/>
      <c r="D247" s="476"/>
      <c r="E247" s="477"/>
      <c r="F247" s="478"/>
    </row>
    <row r="248">
      <c r="C248" s="475"/>
      <c r="D248" s="476"/>
      <c r="E248" s="477"/>
      <c r="F248" s="478"/>
    </row>
    <row r="249">
      <c r="C249" s="475"/>
      <c r="D249" s="476"/>
      <c r="E249" s="477"/>
      <c r="F249" s="478"/>
    </row>
    <row r="250">
      <c r="C250" s="475"/>
      <c r="D250" s="476"/>
      <c r="E250" s="477"/>
      <c r="F250" s="478"/>
    </row>
    <row r="251">
      <c r="C251" s="475"/>
      <c r="D251" s="476"/>
      <c r="E251" s="477"/>
      <c r="F251" s="478"/>
    </row>
    <row r="252">
      <c r="C252" s="475"/>
      <c r="D252" s="476"/>
      <c r="E252" s="477"/>
      <c r="F252" s="478"/>
    </row>
    <row r="253">
      <c r="C253" s="475"/>
      <c r="D253" s="476"/>
      <c r="E253" s="477"/>
      <c r="F253" s="478"/>
    </row>
    <row r="254">
      <c r="C254" s="475"/>
      <c r="D254" s="476"/>
      <c r="E254" s="477"/>
      <c r="F254" s="478"/>
    </row>
    <row r="255">
      <c r="C255" s="475"/>
      <c r="D255" s="476"/>
      <c r="E255" s="477"/>
      <c r="F255" s="478"/>
    </row>
    <row r="256">
      <c r="C256" s="475"/>
      <c r="D256" s="476"/>
      <c r="E256" s="477"/>
      <c r="F256" s="478"/>
    </row>
    <row r="257">
      <c r="C257" s="475"/>
      <c r="D257" s="476"/>
      <c r="E257" s="477"/>
      <c r="F257" s="478"/>
    </row>
    <row r="258">
      <c r="C258" s="475"/>
      <c r="D258" s="476"/>
      <c r="E258" s="477"/>
      <c r="F258" s="478"/>
    </row>
    <row r="259">
      <c r="C259" s="475"/>
      <c r="D259" s="476"/>
      <c r="E259" s="477"/>
      <c r="F259" s="478"/>
    </row>
    <row r="260">
      <c r="C260" s="475"/>
      <c r="D260" s="476"/>
      <c r="E260" s="477"/>
      <c r="F260" s="478"/>
    </row>
    <row r="261">
      <c r="C261" s="475"/>
      <c r="D261" s="476"/>
      <c r="E261" s="477"/>
      <c r="F261" s="478"/>
    </row>
    <row r="262">
      <c r="C262" s="475"/>
      <c r="D262" s="476"/>
      <c r="E262" s="477"/>
      <c r="F262" s="478"/>
    </row>
    <row r="263">
      <c r="C263" s="475"/>
      <c r="D263" s="476"/>
      <c r="E263" s="477"/>
      <c r="F263" s="478"/>
    </row>
    <row r="264">
      <c r="C264" s="475"/>
      <c r="D264" s="476"/>
      <c r="E264" s="477"/>
      <c r="F264" s="478"/>
    </row>
    <row r="265">
      <c r="C265" s="475"/>
      <c r="D265" s="476"/>
      <c r="E265" s="477"/>
      <c r="F265" s="478"/>
    </row>
    <row r="266">
      <c r="C266" s="475"/>
      <c r="D266" s="476"/>
      <c r="E266" s="477"/>
      <c r="F266" s="478"/>
    </row>
    <row r="267">
      <c r="C267" s="475"/>
      <c r="D267" s="476"/>
      <c r="E267" s="477"/>
      <c r="F267" s="478"/>
    </row>
    <row r="268">
      <c r="C268" s="475"/>
      <c r="D268" s="476"/>
      <c r="E268" s="477"/>
      <c r="F268" s="478"/>
    </row>
    <row r="269">
      <c r="C269" s="475"/>
      <c r="D269" s="476"/>
      <c r="E269" s="477"/>
      <c r="F269" s="478"/>
    </row>
    <row r="270">
      <c r="C270" s="475"/>
      <c r="D270" s="476"/>
      <c r="E270" s="477"/>
      <c r="F270" s="478"/>
    </row>
    <row r="271">
      <c r="C271" s="475"/>
      <c r="D271" s="476"/>
      <c r="E271" s="477"/>
      <c r="F271" s="478"/>
    </row>
    <row r="272">
      <c r="C272" s="475"/>
      <c r="D272" s="476"/>
      <c r="E272" s="477"/>
      <c r="F272" s="478"/>
    </row>
    <row r="273">
      <c r="C273" s="475"/>
      <c r="D273" s="476"/>
      <c r="E273" s="477"/>
      <c r="F273" s="478"/>
    </row>
    <row r="274">
      <c r="C274" s="475"/>
      <c r="D274" s="476"/>
      <c r="E274" s="477"/>
      <c r="F274" s="478"/>
    </row>
    <row r="275">
      <c r="C275" s="475"/>
      <c r="D275" s="476"/>
      <c r="E275" s="477"/>
      <c r="F275" s="478"/>
    </row>
    <row r="276">
      <c r="C276" s="475"/>
      <c r="D276" s="476"/>
      <c r="E276" s="477"/>
      <c r="F276" s="478"/>
    </row>
    <row r="277">
      <c r="C277" s="475"/>
      <c r="D277" s="476"/>
      <c r="E277" s="477"/>
      <c r="F277" s="478"/>
    </row>
    <row r="278">
      <c r="C278" s="475"/>
      <c r="D278" s="476"/>
      <c r="E278" s="477"/>
      <c r="F278" s="478"/>
    </row>
    <row r="279">
      <c r="C279" s="475"/>
      <c r="D279" s="476"/>
      <c r="E279" s="477"/>
      <c r="F279" s="478"/>
    </row>
    <row r="280">
      <c r="C280" s="475"/>
      <c r="D280" s="476"/>
      <c r="E280" s="477"/>
      <c r="F280" s="478"/>
    </row>
    <row r="281">
      <c r="C281" s="475"/>
      <c r="D281" s="476"/>
      <c r="E281" s="477"/>
      <c r="F281" s="478"/>
    </row>
    <row r="282">
      <c r="C282" s="475"/>
      <c r="D282" s="476"/>
      <c r="E282" s="477"/>
      <c r="F282" s="478"/>
    </row>
    <row r="283">
      <c r="C283" s="475"/>
      <c r="D283" s="476"/>
      <c r="E283" s="477"/>
      <c r="F283" s="478"/>
    </row>
    <row r="284">
      <c r="C284" s="475"/>
      <c r="D284" s="476"/>
      <c r="E284" s="477"/>
      <c r="F284" s="478"/>
    </row>
    <row r="285">
      <c r="C285" s="475"/>
      <c r="D285" s="476"/>
      <c r="E285" s="477"/>
      <c r="F285" s="478"/>
    </row>
    <row r="286">
      <c r="C286" s="475"/>
      <c r="D286" s="476"/>
      <c r="E286" s="477"/>
      <c r="F286" s="478"/>
    </row>
    <row r="287">
      <c r="C287" s="475"/>
      <c r="D287" s="476"/>
      <c r="E287" s="477"/>
      <c r="F287" s="478"/>
    </row>
    <row r="288">
      <c r="C288" s="475"/>
      <c r="D288" s="476"/>
      <c r="E288" s="477"/>
      <c r="F288" s="478"/>
    </row>
    <row r="289">
      <c r="C289" s="475"/>
      <c r="D289" s="476"/>
      <c r="E289" s="477"/>
      <c r="F289" s="478"/>
    </row>
    <row r="290">
      <c r="C290" s="475"/>
      <c r="D290" s="476"/>
      <c r="E290" s="477"/>
      <c r="F290" s="478"/>
    </row>
    <row r="291">
      <c r="C291" s="475"/>
      <c r="D291" s="476"/>
      <c r="E291" s="477"/>
      <c r="F291" s="478"/>
    </row>
    <row r="292">
      <c r="C292" s="475"/>
      <c r="D292" s="476"/>
      <c r="E292" s="477"/>
      <c r="F292" s="478"/>
    </row>
    <row r="293">
      <c r="C293" s="475"/>
      <c r="D293" s="476"/>
      <c r="E293" s="477"/>
      <c r="F293" s="478"/>
    </row>
    <row r="294">
      <c r="C294" s="475"/>
      <c r="D294" s="476"/>
      <c r="E294" s="477"/>
      <c r="F294" s="478"/>
    </row>
    <row r="295">
      <c r="C295" s="475"/>
      <c r="D295" s="476"/>
      <c r="E295" s="477"/>
      <c r="F295" s="478"/>
    </row>
    <row r="296">
      <c r="C296" s="475"/>
      <c r="D296" s="476"/>
      <c r="E296" s="477"/>
      <c r="F296" s="478"/>
    </row>
    <row r="297">
      <c r="C297" s="475"/>
      <c r="D297" s="476"/>
      <c r="E297" s="477"/>
      <c r="F297" s="478"/>
    </row>
    <row r="298">
      <c r="C298" s="475"/>
      <c r="D298" s="476"/>
      <c r="E298" s="477"/>
      <c r="F298" s="478"/>
    </row>
    <row r="299">
      <c r="C299" s="475"/>
      <c r="D299" s="476"/>
      <c r="E299" s="477"/>
      <c r="F299" s="478"/>
    </row>
    <row r="300">
      <c r="C300" s="475"/>
      <c r="D300" s="476"/>
      <c r="E300" s="477"/>
      <c r="F300" s="478"/>
    </row>
    <row r="301">
      <c r="C301" s="475"/>
      <c r="D301" s="476"/>
      <c r="E301" s="477"/>
      <c r="F301" s="478"/>
    </row>
    <row r="302">
      <c r="C302" s="475"/>
      <c r="D302" s="476"/>
      <c r="E302" s="477"/>
      <c r="F302" s="478"/>
    </row>
    <row r="303">
      <c r="C303" s="475"/>
      <c r="D303" s="476"/>
      <c r="E303" s="477"/>
      <c r="F303" s="478"/>
    </row>
    <row r="304">
      <c r="C304" s="475"/>
      <c r="D304" s="476"/>
      <c r="E304" s="477"/>
      <c r="F304" s="478"/>
    </row>
    <row r="305">
      <c r="C305" s="475"/>
      <c r="D305" s="476"/>
      <c r="E305" s="477"/>
      <c r="F305" s="478"/>
    </row>
    <row r="306">
      <c r="C306" s="475"/>
      <c r="D306" s="476"/>
      <c r="E306" s="477"/>
      <c r="F306" s="478"/>
    </row>
    <row r="307">
      <c r="C307" s="475"/>
      <c r="D307" s="476"/>
      <c r="E307" s="477"/>
      <c r="F307" s="478"/>
    </row>
    <row r="308">
      <c r="C308" s="475"/>
      <c r="D308" s="476"/>
      <c r="E308" s="477"/>
      <c r="F308" s="478"/>
    </row>
    <row r="309">
      <c r="C309" s="475"/>
      <c r="D309" s="476"/>
      <c r="E309" s="477"/>
      <c r="F309" s="478"/>
    </row>
    <row r="310">
      <c r="C310" s="475"/>
      <c r="D310" s="476"/>
      <c r="E310" s="477"/>
      <c r="F310" s="478"/>
    </row>
    <row r="311">
      <c r="C311" s="475"/>
      <c r="D311" s="476"/>
      <c r="E311" s="477"/>
      <c r="F311" s="478"/>
    </row>
    <row r="312">
      <c r="C312" s="475"/>
      <c r="D312" s="476"/>
      <c r="E312" s="477"/>
      <c r="F312" s="478"/>
    </row>
    <row r="313">
      <c r="C313" s="475"/>
      <c r="D313" s="476"/>
      <c r="E313" s="477"/>
      <c r="F313" s="478"/>
    </row>
    <row r="314">
      <c r="C314" s="475"/>
      <c r="D314" s="476"/>
      <c r="E314" s="477"/>
      <c r="F314" s="478"/>
    </row>
    <row r="315">
      <c r="C315" s="475"/>
      <c r="D315" s="476"/>
      <c r="E315" s="477"/>
      <c r="F315" s="478"/>
    </row>
    <row r="316">
      <c r="C316" s="475"/>
      <c r="D316" s="476"/>
      <c r="E316" s="477"/>
      <c r="F316" s="478"/>
    </row>
    <row r="317">
      <c r="C317" s="475"/>
      <c r="D317" s="476"/>
      <c r="E317" s="477"/>
      <c r="F317" s="478"/>
    </row>
    <row r="318">
      <c r="C318" s="475"/>
      <c r="D318" s="476"/>
      <c r="E318" s="477"/>
      <c r="F318" s="478"/>
    </row>
    <row r="319">
      <c r="C319" s="475"/>
      <c r="D319" s="476"/>
      <c r="E319" s="477"/>
      <c r="F319" s="478"/>
    </row>
    <row r="320">
      <c r="C320" s="475"/>
      <c r="D320" s="476"/>
      <c r="E320" s="477"/>
      <c r="F320" s="478"/>
    </row>
    <row r="321">
      <c r="C321" s="475"/>
      <c r="D321" s="476"/>
      <c r="E321" s="477"/>
      <c r="F321" s="478"/>
    </row>
    <row r="322">
      <c r="C322" s="475"/>
      <c r="D322" s="476"/>
      <c r="E322" s="477"/>
      <c r="F322" s="478"/>
    </row>
    <row r="323">
      <c r="C323" s="475"/>
      <c r="D323" s="476"/>
      <c r="E323" s="477"/>
      <c r="F323" s="478"/>
    </row>
    <row r="324">
      <c r="C324" s="475"/>
      <c r="D324" s="476"/>
      <c r="E324" s="477"/>
      <c r="F324" s="478"/>
    </row>
    <row r="325">
      <c r="C325" s="475"/>
      <c r="D325" s="476"/>
      <c r="E325" s="477"/>
      <c r="F325" s="478"/>
    </row>
    <row r="326">
      <c r="C326" s="475"/>
      <c r="D326" s="476"/>
      <c r="E326" s="477"/>
      <c r="F326" s="478"/>
    </row>
    <row r="327">
      <c r="C327" s="475"/>
      <c r="D327" s="476"/>
      <c r="E327" s="477"/>
      <c r="F327" s="478"/>
    </row>
    <row r="328">
      <c r="C328" s="475"/>
      <c r="D328" s="476"/>
      <c r="E328" s="477"/>
      <c r="F328" s="478"/>
    </row>
    <row r="329">
      <c r="C329" s="475"/>
      <c r="D329" s="476"/>
      <c r="E329" s="477"/>
      <c r="F329" s="478"/>
    </row>
    <row r="330">
      <c r="C330" s="475"/>
      <c r="D330" s="476"/>
      <c r="E330" s="477"/>
      <c r="F330" s="478"/>
    </row>
    <row r="331">
      <c r="C331" s="475"/>
      <c r="D331" s="476"/>
      <c r="E331" s="477"/>
      <c r="F331" s="478"/>
    </row>
    <row r="332">
      <c r="C332" s="475"/>
      <c r="D332" s="476"/>
      <c r="E332" s="477"/>
      <c r="F332" s="478"/>
    </row>
    <row r="333">
      <c r="C333" s="475"/>
      <c r="D333" s="476"/>
      <c r="E333" s="477"/>
      <c r="F333" s="478"/>
    </row>
    <row r="334">
      <c r="C334" s="475"/>
      <c r="D334" s="476"/>
      <c r="E334" s="477"/>
      <c r="F334" s="478"/>
    </row>
    <row r="335">
      <c r="C335" s="475"/>
      <c r="D335" s="476"/>
      <c r="E335" s="477"/>
      <c r="F335" s="478"/>
    </row>
    <row r="336">
      <c r="C336" s="475"/>
      <c r="D336" s="476"/>
      <c r="E336" s="477"/>
      <c r="F336" s="478"/>
    </row>
    <row r="337">
      <c r="C337" s="475"/>
      <c r="D337" s="476"/>
      <c r="E337" s="477"/>
      <c r="F337" s="478"/>
    </row>
    <row r="338">
      <c r="C338" s="475"/>
      <c r="D338" s="476"/>
      <c r="E338" s="477"/>
      <c r="F338" s="478"/>
    </row>
    <row r="339">
      <c r="C339" s="475"/>
      <c r="D339" s="476"/>
      <c r="E339" s="477"/>
      <c r="F339" s="478"/>
    </row>
    <row r="340">
      <c r="C340" s="475"/>
      <c r="D340" s="476"/>
      <c r="E340" s="477"/>
      <c r="F340" s="478"/>
    </row>
    <row r="341">
      <c r="C341" s="475"/>
      <c r="D341" s="476"/>
      <c r="E341" s="477"/>
      <c r="F341" s="478"/>
    </row>
    <row r="342">
      <c r="C342" s="475"/>
      <c r="D342" s="476"/>
      <c r="E342" s="477"/>
      <c r="F342" s="478"/>
    </row>
    <row r="343">
      <c r="C343" s="475"/>
      <c r="D343" s="476"/>
      <c r="E343" s="477"/>
      <c r="F343" s="478"/>
    </row>
    <row r="344">
      <c r="C344" s="475"/>
      <c r="D344" s="476"/>
      <c r="E344" s="477"/>
      <c r="F344" s="478"/>
    </row>
    <row r="345">
      <c r="C345" s="475"/>
      <c r="D345" s="476"/>
      <c r="E345" s="477"/>
      <c r="F345" s="478"/>
    </row>
    <row r="346">
      <c r="C346" s="475"/>
      <c r="D346" s="476"/>
      <c r="E346" s="477"/>
      <c r="F346" s="478"/>
    </row>
    <row r="347">
      <c r="C347" s="475"/>
      <c r="D347" s="476"/>
      <c r="E347" s="477"/>
      <c r="F347" s="478"/>
    </row>
    <row r="348">
      <c r="C348" s="475"/>
      <c r="D348" s="476"/>
      <c r="E348" s="477"/>
      <c r="F348" s="478"/>
    </row>
    <row r="349">
      <c r="C349" s="475"/>
      <c r="D349" s="476"/>
      <c r="E349" s="477"/>
      <c r="F349" s="478"/>
    </row>
    <row r="350">
      <c r="C350" s="475"/>
      <c r="D350" s="476"/>
      <c r="E350" s="477"/>
      <c r="F350" s="478"/>
    </row>
    <row r="351">
      <c r="C351" s="475"/>
      <c r="D351" s="476"/>
      <c r="E351" s="477"/>
      <c r="F351" s="478"/>
    </row>
    <row r="352">
      <c r="C352" s="475"/>
      <c r="D352" s="476"/>
      <c r="E352" s="477"/>
      <c r="F352" s="478"/>
    </row>
    <row r="353">
      <c r="C353" s="475"/>
      <c r="D353" s="476"/>
      <c r="E353" s="477"/>
      <c r="F353" s="478"/>
    </row>
    <row r="354">
      <c r="C354" s="475"/>
      <c r="D354" s="476"/>
      <c r="E354" s="477"/>
      <c r="F354" s="478"/>
    </row>
    <row r="355">
      <c r="C355" s="475"/>
      <c r="D355" s="476"/>
      <c r="E355" s="477"/>
      <c r="F355" s="478"/>
    </row>
    <row r="356">
      <c r="C356" s="475"/>
      <c r="D356" s="476"/>
      <c r="E356" s="477"/>
      <c r="F356" s="478"/>
    </row>
    <row r="357">
      <c r="C357" s="475"/>
      <c r="D357" s="476"/>
      <c r="E357" s="477"/>
      <c r="F357" s="478"/>
    </row>
    <row r="358">
      <c r="C358" s="475"/>
      <c r="D358" s="476"/>
      <c r="E358" s="477"/>
      <c r="F358" s="478"/>
    </row>
    <row r="359">
      <c r="C359" s="475"/>
      <c r="D359" s="476"/>
      <c r="E359" s="477"/>
      <c r="F359" s="478"/>
    </row>
    <row r="360">
      <c r="C360" s="475"/>
      <c r="D360" s="476"/>
      <c r="E360" s="477"/>
      <c r="F360" s="478"/>
    </row>
    <row r="361">
      <c r="C361" s="475"/>
      <c r="D361" s="476"/>
      <c r="E361" s="477"/>
      <c r="F361" s="478"/>
    </row>
    <row r="362">
      <c r="C362" s="475"/>
      <c r="D362" s="476"/>
      <c r="E362" s="477"/>
      <c r="F362" s="478"/>
    </row>
    <row r="363">
      <c r="C363" s="475"/>
      <c r="D363" s="476"/>
      <c r="E363" s="477"/>
      <c r="F363" s="478"/>
    </row>
    <row r="364">
      <c r="C364" s="475"/>
      <c r="D364" s="476"/>
      <c r="E364" s="477"/>
      <c r="F364" s="478"/>
    </row>
    <row r="365">
      <c r="C365" s="475"/>
      <c r="D365" s="476"/>
      <c r="E365" s="477"/>
      <c r="F365" s="478"/>
    </row>
    <row r="366">
      <c r="C366" s="475"/>
      <c r="D366" s="476"/>
      <c r="E366" s="477"/>
      <c r="F366" s="478"/>
    </row>
    <row r="367">
      <c r="C367" s="475"/>
      <c r="D367" s="476"/>
      <c r="E367" s="477"/>
      <c r="F367" s="478"/>
    </row>
    <row r="368">
      <c r="C368" s="475"/>
      <c r="D368" s="476"/>
      <c r="E368" s="477"/>
      <c r="F368" s="478"/>
    </row>
    <row r="369">
      <c r="C369" s="475"/>
      <c r="D369" s="476"/>
      <c r="E369" s="477"/>
      <c r="F369" s="478"/>
    </row>
    <row r="370">
      <c r="C370" s="475"/>
      <c r="D370" s="476"/>
      <c r="E370" s="477"/>
      <c r="F370" s="478"/>
    </row>
    <row r="371">
      <c r="C371" s="475"/>
      <c r="D371" s="476"/>
      <c r="E371" s="477"/>
      <c r="F371" s="478"/>
    </row>
    <row r="372">
      <c r="C372" s="475"/>
      <c r="D372" s="476"/>
      <c r="E372" s="477"/>
      <c r="F372" s="478"/>
    </row>
    <row r="373">
      <c r="C373" s="475"/>
      <c r="D373" s="476"/>
      <c r="E373" s="477"/>
      <c r="F373" s="478"/>
    </row>
    <row r="374">
      <c r="C374" s="475"/>
      <c r="D374" s="476"/>
      <c r="E374" s="477"/>
      <c r="F374" s="478"/>
    </row>
    <row r="375">
      <c r="C375" s="475"/>
      <c r="D375" s="476"/>
      <c r="E375" s="477"/>
      <c r="F375" s="478"/>
    </row>
    <row r="376">
      <c r="C376" s="475"/>
      <c r="D376" s="476"/>
      <c r="E376" s="477"/>
      <c r="F376" s="478"/>
    </row>
    <row r="377">
      <c r="C377" s="475"/>
      <c r="D377" s="476"/>
      <c r="E377" s="477"/>
      <c r="F377" s="478"/>
    </row>
    <row r="378">
      <c r="C378" s="475"/>
      <c r="D378" s="476"/>
      <c r="E378" s="477"/>
      <c r="F378" s="478"/>
    </row>
    <row r="379">
      <c r="C379" s="475"/>
      <c r="D379" s="476"/>
      <c r="E379" s="477"/>
      <c r="F379" s="478"/>
    </row>
    <row r="380">
      <c r="C380" s="475"/>
      <c r="D380" s="476"/>
      <c r="E380" s="477"/>
      <c r="F380" s="478"/>
    </row>
    <row r="381">
      <c r="C381" s="475"/>
      <c r="D381" s="476"/>
      <c r="E381" s="477"/>
      <c r="F381" s="478"/>
    </row>
    <row r="382">
      <c r="C382" s="475"/>
      <c r="D382" s="476"/>
      <c r="E382" s="477"/>
      <c r="F382" s="478"/>
    </row>
    <row r="383">
      <c r="C383" s="475"/>
      <c r="D383" s="476"/>
      <c r="E383" s="477"/>
      <c r="F383" s="478"/>
    </row>
    <row r="384">
      <c r="C384" s="475"/>
      <c r="D384" s="476"/>
      <c r="E384" s="477"/>
      <c r="F384" s="478"/>
    </row>
    <row r="385">
      <c r="C385" s="475"/>
      <c r="D385" s="476"/>
      <c r="E385" s="477"/>
      <c r="F385" s="478"/>
    </row>
    <row r="386">
      <c r="C386" s="475"/>
      <c r="D386" s="476"/>
      <c r="E386" s="477"/>
      <c r="F386" s="478"/>
    </row>
    <row r="387">
      <c r="C387" s="475"/>
      <c r="D387" s="476"/>
      <c r="E387" s="477"/>
      <c r="F387" s="478"/>
    </row>
    <row r="388">
      <c r="C388" s="475"/>
      <c r="D388" s="476"/>
      <c r="E388" s="477"/>
      <c r="F388" s="478"/>
    </row>
    <row r="389">
      <c r="C389" s="475"/>
      <c r="D389" s="476"/>
      <c r="E389" s="477"/>
      <c r="F389" s="478"/>
    </row>
    <row r="390">
      <c r="C390" s="475"/>
      <c r="D390" s="476"/>
      <c r="E390" s="477"/>
      <c r="F390" s="478"/>
    </row>
    <row r="391">
      <c r="C391" s="475"/>
      <c r="D391" s="476"/>
      <c r="E391" s="477"/>
      <c r="F391" s="478"/>
    </row>
    <row r="392">
      <c r="C392" s="475"/>
      <c r="D392" s="476"/>
      <c r="E392" s="477"/>
      <c r="F392" s="478"/>
    </row>
    <row r="393">
      <c r="C393" s="475"/>
      <c r="D393" s="476"/>
      <c r="E393" s="477"/>
      <c r="F393" s="478"/>
    </row>
    <row r="394">
      <c r="C394" s="475"/>
      <c r="D394" s="476"/>
      <c r="E394" s="477"/>
      <c r="F394" s="478"/>
    </row>
    <row r="395">
      <c r="C395" s="475"/>
      <c r="D395" s="476"/>
      <c r="E395" s="477"/>
      <c r="F395" s="478"/>
    </row>
    <row r="396">
      <c r="C396" s="475"/>
      <c r="D396" s="476"/>
      <c r="E396" s="477"/>
      <c r="F396" s="478"/>
    </row>
    <row r="397">
      <c r="C397" s="475"/>
      <c r="D397" s="476"/>
      <c r="E397" s="477"/>
      <c r="F397" s="478"/>
    </row>
    <row r="398">
      <c r="C398" s="475"/>
      <c r="D398" s="476"/>
      <c r="E398" s="477"/>
      <c r="F398" s="478"/>
    </row>
    <row r="399">
      <c r="C399" s="475"/>
      <c r="D399" s="476"/>
      <c r="E399" s="477"/>
      <c r="F399" s="478"/>
    </row>
    <row r="400">
      <c r="C400" s="475"/>
      <c r="D400" s="476"/>
      <c r="E400" s="477"/>
      <c r="F400" s="478"/>
    </row>
    <row r="401">
      <c r="C401" s="475"/>
      <c r="D401" s="476"/>
      <c r="E401" s="477"/>
      <c r="F401" s="478"/>
    </row>
    <row r="402">
      <c r="C402" s="475"/>
      <c r="D402" s="476"/>
      <c r="E402" s="477"/>
      <c r="F402" s="478"/>
    </row>
    <row r="403">
      <c r="C403" s="475"/>
      <c r="D403" s="476"/>
      <c r="E403" s="477"/>
      <c r="F403" s="478"/>
    </row>
    <row r="404">
      <c r="C404" s="475"/>
      <c r="D404" s="476"/>
      <c r="E404" s="477"/>
      <c r="F404" s="478"/>
    </row>
    <row r="405">
      <c r="C405" s="475"/>
      <c r="D405" s="476"/>
      <c r="E405" s="477"/>
      <c r="F405" s="478"/>
    </row>
    <row r="406">
      <c r="C406" s="475"/>
      <c r="D406" s="476"/>
      <c r="E406" s="477"/>
      <c r="F406" s="478"/>
    </row>
    <row r="407">
      <c r="C407" s="475"/>
      <c r="D407" s="476"/>
      <c r="E407" s="477"/>
      <c r="F407" s="478"/>
    </row>
    <row r="408">
      <c r="C408" s="475"/>
      <c r="D408" s="476"/>
      <c r="E408" s="477"/>
      <c r="F408" s="478"/>
    </row>
    <row r="409">
      <c r="C409" s="475"/>
      <c r="D409" s="476"/>
      <c r="E409" s="477"/>
      <c r="F409" s="478"/>
    </row>
    <row r="410">
      <c r="C410" s="475"/>
      <c r="D410" s="476"/>
      <c r="E410" s="477"/>
      <c r="F410" s="478"/>
    </row>
    <row r="411">
      <c r="C411" s="475"/>
      <c r="D411" s="476"/>
      <c r="E411" s="477"/>
      <c r="F411" s="478"/>
    </row>
    <row r="412">
      <c r="C412" s="475"/>
      <c r="D412" s="476"/>
      <c r="E412" s="477"/>
      <c r="F412" s="478"/>
    </row>
    <row r="413">
      <c r="C413" s="475"/>
      <c r="D413" s="476"/>
      <c r="E413" s="477"/>
      <c r="F413" s="478"/>
    </row>
    <row r="414">
      <c r="C414" s="475"/>
      <c r="D414" s="476"/>
      <c r="E414" s="477"/>
      <c r="F414" s="478"/>
    </row>
    <row r="415">
      <c r="C415" s="475"/>
      <c r="D415" s="476"/>
      <c r="E415" s="477"/>
      <c r="F415" s="478"/>
    </row>
    <row r="416">
      <c r="C416" s="475"/>
      <c r="D416" s="476"/>
      <c r="E416" s="477"/>
      <c r="F416" s="478"/>
    </row>
    <row r="417">
      <c r="C417" s="475"/>
      <c r="D417" s="476"/>
      <c r="E417" s="477"/>
      <c r="F417" s="478"/>
    </row>
    <row r="418">
      <c r="C418" s="475"/>
      <c r="D418" s="476"/>
      <c r="E418" s="477"/>
      <c r="F418" s="478"/>
    </row>
    <row r="419">
      <c r="C419" s="475"/>
      <c r="D419" s="476"/>
      <c r="E419" s="477"/>
      <c r="F419" s="478"/>
    </row>
    <row r="420">
      <c r="C420" s="475"/>
      <c r="D420" s="476"/>
      <c r="E420" s="477"/>
      <c r="F420" s="478"/>
    </row>
    <row r="421">
      <c r="C421" s="475"/>
      <c r="D421" s="476"/>
      <c r="E421" s="477"/>
      <c r="F421" s="478"/>
    </row>
    <row r="422">
      <c r="C422" s="475"/>
      <c r="D422" s="476"/>
      <c r="E422" s="477"/>
      <c r="F422" s="478"/>
    </row>
    <row r="423">
      <c r="C423" s="475"/>
      <c r="D423" s="476"/>
      <c r="E423" s="477"/>
      <c r="F423" s="478"/>
    </row>
    <row r="424">
      <c r="C424" s="475"/>
      <c r="D424" s="476"/>
      <c r="E424" s="477"/>
      <c r="F424" s="478"/>
    </row>
    <row r="425">
      <c r="C425" s="475"/>
      <c r="D425" s="476"/>
      <c r="E425" s="477"/>
      <c r="F425" s="478"/>
    </row>
    <row r="426">
      <c r="C426" s="475"/>
      <c r="D426" s="476"/>
      <c r="E426" s="477"/>
      <c r="F426" s="478"/>
    </row>
    <row r="427">
      <c r="C427" s="475"/>
      <c r="D427" s="476"/>
      <c r="E427" s="477"/>
      <c r="F427" s="478"/>
    </row>
    <row r="428">
      <c r="C428" s="475"/>
      <c r="D428" s="476"/>
      <c r="E428" s="477"/>
      <c r="F428" s="478"/>
    </row>
    <row r="429">
      <c r="C429" s="475"/>
      <c r="D429" s="476"/>
      <c r="E429" s="477"/>
      <c r="F429" s="478"/>
    </row>
    <row r="430">
      <c r="C430" s="475"/>
      <c r="D430" s="476"/>
      <c r="E430" s="477"/>
      <c r="F430" s="478"/>
    </row>
    <row r="431">
      <c r="C431" s="475"/>
      <c r="D431" s="476"/>
      <c r="E431" s="477"/>
      <c r="F431" s="478"/>
    </row>
    <row r="432">
      <c r="C432" s="475"/>
      <c r="D432" s="476"/>
      <c r="E432" s="477"/>
      <c r="F432" s="478"/>
    </row>
    <row r="433">
      <c r="C433" s="475"/>
      <c r="D433" s="476"/>
      <c r="E433" s="477"/>
      <c r="F433" s="478"/>
    </row>
    <row r="434">
      <c r="C434" s="475"/>
      <c r="D434" s="476"/>
      <c r="E434" s="477"/>
      <c r="F434" s="478"/>
    </row>
    <row r="435">
      <c r="C435" s="475"/>
      <c r="D435" s="476"/>
      <c r="E435" s="477"/>
      <c r="F435" s="478"/>
    </row>
    <row r="436">
      <c r="C436" s="475"/>
      <c r="D436" s="476"/>
      <c r="E436" s="477"/>
      <c r="F436" s="478"/>
    </row>
    <row r="437">
      <c r="C437" s="475"/>
      <c r="D437" s="476"/>
      <c r="E437" s="477"/>
      <c r="F437" s="478"/>
    </row>
    <row r="438">
      <c r="C438" s="475"/>
      <c r="D438" s="476"/>
      <c r="E438" s="477"/>
      <c r="F438" s="478"/>
    </row>
    <row r="439">
      <c r="C439" s="475"/>
      <c r="D439" s="476"/>
      <c r="E439" s="477"/>
      <c r="F439" s="478"/>
    </row>
    <row r="440">
      <c r="C440" s="475"/>
      <c r="D440" s="476"/>
      <c r="E440" s="477"/>
      <c r="F440" s="478"/>
    </row>
    <row r="441">
      <c r="C441" s="475"/>
      <c r="D441" s="476"/>
      <c r="E441" s="477"/>
      <c r="F441" s="478"/>
    </row>
    <row r="442">
      <c r="C442" s="475"/>
      <c r="D442" s="476"/>
      <c r="E442" s="477"/>
      <c r="F442" s="478"/>
    </row>
    <row r="443">
      <c r="C443" s="475"/>
      <c r="D443" s="476"/>
      <c r="E443" s="477"/>
      <c r="F443" s="478"/>
    </row>
    <row r="444">
      <c r="C444" s="475"/>
      <c r="D444" s="476"/>
      <c r="E444" s="477"/>
      <c r="F444" s="478"/>
    </row>
    <row r="445">
      <c r="C445" s="475"/>
      <c r="D445" s="476"/>
      <c r="E445" s="477"/>
      <c r="F445" s="478"/>
    </row>
    <row r="446">
      <c r="C446" s="475"/>
      <c r="D446" s="476"/>
      <c r="E446" s="477"/>
      <c r="F446" s="478"/>
    </row>
    <row r="447">
      <c r="C447" s="475"/>
      <c r="D447" s="476"/>
      <c r="E447" s="477"/>
      <c r="F447" s="478"/>
    </row>
    <row r="448">
      <c r="C448" s="475"/>
      <c r="D448" s="476"/>
      <c r="E448" s="477"/>
      <c r="F448" s="478"/>
    </row>
    <row r="449">
      <c r="C449" s="475"/>
      <c r="D449" s="476"/>
      <c r="E449" s="477"/>
      <c r="F449" s="478"/>
    </row>
    <row r="450">
      <c r="C450" s="475"/>
      <c r="D450" s="476"/>
      <c r="E450" s="477"/>
      <c r="F450" s="478"/>
    </row>
    <row r="451">
      <c r="C451" s="475"/>
      <c r="D451" s="476"/>
      <c r="E451" s="477"/>
      <c r="F451" s="478"/>
    </row>
    <row r="452">
      <c r="C452" s="475"/>
      <c r="D452" s="476"/>
      <c r="E452" s="477"/>
      <c r="F452" s="478"/>
    </row>
    <row r="453">
      <c r="C453" s="475"/>
      <c r="D453" s="476"/>
      <c r="E453" s="477"/>
      <c r="F453" s="478"/>
    </row>
    <row r="454">
      <c r="C454" s="475"/>
      <c r="D454" s="476"/>
      <c r="E454" s="477"/>
      <c r="F454" s="478"/>
    </row>
    <row r="455">
      <c r="C455" s="475"/>
      <c r="D455" s="476"/>
      <c r="E455" s="477"/>
      <c r="F455" s="478"/>
    </row>
    <row r="456">
      <c r="C456" s="475"/>
      <c r="D456" s="476"/>
      <c r="E456" s="477"/>
      <c r="F456" s="478"/>
    </row>
    <row r="457">
      <c r="C457" s="475"/>
      <c r="D457" s="476"/>
      <c r="E457" s="477"/>
      <c r="F457" s="478"/>
    </row>
    <row r="458">
      <c r="C458" s="475"/>
      <c r="D458" s="476"/>
      <c r="E458" s="477"/>
      <c r="F458" s="478"/>
    </row>
    <row r="459">
      <c r="C459" s="475"/>
      <c r="D459" s="476"/>
      <c r="E459" s="477"/>
      <c r="F459" s="478"/>
    </row>
    <row r="460">
      <c r="C460" s="475"/>
      <c r="D460" s="476"/>
      <c r="E460" s="477"/>
      <c r="F460" s="478"/>
    </row>
    <row r="461">
      <c r="C461" s="475"/>
      <c r="D461" s="476"/>
      <c r="E461" s="477"/>
      <c r="F461" s="478"/>
    </row>
    <row r="462">
      <c r="C462" s="475"/>
      <c r="D462" s="476"/>
      <c r="E462" s="477"/>
      <c r="F462" s="478"/>
    </row>
    <row r="463">
      <c r="C463" s="475"/>
      <c r="D463" s="476"/>
      <c r="E463" s="477"/>
      <c r="F463" s="478"/>
    </row>
    <row r="464">
      <c r="C464" s="475"/>
      <c r="D464" s="476"/>
      <c r="E464" s="477"/>
      <c r="F464" s="478"/>
    </row>
    <row r="465">
      <c r="C465" s="475"/>
      <c r="D465" s="476"/>
      <c r="E465" s="477"/>
      <c r="F465" s="478"/>
    </row>
    <row r="466">
      <c r="C466" s="475"/>
      <c r="D466" s="476"/>
      <c r="E466" s="477"/>
      <c r="F466" s="478"/>
    </row>
    <row r="467">
      <c r="C467" s="475"/>
      <c r="D467" s="476"/>
      <c r="E467" s="477"/>
      <c r="F467" s="478"/>
    </row>
    <row r="468">
      <c r="C468" s="475"/>
      <c r="D468" s="476"/>
      <c r="E468" s="477"/>
      <c r="F468" s="478"/>
    </row>
    <row r="469">
      <c r="C469" s="475"/>
      <c r="D469" s="476"/>
      <c r="E469" s="477"/>
      <c r="F469" s="478"/>
    </row>
    <row r="470">
      <c r="C470" s="475"/>
      <c r="D470" s="476"/>
      <c r="E470" s="477"/>
      <c r="F470" s="478"/>
    </row>
    <row r="471">
      <c r="C471" s="475"/>
      <c r="D471" s="476"/>
      <c r="E471" s="477"/>
      <c r="F471" s="478"/>
    </row>
    <row r="472">
      <c r="C472" s="475"/>
      <c r="D472" s="476"/>
      <c r="E472" s="477"/>
      <c r="F472" s="478"/>
    </row>
    <row r="473">
      <c r="C473" s="475"/>
      <c r="D473" s="476"/>
      <c r="E473" s="477"/>
      <c r="F473" s="478"/>
    </row>
    <row r="474">
      <c r="C474" s="475"/>
      <c r="D474" s="476"/>
      <c r="E474" s="477"/>
      <c r="F474" s="478"/>
    </row>
    <row r="475">
      <c r="C475" s="475"/>
      <c r="D475" s="476"/>
      <c r="E475" s="477"/>
      <c r="F475" s="478"/>
    </row>
    <row r="476">
      <c r="C476" s="475"/>
      <c r="D476" s="476"/>
      <c r="E476" s="477"/>
      <c r="F476" s="478"/>
    </row>
    <row r="477">
      <c r="C477" s="475"/>
      <c r="D477" s="476"/>
      <c r="E477" s="477"/>
      <c r="F477" s="478"/>
    </row>
    <row r="478">
      <c r="C478" s="475"/>
      <c r="D478" s="476"/>
      <c r="E478" s="477"/>
      <c r="F478" s="478"/>
    </row>
    <row r="479">
      <c r="C479" s="475"/>
      <c r="D479" s="476"/>
      <c r="E479" s="477"/>
      <c r="F479" s="478"/>
    </row>
    <row r="480">
      <c r="C480" s="475"/>
      <c r="D480" s="476"/>
      <c r="E480" s="477"/>
      <c r="F480" s="478"/>
    </row>
    <row r="481">
      <c r="C481" s="475"/>
      <c r="D481" s="476"/>
      <c r="E481" s="477"/>
      <c r="F481" s="478"/>
    </row>
    <row r="482">
      <c r="C482" s="475"/>
      <c r="D482" s="476"/>
      <c r="E482" s="477"/>
      <c r="F482" s="478"/>
    </row>
    <row r="483">
      <c r="C483" s="475"/>
      <c r="D483" s="476"/>
      <c r="E483" s="477"/>
      <c r="F483" s="478"/>
    </row>
    <row r="484">
      <c r="C484" s="475"/>
      <c r="D484" s="476"/>
      <c r="E484" s="477"/>
      <c r="F484" s="478"/>
    </row>
    <row r="485">
      <c r="C485" s="475"/>
      <c r="D485" s="476"/>
      <c r="E485" s="477"/>
      <c r="F485" s="478"/>
    </row>
    <row r="486">
      <c r="C486" s="475"/>
      <c r="D486" s="476"/>
      <c r="E486" s="477"/>
      <c r="F486" s="478"/>
    </row>
    <row r="487">
      <c r="C487" s="475"/>
      <c r="D487" s="476"/>
      <c r="E487" s="477"/>
      <c r="F487" s="478"/>
    </row>
    <row r="488">
      <c r="C488" s="475"/>
      <c r="D488" s="476"/>
      <c r="E488" s="477"/>
      <c r="F488" s="478"/>
    </row>
    <row r="489">
      <c r="C489" s="475"/>
      <c r="D489" s="476"/>
      <c r="E489" s="477"/>
      <c r="F489" s="478"/>
    </row>
    <row r="490">
      <c r="C490" s="475"/>
      <c r="D490" s="476"/>
      <c r="E490" s="477"/>
      <c r="F490" s="478"/>
    </row>
    <row r="491">
      <c r="C491" s="475"/>
      <c r="D491" s="476"/>
      <c r="E491" s="477"/>
      <c r="F491" s="478"/>
    </row>
    <row r="492">
      <c r="C492" s="475"/>
      <c r="D492" s="476"/>
      <c r="E492" s="477"/>
      <c r="F492" s="478"/>
    </row>
    <row r="493">
      <c r="C493" s="475"/>
      <c r="D493" s="476"/>
      <c r="E493" s="477"/>
      <c r="F493" s="478"/>
    </row>
    <row r="494">
      <c r="C494" s="475"/>
      <c r="D494" s="476"/>
      <c r="E494" s="477"/>
      <c r="F494" s="478"/>
    </row>
    <row r="495">
      <c r="C495" s="475"/>
      <c r="D495" s="476"/>
      <c r="E495" s="477"/>
      <c r="F495" s="478"/>
    </row>
    <row r="496">
      <c r="C496" s="475"/>
      <c r="D496" s="476"/>
      <c r="E496" s="477"/>
      <c r="F496" s="478"/>
    </row>
    <row r="497">
      <c r="C497" s="475"/>
      <c r="D497" s="476"/>
      <c r="E497" s="477"/>
      <c r="F497" s="478"/>
    </row>
    <row r="498">
      <c r="C498" s="475"/>
      <c r="D498" s="476"/>
      <c r="E498" s="477"/>
      <c r="F498" s="478"/>
    </row>
    <row r="499">
      <c r="C499" s="475"/>
      <c r="D499" s="476"/>
      <c r="E499" s="477"/>
      <c r="F499" s="478"/>
    </row>
    <row r="500">
      <c r="C500" s="475"/>
      <c r="D500" s="476"/>
      <c r="E500" s="477"/>
      <c r="F500" s="478"/>
    </row>
    <row r="501">
      <c r="C501" s="475"/>
      <c r="D501" s="476"/>
      <c r="E501" s="477"/>
      <c r="F501" s="478"/>
    </row>
    <row r="502">
      <c r="C502" s="475"/>
      <c r="D502" s="476"/>
      <c r="E502" s="477"/>
      <c r="F502" s="478"/>
    </row>
    <row r="503">
      <c r="C503" s="475"/>
      <c r="D503" s="476"/>
      <c r="E503" s="477"/>
      <c r="F503" s="478"/>
    </row>
    <row r="504">
      <c r="C504" s="475"/>
      <c r="D504" s="476"/>
      <c r="E504" s="477"/>
      <c r="F504" s="478"/>
    </row>
    <row r="505">
      <c r="C505" s="475"/>
      <c r="D505" s="476"/>
      <c r="E505" s="477"/>
      <c r="F505" s="478"/>
    </row>
    <row r="506">
      <c r="C506" s="475"/>
      <c r="D506" s="476"/>
      <c r="E506" s="477"/>
      <c r="F506" s="478"/>
    </row>
    <row r="507">
      <c r="C507" s="475"/>
      <c r="D507" s="476"/>
      <c r="E507" s="477"/>
      <c r="F507" s="478"/>
    </row>
    <row r="508">
      <c r="C508" s="475"/>
      <c r="D508" s="476"/>
      <c r="E508" s="477"/>
      <c r="F508" s="478"/>
    </row>
    <row r="509">
      <c r="C509" s="475"/>
      <c r="D509" s="476"/>
      <c r="E509" s="477"/>
      <c r="F509" s="478"/>
    </row>
    <row r="510">
      <c r="C510" s="475"/>
      <c r="D510" s="476"/>
      <c r="E510" s="477"/>
      <c r="F510" s="478"/>
    </row>
    <row r="511">
      <c r="C511" s="475"/>
      <c r="D511" s="476"/>
      <c r="E511" s="477"/>
      <c r="F511" s="478"/>
    </row>
    <row r="512">
      <c r="C512" s="475"/>
      <c r="D512" s="476"/>
      <c r="E512" s="477"/>
      <c r="F512" s="478"/>
    </row>
    <row r="513">
      <c r="C513" s="475"/>
      <c r="D513" s="476"/>
      <c r="E513" s="477"/>
      <c r="F513" s="478"/>
    </row>
    <row r="514">
      <c r="C514" s="475"/>
      <c r="D514" s="476"/>
      <c r="E514" s="477"/>
      <c r="F514" s="478"/>
    </row>
    <row r="515">
      <c r="C515" s="475"/>
      <c r="D515" s="476"/>
      <c r="E515" s="477"/>
      <c r="F515" s="478"/>
    </row>
    <row r="516">
      <c r="C516" s="475"/>
      <c r="D516" s="476"/>
      <c r="E516" s="477"/>
      <c r="F516" s="478"/>
    </row>
    <row r="517">
      <c r="C517" s="475"/>
      <c r="D517" s="476"/>
      <c r="E517" s="477"/>
      <c r="F517" s="478"/>
    </row>
    <row r="518">
      <c r="C518" s="475"/>
      <c r="D518" s="476"/>
      <c r="E518" s="477"/>
      <c r="F518" s="478"/>
    </row>
    <row r="519">
      <c r="C519" s="475"/>
      <c r="D519" s="476"/>
      <c r="E519" s="477"/>
      <c r="F519" s="478"/>
    </row>
    <row r="520">
      <c r="C520" s="475"/>
      <c r="D520" s="476"/>
      <c r="E520" s="477"/>
      <c r="F520" s="478"/>
    </row>
    <row r="521">
      <c r="C521" s="475"/>
      <c r="D521" s="476"/>
      <c r="E521" s="477"/>
      <c r="F521" s="478"/>
    </row>
    <row r="522">
      <c r="C522" s="475"/>
      <c r="D522" s="476"/>
      <c r="E522" s="477"/>
      <c r="F522" s="478"/>
    </row>
    <row r="523">
      <c r="C523" s="475"/>
      <c r="D523" s="476"/>
      <c r="E523" s="477"/>
      <c r="F523" s="478"/>
    </row>
    <row r="524">
      <c r="C524" s="475"/>
      <c r="D524" s="476"/>
      <c r="E524" s="477"/>
      <c r="F524" s="478"/>
    </row>
    <row r="525">
      <c r="C525" s="475"/>
      <c r="D525" s="476"/>
      <c r="E525" s="477"/>
      <c r="F525" s="478"/>
    </row>
    <row r="526">
      <c r="C526" s="475"/>
      <c r="D526" s="476"/>
      <c r="E526" s="477"/>
      <c r="F526" s="478"/>
    </row>
    <row r="527">
      <c r="C527" s="475"/>
      <c r="D527" s="476"/>
      <c r="E527" s="477"/>
      <c r="F527" s="478"/>
    </row>
    <row r="528">
      <c r="C528" s="475"/>
      <c r="D528" s="476"/>
      <c r="E528" s="477"/>
      <c r="F528" s="478"/>
    </row>
    <row r="529">
      <c r="C529" s="475"/>
      <c r="D529" s="476"/>
      <c r="E529" s="477"/>
      <c r="F529" s="478"/>
    </row>
    <row r="530">
      <c r="C530" s="475"/>
      <c r="D530" s="476"/>
      <c r="E530" s="477"/>
      <c r="F530" s="478"/>
    </row>
    <row r="531">
      <c r="C531" s="475"/>
      <c r="D531" s="476"/>
      <c r="E531" s="477"/>
      <c r="F531" s="478"/>
    </row>
    <row r="532">
      <c r="C532" s="475"/>
      <c r="D532" s="476"/>
      <c r="E532" s="477"/>
      <c r="F532" s="478"/>
    </row>
    <row r="533">
      <c r="C533" s="475"/>
      <c r="D533" s="476"/>
      <c r="E533" s="477"/>
      <c r="F533" s="478"/>
    </row>
    <row r="534">
      <c r="C534" s="475"/>
      <c r="D534" s="476"/>
      <c r="E534" s="477"/>
      <c r="F534" s="478"/>
    </row>
    <row r="535">
      <c r="C535" s="475"/>
      <c r="D535" s="476"/>
      <c r="E535" s="477"/>
      <c r="F535" s="478"/>
    </row>
    <row r="536">
      <c r="C536" s="475"/>
      <c r="D536" s="476"/>
      <c r="E536" s="477"/>
      <c r="F536" s="478"/>
    </row>
    <row r="537">
      <c r="C537" s="475"/>
      <c r="D537" s="476"/>
      <c r="E537" s="477"/>
      <c r="F537" s="478"/>
    </row>
    <row r="538">
      <c r="C538" s="475"/>
      <c r="D538" s="476"/>
      <c r="E538" s="477"/>
      <c r="F538" s="478"/>
    </row>
    <row r="539">
      <c r="C539" s="475"/>
      <c r="D539" s="476"/>
      <c r="E539" s="477"/>
      <c r="F539" s="478"/>
    </row>
    <row r="540">
      <c r="C540" s="475"/>
      <c r="D540" s="476"/>
      <c r="E540" s="477"/>
      <c r="F540" s="478"/>
    </row>
    <row r="541">
      <c r="C541" s="475"/>
      <c r="D541" s="476"/>
      <c r="E541" s="477"/>
      <c r="F541" s="478"/>
    </row>
    <row r="542">
      <c r="C542" s="475"/>
      <c r="D542" s="476"/>
      <c r="E542" s="477"/>
      <c r="F542" s="478"/>
    </row>
    <row r="543">
      <c r="C543" s="475"/>
      <c r="D543" s="476"/>
      <c r="E543" s="477"/>
      <c r="F543" s="478"/>
    </row>
    <row r="544">
      <c r="C544" s="475"/>
      <c r="D544" s="476"/>
      <c r="E544" s="477"/>
      <c r="F544" s="478"/>
    </row>
    <row r="545">
      <c r="C545" s="475"/>
      <c r="D545" s="476"/>
      <c r="E545" s="477"/>
      <c r="F545" s="478"/>
    </row>
    <row r="546">
      <c r="C546" s="475"/>
      <c r="D546" s="476"/>
      <c r="E546" s="477"/>
      <c r="F546" s="478"/>
    </row>
    <row r="547">
      <c r="C547" s="475"/>
      <c r="D547" s="476"/>
      <c r="E547" s="477"/>
      <c r="F547" s="478"/>
    </row>
    <row r="548">
      <c r="C548" s="475"/>
      <c r="D548" s="476"/>
      <c r="E548" s="477"/>
      <c r="F548" s="478"/>
    </row>
    <row r="549">
      <c r="C549" s="475"/>
      <c r="D549" s="476"/>
      <c r="E549" s="477"/>
      <c r="F549" s="478"/>
    </row>
    <row r="550">
      <c r="C550" s="475"/>
      <c r="D550" s="476"/>
      <c r="E550" s="477"/>
      <c r="F550" s="478"/>
    </row>
    <row r="551">
      <c r="C551" s="475"/>
      <c r="D551" s="476"/>
      <c r="E551" s="477"/>
      <c r="F551" s="478"/>
    </row>
    <row r="552">
      <c r="C552" s="475"/>
      <c r="D552" s="476"/>
      <c r="E552" s="477"/>
      <c r="F552" s="478"/>
    </row>
    <row r="553">
      <c r="C553" s="475"/>
      <c r="D553" s="476"/>
      <c r="E553" s="477"/>
      <c r="F553" s="478"/>
    </row>
    <row r="554">
      <c r="C554" s="475"/>
      <c r="D554" s="476"/>
      <c r="E554" s="477"/>
      <c r="F554" s="478"/>
    </row>
    <row r="555">
      <c r="C555" s="475"/>
      <c r="D555" s="476"/>
      <c r="E555" s="477"/>
      <c r="F555" s="478"/>
    </row>
    <row r="556">
      <c r="C556" s="475"/>
      <c r="D556" s="476"/>
      <c r="E556" s="477"/>
      <c r="F556" s="478"/>
    </row>
    <row r="557">
      <c r="C557" s="475"/>
      <c r="D557" s="476"/>
      <c r="E557" s="477"/>
      <c r="F557" s="478"/>
    </row>
    <row r="558">
      <c r="C558" s="475"/>
      <c r="D558" s="476"/>
      <c r="E558" s="477"/>
      <c r="F558" s="478"/>
    </row>
    <row r="559">
      <c r="C559" s="475"/>
      <c r="D559" s="476"/>
      <c r="E559" s="477"/>
      <c r="F559" s="478"/>
    </row>
    <row r="560">
      <c r="C560" s="475"/>
      <c r="D560" s="476"/>
      <c r="E560" s="477"/>
      <c r="F560" s="478"/>
    </row>
    <row r="561">
      <c r="C561" s="475"/>
      <c r="D561" s="476"/>
      <c r="E561" s="477"/>
      <c r="F561" s="478"/>
    </row>
    <row r="562">
      <c r="C562" s="475"/>
      <c r="D562" s="476"/>
      <c r="E562" s="477"/>
      <c r="F562" s="478"/>
    </row>
    <row r="563">
      <c r="C563" s="475"/>
      <c r="D563" s="476"/>
      <c r="E563" s="477"/>
      <c r="F563" s="478"/>
    </row>
    <row r="564">
      <c r="C564" s="475"/>
      <c r="D564" s="476"/>
      <c r="E564" s="477"/>
      <c r="F564" s="478"/>
    </row>
    <row r="565">
      <c r="C565" s="475"/>
      <c r="D565" s="476"/>
      <c r="E565" s="477"/>
      <c r="F565" s="478"/>
    </row>
    <row r="566">
      <c r="C566" s="475"/>
      <c r="D566" s="476"/>
      <c r="E566" s="477"/>
      <c r="F566" s="478"/>
    </row>
    <row r="567">
      <c r="C567" s="475"/>
      <c r="D567" s="476"/>
      <c r="E567" s="477"/>
      <c r="F567" s="478"/>
    </row>
    <row r="568">
      <c r="C568" s="475"/>
      <c r="D568" s="476"/>
      <c r="E568" s="477"/>
      <c r="F568" s="478"/>
    </row>
    <row r="569">
      <c r="C569" s="475"/>
      <c r="D569" s="476"/>
      <c r="E569" s="477"/>
      <c r="F569" s="478"/>
    </row>
    <row r="570">
      <c r="C570" s="475"/>
      <c r="D570" s="476"/>
      <c r="E570" s="477"/>
      <c r="F570" s="478"/>
    </row>
    <row r="571">
      <c r="C571" s="475"/>
      <c r="D571" s="476"/>
      <c r="E571" s="477"/>
      <c r="F571" s="478"/>
    </row>
    <row r="572">
      <c r="C572" s="475"/>
      <c r="D572" s="476"/>
      <c r="E572" s="477"/>
      <c r="F572" s="478"/>
    </row>
    <row r="573">
      <c r="C573" s="475"/>
      <c r="D573" s="476"/>
      <c r="E573" s="477"/>
      <c r="F573" s="478"/>
    </row>
    <row r="574">
      <c r="C574" s="475"/>
      <c r="D574" s="476"/>
      <c r="E574" s="477"/>
      <c r="F574" s="478"/>
    </row>
    <row r="575">
      <c r="C575" s="475"/>
      <c r="D575" s="476"/>
      <c r="E575" s="477"/>
      <c r="F575" s="478"/>
    </row>
    <row r="576">
      <c r="C576" s="475"/>
      <c r="D576" s="476"/>
      <c r="E576" s="477"/>
      <c r="F576" s="478"/>
    </row>
    <row r="577">
      <c r="C577" s="475"/>
      <c r="D577" s="476"/>
      <c r="E577" s="477"/>
      <c r="F577" s="478"/>
    </row>
    <row r="578">
      <c r="C578" s="475"/>
      <c r="D578" s="476"/>
      <c r="E578" s="477"/>
      <c r="F578" s="478"/>
    </row>
    <row r="579">
      <c r="C579" s="475"/>
      <c r="D579" s="476"/>
      <c r="E579" s="477"/>
      <c r="F579" s="478"/>
    </row>
    <row r="580">
      <c r="C580" s="475"/>
      <c r="D580" s="476"/>
      <c r="E580" s="477"/>
      <c r="F580" s="478"/>
    </row>
    <row r="581">
      <c r="C581" s="475"/>
      <c r="D581" s="476"/>
      <c r="E581" s="477"/>
      <c r="F581" s="478"/>
    </row>
    <row r="582">
      <c r="C582" s="475"/>
      <c r="D582" s="476"/>
      <c r="E582" s="477"/>
      <c r="F582" s="478"/>
    </row>
    <row r="583">
      <c r="C583" s="475"/>
      <c r="D583" s="476"/>
      <c r="E583" s="477"/>
      <c r="F583" s="478"/>
    </row>
    <row r="584">
      <c r="C584" s="475"/>
      <c r="D584" s="476"/>
      <c r="E584" s="477"/>
      <c r="F584" s="478"/>
    </row>
    <row r="585">
      <c r="C585" s="475"/>
      <c r="D585" s="476"/>
      <c r="E585" s="477"/>
      <c r="F585" s="478"/>
    </row>
    <row r="586">
      <c r="C586" s="475"/>
      <c r="D586" s="476"/>
      <c r="E586" s="477"/>
      <c r="F586" s="478"/>
    </row>
    <row r="587">
      <c r="C587" s="475"/>
      <c r="D587" s="476"/>
      <c r="E587" s="477"/>
      <c r="F587" s="478"/>
    </row>
    <row r="588">
      <c r="C588" s="475"/>
      <c r="D588" s="476"/>
      <c r="E588" s="477"/>
      <c r="F588" s="478"/>
    </row>
    <row r="589">
      <c r="C589" s="475"/>
      <c r="D589" s="476"/>
      <c r="E589" s="477"/>
      <c r="F589" s="478"/>
    </row>
    <row r="590">
      <c r="C590" s="475"/>
      <c r="D590" s="476"/>
      <c r="E590" s="477"/>
      <c r="F590" s="478"/>
    </row>
    <row r="591">
      <c r="C591" s="475"/>
      <c r="D591" s="476"/>
      <c r="E591" s="477"/>
      <c r="F591" s="478"/>
    </row>
    <row r="592">
      <c r="C592" s="475"/>
      <c r="D592" s="476"/>
      <c r="E592" s="477"/>
      <c r="F592" s="478"/>
    </row>
    <row r="593">
      <c r="C593" s="475"/>
      <c r="D593" s="476"/>
      <c r="E593" s="477"/>
      <c r="F593" s="478"/>
    </row>
    <row r="594">
      <c r="C594" s="475"/>
      <c r="D594" s="476"/>
      <c r="E594" s="477"/>
      <c r="F594" s="478"/>
    </row>
    <row r="595">
      <c r="C595" s="475"/>
      <c r="D595" s="476"/>
      <c r="E595" s="477"/>
      <c r="F595" s="478"/>
    </row>
    <row r="596">
      <c r="C596" s="475"/>
      <c r="D596" s="476"/>
      <c r="E596" s="477"/>
      <c r="F596" s="478"/>
    </row>
    <row r="597">
      <c r="C597" s="475"/>
      <c r="D597" s="476"/>
      <c r="E597" s="477"/>
      <c r="F597" s="478"/>
    </row>
    <row r="598">
      <c r="C598" s="475"/>
      <c r="D598" s="476"/>
      <c r="E598" s="477"/>
      <c r="F598" s="478"/>
    </row>
    <row r="599">
      <c r="C599" s="475"/>
      <c r="D599" s="476"/>
      <c r="E599" s="477"/>
      <c r="F599" s="478"/>
    </row>
    <row r="600">
      <c r="C600" s="475"/>
      <c r="D600" s="476"/>
      <c r="E600" s="477"/>
      <c r="F600" s="478"/>
    </row>
    <row r="601">
      <c r="C601" s="475"/>
      <c r="D601" s="476"/>
      <c r="E601" s="477"/>
      <c r="F601" s="478"/>
    </row>
    <row r="602">
      <c r="C602" s="475"/>
      <c r="D602" s="476"/>
      <c r="E602" s="477"/>
      <c r="F602" s="478"/>
    </row>
    <row r="603">
      <c r="C603" s="475"/>
      <c r="D603" s="476"/>
      <c r="E603" s="477"/>
      <c r="F603" s="478"/>
    </row>
    <row r="604">
      <c r="C604" s="475"/>
      <c r="D604" s="476"/>
      <c r="E604" s="477"/>
      <c r="F604" s="478"/>
    </row>
    <row r="605">
      <c r="C605" s="475"/>
      <c r="D605" s="476"/>
      <c r="E605" s="477"/>
      <c r="F605" s="478"/>
    </row>
    <row r="606">
      <c r="C606" s="475"/>
      <c r="D606" s="476"/>
      <c r="E606" s="477"/>
      <c r="F606" s="478"/>
    </row>
    <row r="607">
      <c r="C607" s="475"/>
      <c r="D607" s="476"/>
      <c r="E607" s="477"/>
      <c r="F607" s="478"/>
    </row>
    <row r="608">
      <c r="C608" s="475"/>
      <c r="D608" s="476"/>
      <c r="E608" s="477"/>
      <c r="F608" s="478"/>
    </row>
    <row r="609">
      <c r="C609" s="475"/>
      <c r="D609" s="476"/>
      <c r="E609" s="477"/>
      <c r="F609" s="478"/>
    </row>
    <row r="610">
      <c r="C610" s="475"/>
      <c r="D610" s="476"/>
      <c r="E610" s="477"/>
      <c r="F610" s="478"/>
    </row>
    <row r="611">
      <c r="C611" s="475"/>
      <c r="D611" s="476"/>
      <c r="E611" s="477"/>
      <c r="F611" s="478"/>
    </row>
    <row r="612">
      <c r="C612" s="475"/>
      <c r="D612" s="476"/>
      <c r="E612" s="477"/>
      <c r="F612" s="478"/>
    </row>
    <row r="613">
      <c r="C613" s="475"/>
      <c r="D613" s="476"/>
      <c r="E613" s="477"/>
      <c r="F613" s="478"/>
    </row>
    <row r="614">
      <c r="C614" s="475"/>
      <c r="D614" s="476"/>
      <c r="E614" s="477"/>
      <c r="F614" s="478"/>
    </row>
    <row r="615">
      <c r="C615" s="475"/>
      <c r="D615" s="476"/>
      <c r="E615" s="477"/>
      <c r="F615" s="478"/>
    </row>
    <row r="616">
      <c r="C616" s="475"/>
      <c r="D616" s="476"/>
      <c r="E616" s="477"/>
      <c r="F616" s="478"/>
    </row>
    <row r="617">
      <c r="C617" s="475"/>
      <c r="D617" s="476"/>
      <c r="E617" s="477"/>
      <c r="F617" s="478"/>
    </row>
    <row r="618">
      <c r="C618" s="475"/>
      <c r="D618" s="476"/>
      <c r="E618" s="477"/>
      <c r="F618" s="478"/>
    </row>
    <row r="619">
      <c r="C619" s="475"/>
      <c r="D619" s="476"/>
      <c r="E619" s="477"/>
      <c r="F619" s="478"/>
    </row>
    <row r="620">
      <c r="C620" s="475"/>
      <c r="D620" s="476"/>
      <c r="E620" s="477"/>
      <c r="F620" s="478"/>
    </row>
    <row r="621">
      <c r="C621" s="475"/>
      <c r="D621" s="476"/>
      <c r="E621" s="477"/>
      <c r="F621" s="478"/>
    </row>
    <row r="622">
      <c r="C622" s="475"/>
      <c r="D622" s="476"/>
      <c r="E622" s="477"/>
      <c r="F622" s="478"/>
    </row>
    <row r="623">
      <c r="C623" s="475"/>
      <c r="D623" s="476"/>
      <c r="E623" s="477"/>
      <c r="F623" s="478"/>
    </row>
    <row r="624">
      <c r="C624" s="475"/>
      <c r="D624" s="476"/>
      <c r="E624" s="477"/>
      <c r="F624" s="478"/>
    </row>
    <row r="625">
      <c r="C625" s="475"/>
      <c r="D625" s="476"/>
      <c r="E625" s="477"/>
      <c r="F625" s="478"/>
    </row>
    <row r="626">
      <c r="C626" s="475"/>
      <c r="D626" s="476"/>
      <c r="E626" s="477"/>
      <c r="F626" s="478"/>
    </row>
    <row r="627">
      <c r="C627" s="475"/>
      <c r="D627" s="476"/>
      <c r="E627" s="477"/>
      <c r="F627" s="478"/>
    </row>
    <row r="628">
      <c r="C628" s="475"/>
      <c r="D628" s="476"/>
      <c r="E628" s="477"/>
      <c r="F628" s="478"/>
    </row>
    <row r="629">
      <c r="C629" s="475"/>
      <c r="D629" s="476"/>
      <c r="E629" s="477"/>
      <c r="F629" s="478"/>
    </row>
    <row r="630">
      <c r="C630" s="475"/>
      <c r="D630" s="476"/>
      <c r="E630" s="477"/>
      <c r="F630" s="478"/>
    </row>
    <row r="631">
      <c r="C631" s="475"/>
      <c r="D631" s="476"/>
      <c r="E631" s="477"/>
      <c r="F631" s="478"/>
    </row>
    <row r="632">
      <c r="C632" s="475"/>
      <c r="D632" s="476"/>
      <c r="E632" s="477"/>
      <c r="F632" s="478"/>
    </row>
    <row r="633">
      <c r="C633" s="475"/>
      <c r="D633" s="476"/>
      <c r="E633" s="477"/>
      <c r="F633" s="478"/>
    </row>
    <row r="634">
      <c r="C634" s="475"/>
      <c r="D634" s="476"/>
      <c r="E634" s="477"/>
      <c r="F634" s="478"/>
    </row>
    <row r="635">
      <c r="C635" s="475"/>
      <c r="D635" s="476"/>
      <c r="E635" s="477"/>
      <c r="F635" s="478"/>
    </row>
    <row r="636">
      <c r="C636" s="475"/>
      <c r="D636" s="476"/>
      <c r="E636" s="477"/>
      <c r="F636" s="478"/>
    </row>
    <row r="637">
      <c r="C637" s="475"/>
      <c r="D637" s="476"/>
      <c r="E637" s="477"/>
      <c r="F637" s="478"/>
    </row>
    <row r="638">
      <c r="C638" s="475"/>
      <c r="D638" s="476"/>
      <c r="E638" s="477"/>
      <c r="F638" s="478"/>
    </row>
    <row r="639">
      <c r="C639" s="475"/>
      <c r="D639" s="476"/>
      <c r="E639" s="477"/>
      <c r="F639" s="478"/>
    </row>
    <row r="640">
      <c r="C640" s="475"/>
      <c r="D640" s="476"/>
      <c r="E640" s="477"/>
      <c r="F640" s="478"/>
    </row>
    <row r="641">
      <c r="C641" s="475"/>
      <c r="D641" s="476"/>
      <c r="E641" s="477"/>
      <c r="F641" s="478"/>
    </row>
    <row r="642">
      <c r="C642" s="475"/>
      <c r="D642" s="476"/>
      <c r="E642" s="477"/>
      <c r="F642" s="478"/>
    </row>
    <row r="643">
      <c r="C643" s="475"/>
      <c r="D643" s="476"/>
      <c r="E643" s="477"/>
      <c r="F643" s="478"/>
    </row>
    <row r="644">
      <c r="C644" s="475"/>
      <c r="D644" s="476"/>
      <c r="E644" s="477"/>
      <c r="F644" s="478"/>
    </row>
    <row r="645">
      <c r="C645" s="475"/>
      <c r="D645" s="476"/>
      <c r="E645" s="477"/>
      <c r="F645" s="478"/>
    </row>
    <row r="646">
      <c r="C646" s="475"/>
      <c r="D646" s="476"/>
      <c r="E646" s="477"/>
      <c r="F646" s="478"/>
    </row>
    <row r="647">
      <c r="C647" s="475"/>
      <c r="D647" s="476"/>
      <c r="E647" s="477"/>
      <c r="F647" s="478"/>
    </row>
    <row r="648">
      <c r="C648" s="475"/>
      <c r="D648" s="476"/>
      <c r="E648" s="477"/>
      <c r="F648" s="478"/>
    </row>
    <row r="649">
      <c r="C649" s="475"/>
      <c r="D649" s="476"/>
      <c r="E649" s="477"/>
      <c r="F649" s="478"/>
    </row>
    <row r="650">
      <c r="C650" s="475"/>
      <c r="D650" s="476"/>
      <c r="E650" s="477"/>
      <c r="F650" s="478"/>
    </row>
    <row r="651">
      <c r="C651" s="475"/>
      <c r="D651" s="476"/>
      <c r="E651" s="477"/>
      <c r="F651" s="478"/>
    </row>
    <row r="652">
      <c r="C652" s="475"/>
      <c r="D652" s="476"/>
      <c r="E652" s="477"/>
      <c r="F652" s="478"/>
    </row>
    <row r="653">
      <c r="C653" s="475"/>
      <c r="D653" s="476"/>
      <c r="E653" s="477"/>
      <c r="F653" s="478"/>
    </row>
    <row r="654">
      <c r="C654" s="475"/>
      <c r="D654" s="476"/>
      <c r="E654" s="477"/>
      <c r="F654" s="478"/>
    </row>
    <row r="655">
      <c r="C655" s="475"/>
      <c r="D655" s="476"/>
      <c r="E655" s="477"/>
      <c r="F655" s="478"/>
    </row>
    <row r="656">
      <c r="C656" s="475"/>
      <c r="D656" s="476"/>
      <c r="E656" s="477"/>
      <c r="F656" s="478"/>
    </row>
    <row r="657">
      <c r="C657" s="475"/>
      <c r="D657" s="476"/>
      <c r="E657" s="477"/>
      <c r="F657" s="478"/>
    </row>
    <row r="658">
      <c r="C658" s="475"/>
      <c r="D658" s="476"/>
      <c r="E658" s="477"/>
      <c r="F658" s="478"/>
    </row>
    <row r="659">
      <c r="C659" s="475"/>
      <c r="D659" s="476"/>
      <c r="E659" s="477"/>
      <c r="F659" s="478"/>
    </row>
    <row r="660">
      <c r="C660" s="475"/>
      <c r="D660" s="476"/>
      <c r="E660" s="477"/>
      <c r="F660" s="478"/>
    </row>
    <row r="661">
      <c r="C661" s="475"/>
      <c r="D661" s="476"/>
      <c r="E661" s="477"/>
      <c r="F661" s="478"/>
    </row>
    <row r="662">
      <c r="C662" s="475"/>
      <c r="D662" s="476"/>
      <c r="E662" s="477"/>
      <c r="F662" s="478"/>
    </row>
    <row r="663">
      <c r="C663" s="475"/>
      <c r="D663" s="476"/>
      <c r="E663" s="477"/>
      <c r="F663" s="478"/>
    </row>
    <row r="664">
      <c r="C664" s="475"/>
      <c r="D664" s="476"/>
      <c r="E664" s="477"/>
      <c r="F664" s="478"/>
    </row>
    <row r="665">
      <c r="C665" s="475"/>
      <c r="D665" s="476"/>
      <c r="E665" s="477"/>
      <c r="F665" s="478"/>
    </row>
    <row r="666">
      <c r="C666" s="475"/>
      <c r="D666" s="476"/>
      <c r="E666" s="477"/>
      <c r="F666" s="478"/>
    </row>
    <row r="667">
      <c r="C667" s="475"/>
      <c r="D667" s="476"/>
      <c r="E667" s="477"/>
      <c r="F667" s="478"/>
    </row>
    <row r="668">
      <c r="C668" s="475"/>
      <c r="D668" s="476"/>
      <c r="E668" s="477"/>
      <c r="F668" s="478"/>
    </row>
    <row r="669">
      <c r="C669" s="475"/>
      <c r="D669" s="476"/>
      <c r="E669" s="477"/>
      <c r="F669" s="478"/>
    </row>
    <row r="670">
      <c r="C670" s="475"/>
      <c r="D670" s="476"/>
      <c r="E670" s="477"/>
      <c r="F670" s="478"/>
    </row>
    <row r="671">
      <c r="C671" s="475"/>
      <c r="D671" s="476"/>
      <c r="E671" s="477"/>
      <c r="F671" s="478"/>
    </row>
    <row r="672">
      <c r="C672" s="475"/>
      <c r="D672" s="476"/>
      <c r="E672" s="477"/>
      <c r="F672" s="478"/>
    </row>
    <row r="673">
      <c r="C673" s="475"/>
      <c r="D673" s="476"/>
      <c r="E673" s="477"/>
      <c r="F673" s="478"/>
    </row>
    <row r="674">
      <c r="C674" s="475"/>
      <c r="D674" s="476"/>
      <c r="E674" s="477"/>
      <c r="F674" s="478"/>
    </row>
    <row r="675">
      <c r="C675" s="475"/>
      <c r="D675" s="476"/>
      <c r="E675" s="477"/>
      <c r="F675" s="478"/>
    </row>
    <row r="676">
      <c r="C676" s="475"/>
      <c r="D676" s="476"/>
      <c r="E676" s="477"/>
      <c r="F676" s="478"/>
    </row>
    <row r="677">
      <c r="C677" s="475"/>
      <c r="D677" s="476"/>
      <c r="E677" s="477"/>
      <c r="F677" s="478"/>
    </row>
    <row r="678">
      <c r="C678" s="475"/>
      <c r="D678" s="476"/>
      <c r="E678" s="477"/>
      <c r="F678" s="478"/>
    </row>
    <row r="679">
      <c r="C679" s="475"/>
      <c r="D679" s="476"/>
      <c r="E679" s="477"/>
      <c r="F679" s="478"/>
    </row>
    <row r="680">
      <c r="C680" s="475"/>
      <c r="D680" s="476"/>
      <c r="E680" s="477"/>
      <c r="F680" s="478"/>
    </row>
    <row r="681">
      <c r="C681" s="475"/>
      <c r="D681" s="476"/>
      <c r="E681" s="477"/>
      <c r="F681" s="478"/>
    </row>
    <row r="682">
      <c r="C682" s="475"/>
      <c r="D682" s="476"/>
      <c r="E682" s="477"/>
      <c r="F682" s="478"/>
    </row>
    <row r="683">
      <c r="C683" s="475"/>
      <c r="D683" s="476"/>
      <c r="E683" s="477"/>
      <c r="F683" s="478"/>
    </row>
    <row r="684">
      <c r="C684" s="475"/>
      <c r="D684" s="476"/>
      <c r="E684" s="477"/>
      <c r="F684" s="478"/>
    </row>
    <row r="685">
      <c r="C685" s="475"/>
      <c r="D685" s="476"/>
      <c r="E685" s="477"/>
      <c r="F685" s="478"/>
    </row>
    <row r="686">
      <c r="C686" s="475"/>
      <c r="D686" s="476"/>
      <c r="E686" s="477"/>
      <c r="F686" s="478"/>
    </row>
    <row r="687">
      <c r="C687" s="475"/>
      <c r="D687" s="476"/>
      <c r="E687" s="477"/>
      <c r="F687" s="478"/>
    </row>
    <row r="688">
      <c r="C688" s="475"/>
      <c r="D688" s="476"/>
      <c r="E688" s="477"/>
      <c r="F688" s="478"/>
    </row>
    <row r="689">
      <c r="C689" s="475"/>
      <c r="D689" s="476"/>
      <c r="E689" s="477"/>
      <c r="F689" s="478"/>
    </row>
    <row r="690">
      <c r="C690" s="475"/>
      <c r="D690" s="476"/>
      <c r="E690" s="477"/>
      <c r="F690" s="478"/>
    </row>
    <row r="691">
      <c r="C691" s="475"/>
      <c r="D691" s="476"/>
      <c r="E691" s="477"/>
      <c r="F691" s="478"/>
    </row>
    <row r="692">
      <c r="C692" s="475"/>
      <c r="D692" s="476"/>
      <c r="E692" s="477"/>
      <c r="F692" s="478"/>
    </row>
    <row r="693">
      <c r="C693" s="475"/>
      <c r="D693" s="476"/>
      <c r="E693" s="477"/>
      <c r="F693" s="478"/>
    </row>
    <row r="694">
      <c r="C694" s="475"/>
      <c r="D694" s="476"/>
      <c r="E694" s="477"/>
      <c r="F694" s="478"/>
    </row>
    <row r="695">
      <c r="C695" s="475"/>
      <c r="D695" s="476"/>
      <c r="E695" s="477"/>
      <c r="F695" s="478"/>
    </row>
    <row r="696">
      <c r="C696" s="475"/>
      <c r="D696" s="476"/>
      <c r="E696" s="477"/>
      <c r="F696" s="478"/>
    </row>
    <row r="697">
      <c r="C697" s="475"/>
      <c r="D697" s="476"/>
      <c r="E697" s="477"/>
      <c r="F697" s="478"/>
    </row>
    <row r="698">
      <c r="C698" s="475"/>
      <c r="D698" s="476"/>
      <c r="E698" s="477"/>
      <c r="F698" s="478"/>
    </row>
    <row r="699">
      <c r="C699" s="475"/>
      <c r="D699" s="476"/>
      <c r="E699" s="477"/>
      <c r="F699" s="478"/>
    </row>
    <row r="700">
      <c r="C700" s="475"/>
      <c r="D700" s="476"/>
      <c r="E700" s="477"/>
      <c r="F700" s="478"/>
    </row>
    <row r="701">
      <c r="C701" s="475"/>
      <c r="D701" s="476"/>
      <c r="E701" s="477"/>
      <c r="F701" s="478"/>
    </row>
    <row r="702">
      <c r="C702" s="475"/>
      <c r="D702" s="476"/>
      <c r="E702" s="477"/>
      <c r="F702" s="478"/>
    </row>
    <row r="703">
      <c r="C703" s="475"/>
      <c r="D703" s="476"/>
      <c r="E703" s="477"/>
      <c r="F703" s="478"/>
    </row>
    <row r="704">
      <c r="C704" s="475"/>
      <c r="D704" s="476"/>
      <c r="E704" s="477"/>
      <c r="F704" s="478"/>
    </row>
    <row r="705">
      <c r="C705" s="475"/>
      <c r="D705" s="476"/>
      <c r="E705" s="477"/>
      <c r="F705" s="478"/>
    </row>
    <row r="706">
      <c r="C706" s="475"/>
      <c r="D706" s="476"/>
      <c r="E706" s="477"/>
      <c r="F706" s="478"/>
    </row>
    <row r="707">
      <c r="C707" s="475"/>
      <c r="D707" s="476"/>
      <c r="E707" s="477"/>
      <c r="F707" s="478"/>
    </row>
    <row r="708">
      <c r="C708" s="475"/>
      <c r="D708" s="476"/>
      <c r="E708" s="477"/>
      <c r="F708" s="478"/>
    </row>
    <row r="709">
      <c r="C709" s="475"/>
      <c r="D709" s="476"/>
      <c r="E709" s="477"/>
      <c r="F709" s="478"/>
    </row>
    <row r="710">
      <c r="C710" s="475"/>
      <c r="D710" s="476"/>
      <c r="E710" s="477"/>
      <c r="F710" s="478"/>
    </row>
    <row r="711">
      <c r="C711" s="475"/>
      <c r="D711" s="476"/>
      <c r="E711" s="477"/>
      <c r="F711" s="478"/>
    </row>
    <row r="712">
      <c r="C712" s="475"/>
      <c r="D712" s="476"/>
      <c r="E712" s="477"/>
      <c r="F712" s="478"/>
    </row>
    <row r="713">
      <c r="C713" s="475"/>
      <c r="D713" s="476"/>
      <c r="E713" s="477"/>
      <c r="F713" s="478"/>
    </row>
    <row r="714">
      <c r="C714" s="475"/>
      <c r="D714" s="476"/>
      <c r="E714" s="477"/>
      <c r="F714" s="478"/>
    </row>
    <row r="715">
      <c r="C715" s="475"/>
      <c r="D715" s="476"/>
      <c r="E715" s="477"/>
      <c r="F715" s="478"/>
    </row>
    <row r="716">
      <c r="C716" s="475"/>
      <c r="D716" s="476"/>
      <c r="E716" s="477"/>
      <c r="F716" s="478"/>
    </row>
    <row r="717">
      <c r="C717" s="475"/>
      <c r="D717" s="476"/>
      <c r="E717" s="477"/>
      <c r="F717" s="478"/>
    </row>
    <row r="718">
      <c r="C718" s="475"/>
      <c r="D718" s="476"/>
      <c r="E718" s="477"/>
      <c r="F718" s="478"/>
    </row>
    <row r="719">
      <c r="C719" s="475"/>
      <c r="D719" s="476"/>
      <c r="E719" s="477"/>
      <c r="F719" s="478"/>
    </row>
    <row r="720">
      <c r="C720" s="475"/>
      <c r="D720" s="476"/>
      <c r="E720" s="477"/>
      <c r="F720" s="478"/>
    </row>
    <row r="721">
      <c r="C721" s="475"/>
      <c r="D721" s="476"/>
      <c r="E721" s="477"/>
      <c r="F721" s="478"/>
    </row>
    <row r="722">
      <c r="C722" s="475"/>
      <c r="D722" s="476"/>
      <c r="E722" s="477"/>
      <c r="F722" s="478"/>
    </row>
    <row r="723">
      <c r="C723" s="475"/>
      <c r="D723" s="476"/>
      <c r="E723" s="477"/>
      <c r="F723" s="478"/>
    </row>
    <row r="724">
      <c r="C724" s="475"/>
      <c r="D724" s="476"/>
      <c r="E724" s="477"/>
      <c r="F724" s="478"/>
    </row>
    <row r="725">
      <c r="C725" s="475"/>
      <c r="D725" s="476"/>
      <c r="E725" s="477"/>
      <c r="F725" s="478"/>
    </row>
    <row r="726">
      <c r="C726" s="475"/>
      <c r="D726" s="476"/>
      <c r="E726" s="477"/>
      <c r="F726" s="478"/>
    </row>
    <row r="727">
      <c r="C727" s="475"/>
      <c r="D727" s="476"/>
      <c r="E727" s="477"/>
      <c r="F727" s="478"/>
    </row>
    <row r="728">
      <c r="C728" s="475"/>
      <c r="D728" s="476"/>
      <c r="E728" s="477"/>
      <c r="F728" s="478"/>
    </row>
    <row r="729">
      <c r="C729" s="475"/>
      <c r="D729" s="476"/>
      <c r="E729" s="477"/>
      <c r="F729" s="478"/>
    </row>
    <row r="730">
      <c r="C730" s="475"/>
      <c r="D730" s="476"/>
      <c r="E730" s="477"/>
      <c r="F730" s="478"/>
    </row>
    <row r="731">
      <c r="C731" s="475"/>
      <c r="D731" s="476"/>
      <c r="E731" s="477"/>
      <c r="F731" s="478"/>
    </row>
    <row r="732">
      <c r="C732" s="475"/>
      <c r="D732" s="476"/>
      <c r="E732" s="477"/>
      <c r="F732" s="478"/>
    </row>
    <row r="733">
      <c r="C733" s="475"/>
      <c r="D733" s="476"/>
      <c r="E733" s="477"/>
      <c r="F733" s="478"/>
    </row>
    <row r="734">
      <c r="C734" s="475"/>
      <c r="D734" s="476"/>
      <c r="E734" s="477"/>
      <c r="F734" s="478"/>
    </row>
    <row r="735">
      <c r="C735" s="475"/>
      <c r="D735" s="476"/>
      <c r="E735" s="477"/>
      <c r="F735" s="478"/>
    </row>
    <row r="736">
      <c r="C736" s="475"/>
      <c r="D736" s="476"/>
      <c r="E736" s="477"/>
      <c r="F736" s="478"/>
    </row>
    <row r="737">
      <c r="C737" s="475"/>
      <c r="D737" s="476"/>
      <c r="E737" s="477"/>
      <c r="F737" s="478"/>
    </row>
    <row r="738">
      <c r="C738" s="475"/>
      <c r="D738" s="476"/>
      <c r="E738" s="477"/>
      <c r="F738" s="478"/>
    </row>
    <row r="739">
      <c r="C739" s="475"/>
      <c r="D739" s="476"/>
      <c r="E739" s="477"/>
      <c r="F739" s="478"/>
    </row>
    <row r="740">
      <c r="C740" s="475"/>
      <c r="D740" s="476"/>
      <c r="E740" s="477"/>
      <c r="F740" s="478"/>
    </row>
    <row r="741">
      <c r="C741" s="475"/>
      <c r="D741" s="476"/>
      <c r="E741" s="477"/>
      <c r="F741" s="478"/>
    </row>
    <row r="742">
      <c r="C742" s="475"/>
      <c r="D742" s="476"/>
      <c r="E742" s="477"/>
      <c r="F742" s="478"/>
    </row>
    <row r="743">
      <c r="C743" s="475"/>
      <c r="D743" s="476"/>
      <c r="E743" s="477"/>
      <c r="F743" s="478"/>
    </row>
    <row r="744">
      <c r="C744" s="475"/>
      <c r="D744" s="476"/>
      <c r="E744" s="477"/>
      <c r="F744" s="478"/>
    </row>
    <row r="745">
      <c r="C745" s="475"/>
      <c r="D745" s="476"/>
      <c r="E745" s="477"/>
      <c r="F745" s="478"/>
    </row>
    <row r="746">
      <c r="C746" s="475"/>
      <c r="D746" s="476"/>
      <c r="E746" s="477"/>
      <c r="F746" s="478"/>
    </row>
    <row r="747">
      <c r="C747" s="475"/>
      <c r="D747" s="476"/>
      <c r="E747" s="477"/>
      <c r="F747" s="478"/>
    </row>
    <row r="748">
      <c r="C748" s="475"/>
      <c r="D748" s="476"/>
      <c r="E748" s="477"/>
      <c r="F748" s="478"/>
    </row>
    <row r="749">
      <c r="C749" s="475"/>
      <c r="D749" s="476"/>
      <c r="E749" s="477"/>
      <c r="F749" s="478"/>
    </row>
    <row r="750">
      <c r="C750" s="475"/>
      <c r="D750" s="476"/>
      <c r="E750" s="477"/>
      <c r="F750" s="478"/>
    </row>
    <row r="751">
      <c r="C751" s="475"/>
      <c r="D751" s="476"/>
      <c r="E751" s="477"/>
      <c r="F751" s="478"/>
    </row>
    <row r="752">
      <c r="C752" s="475"/>
      <c r="D752" s="476"/>
      <c r="E752" s="477"/>
      <c r="F752" s="478"/>
    </row>
    <row r="753">
      <c r="C753" s="475"/>
      <c r="D753" s="476"/>
      <c r="E753" s="477"/>
      <c r="F753" s="478"/>
    </row>
    <row r="754">
      <c r="C754" s="475"/>
      <c r="D754" s="476"/>
      <c r="E754" s="477"/>
      <c r="F754" s="478"/>
    </row>
    <row r="755">
      <c r="C755" s="475"/>
      <c r="D755" s="476"/>
      <c r="E755" s="477"/>
      <c r="F755" s="478"/>
    </row>
    <row r="756">
      <c r="C756" s="475"/>
      <c r="D756" s="476"/>
      <c r="E756" s="477"/>
      <c r="F756" s="478"/>
    </row>
    <row r="757">
      <c r="C757" s="475"/>
      <c r="D757" s="476"/>
      <c r="E757" s="477"/>
      <c r="F757" s="478"/>
    </row>
    <row r="758">
      <c r="C758" s="475"/>
      <c r="D758" s="476"/>
      <c r="E758" s="477"/>
      <c r="F758" s="478"/>
    </row>
    <row r="759">
      <c r="C759" s="475"/>
      <c r="D759" s="476"/>
      <c r="E759" s="477"/>
      <c r="F759" s="478"/>
    </row>
    <row r="760">
      <c r="C760" s="475"/>
      <c r="D760" s="476"/>
      <c r="E760" s="477"/>
      <c r="F760" s="478"/>
    </row>
    <row r="761">
      <c r="C761" s="475"/>
      <c r="D761" s="476"/>
      <c r="E761" s="477"/>
      <c r="F761" s="478"/>
    </row>
    <row r="762">
      <c r="C762" s="475"/>
      <c r="D762" s="476"/>
      <c r="E762" s="477"/>
      <c r="F762" s="478"/>
    </row>
    <row r="763">
      <c r="C763" s="475"/>
      <c r="D763" s="476"/>
      <c r="E763" s="477"/>
      <c r="F763" s="478"/>
    </row>
    <row r="764">
      <c r="C764" s="475"/>
      <c r="D764" s="476"/>
      <c r="E764" s="477"/>
      <c r="F764" s="478"/>
    </row>
    <row r="765">
      <c r="C765" s="475"/>
      <c r="D765" s="476"/>
      <c r="E765" s="477"/>
      <c r="F765" s="478"/>
    </row>
    <row r="766">
      <c r="C766" s="475"/>
      <c r="D766" s="476"/>
      <c r="E766" s="477"/>
      <c r="F766" s="478"/>
    </row>
    <row r="767">
      <c r="C767" s="475"/>
      <c r="D767" s="476"/>
      <c r="E767" s="477"/>
      <c r="F767" s="478"/>
    </row>
    <row r="768">
      <c r="C768" s="475"/>
      <c r="D768" s="476"/>
      <c r="E768" s="477"/>
      <c r="F768" s="478"/>
    </row>
    <row r="769">
      <c r="C769" s="475"/>
      <c r="D769" s="476"/>
      <c r="E769" s="477"/>
      <c r="F769" s="478"/>
    </row>
    <row r="770">
      <c r="C770" s="475"/>
      <c r="D770" s="476"/>
      <c r="E770" s="477"/>
      <c r="F770" s="478"/>
    </row>
    <row r="771">
      <c r="C771" s="475"/>
      <c r="D771" s="476"/>
      <c r="E771" s="477"/>
      <c r="F771" s="478"/>
    </row>
    <row r="772">
      <c r="C772" s="475"/>
      <c r="D772" s="476"/>
      <c r="E772" s="477"/>
      <c r="F772" s="478"/>
    </row>
    <row r="773">
      <c r="C773" s="475"/>
      <c r="D773" s="476"/>
      <c r="E773" s="477"/>
      <c r="F773" s="478"/>
    </row>
    <row r="774">
      <c r="C774" s="475"/>
      <c r="D774" s="476"/>
      <c r="E774" s="477"/>
      <c r="F774" s="478"/>
    </row>
    <row r="775">
      <c r="C775" s="475"/>
      <c r="D775" s="476"/>
      <c r="E775" s="477"/>
      <c r="F775" s="478"/>
    </row>
    <row r="776">
      <c r="C776" s="475"/>
      <c r="D776" s="476"/>
      <c r="E776" s="477"/>
      <c r="F776" s="478"/>
    </row>
    <row r="777">
      <c r="C777" s="475"/>
      <c r="D777" s="476"/>
      <c r="E777" s="477"/>
      <c r="F777" s="478"/>
    </row>
    <row r="778">
      <c r="C778" s="475"/>
      <c r="D778" s="476"/>
      <c r="E778" s="477"/>
      <c r="F778" s="478"/>
    </row>
    <row r="779">
      <c r="C779" s="475"/>
      <c r="D779" s="476"/>
      <c r="E779" s="477"/>
      <c r="F779" s="478"/>
    </row>
    <row r="780">
      <c r="C780" s="475"/>
      <c r="D780" s="476"/>
      <c r="E780" s="477"/>
      <c r="F780" s="478"/>
    </row>
    <row r="781">
      <c r="C781" s="475"/>
      <c r="D781" s="476"/>
      <c r="E781" s="477"/>
      <c r="F781" s="478"/>
    </row>
    <row r="782">
      <c r="C782" s="475"/>
      <c r="D782" s="476"/>
      <c r="E782" s="477"/>
      <c r="F782" s="478"/>
    </row>
    <row r="783">
      <c r="C783" s="475"/>
      <c r="D783" s="476"/>
      <c r="E783" s="477"/>
      <c r="F783" s="478"/>
    </row>
    <row r="784">
      <c r="C784" s="475"/>
      <c r="D784" s="476"/>
      <c r="E784" s="477"/>
      <c r="F784" s="478"/>
    </row>
    <row r="785">
      <c r="C785" s="475"/>
      <c r="D785" s="476"/>
      <c r="E785" s="477"/>
      <c r="F785" s="478"/>
    </row>
    <row r="786">
      <c r="C786" s="475"/>
      <c r="D786" s="476"/>
      <c r="E786" s="477"/>
      <c r="F786" s="478"/>
    </row>
    <row r="787">
      <c r="C787" s="475"/>
      <c r="D787" s="476"/>
      <c r="E787" s="477"/>
      <c r="F787" s="478"/>
    </row>
    <row r="788">
      <c r="C788" s="475"/>
      <c r="D788" s="476"/>
      <c r="E788" s="477"/>
      <c r="F788" s="478"/>
    </row>
    <row r="789">
      <c r="C789" s="475"/>
      <c r="D789" s="476"/>
      <c r="E789" s="477"/>
      <c r="F789" s="478"/>
    </row>
    <row r="790">
      <c r="C790" s="475"/>
      <c r="D790" s="476"/>
      <c r="E790" s="477"/>
      <c r="F790" s="478"/>
    </row>
    <row r="791">
      <c r="C791" s="475"/>
      <c r="D791" s="476"/>
      <c r="E791" s="477"/>
      <c r="F791" s="478"/>
    </row>
    <row r="792">
      <c r="C792" s="475"/>
      <c r="D792" s="476"/>
      <c r="E792" s="477"/>
      <c r="F792" s="478"/>
    </row>
    <row r="793">
      <c r="C793" s="475"/>
      <c r="D793" s="476"/>
      <c r="E793" s="477"/>
      <c r="F793" s="478"/>
    </row>
    <row r="794">
      <c r="C794" s="475"/>
      <c r="D794" s="476"/>
      <c r="E794" s="477"/>
      <c r="F794" s="478"/>
    </row>
    <row r="795">
      <c r="C795" s="475"/>
      <c r="D795" s="476"/>
      <c r="E795" s="477"/>
      <c r="F795" s="478"/>
    </row>
    <row r="796">
      <c r="C796" s="475"/>
      <c r="D796" s="476"/>
      <c r="E796" s="477"/>
      <c r="F796" s="478"/>
    </row>
    <row r="797">
      <c r="C797" s="475"/>
      <c r="D797" s="476"/>
      <c r="E797" s="477"/>
      <c r="F797" s="478"/>
    </row>
    <row r="798">
      <c r="C798" s="475"/>
      <c r="D798" s="476"/>
      <c r="E798" s="477"/>
      <c r="F798" s="478"/>
    </row>
    <row r="799">
      <c r="C799" s="475"/>
      <c r="D799" s="476"/>
      <c r="E799" s="477"/>
      <c r="F799" s="478"/>
    </row>
    <row r="800">
      <c r="C800" s="475"/>
      <c r="D800" s="476"/>
      <c r="E800" s="477"/>
      <c r="F800" s="478"/>
    </row>
    <row r="801">
      <c r="C801" s="475"/>
      <c r="D801" s="476"/>
      <c r="E801" s="477"/>
      <c r="F801" s="478"/>
    </row>
    <row r="802">
      <c r="C802" s="475"/>
      <c r="D802" s="476"/>
      <c r="E802" s="477"/>
      <c r="F802" s="478"/>
    </row>
    <row r="803">
      <c r="C803" s="475"/>
      <c r="D803" s="476"/>
      <c r="E803" s="477"/>
      <c r="F803" s="478"/>
    </row>
    <row r="804">
      <c r="C804" s="475"/>
      <c r="D804" s="476"/>
      <c r="E804" s="477"/>
      <c r="F804" s="478"/>
    </row>
    <row r="805">
      <c r="C805" s="475"/>
      <c r="D805" s="476"/>
      <c r="E805" s="477"/>
      <c r="F805" s="478"/>
    </row>
    <row r="806">
      <c r="C806" s="475"/>
      <c r="D806" s="476"/>
      <c r="E806" s="477"/>
      <c r="F806" s="478"/>
    </row>
    <row r="807">
      <c r="C807" s="475"/>
      <c r="D807" s="476"/>
      <c r="E807" s="477"/>
      <c r="F807" s="478"/>
    </row>
    <row r="808">
      <c r="C808" s="475"/>
      <c r="D808" s="476"/>
      <c r="E808" s="477"/>
      <c r="F808" s="478"/>
    </row>
    <row r="809">
      <c r="C809" s="475"/>
      <c r="D809" s="476"/>
      <c r="E809" s="477"/>
      <c r="F809" s="478"/>
    </row>
    <row r="810">
      <c r="C810" s="475"/>
      <c r="D810" s="476"/>
      <c r="E810" s="477"/>
      <c r="F810" s="478"/>
    </row>
    <row r="811">
      <c r="C811" s="475"/>
      <c r="D811" s="476"/>
      <c r="E811" s="477"/>
      <c r="F811" s="478"/>
    </row>
    <row r="812">
      <c r="C812" s="475"/>
      <c r="D812" s="476"/>
      <c r="E812" s="477"/>
      <c r="F812" s="478"/>
    </row>
    <row r="813">
      <c r="C813" s="475"/>
      <c r="D813" s="476"/>
      <c r="E813" s="477"/>
      <c r="F813" s="478"/>
    </row>
    <row r="814">
      <c r="C814" s="475"/>
      <c r="D814" s="476"/>
      <c r="E814" s="477"/>
      <c r="F814" s="478"/>
    </row>
    <row r="815">
      <c r="C815" s="475"/>
      <c r="D815" s="476"/>
      <c r="E815" s="477"/>
      <c r="F815" s="478"/>
    </row>
    <row r="816">
      <c r="C816" s="475"/>
      <c r="D816" s="476"/>
      <c r="E816" s="477"/>
      <c r="F816" s="478"/>
    </row>
    <row r="817">
      <c r="C817" s="475"/>
      <c r="D817" s="476"/>
      <c r="E817" s="477"/>
      <c r="F817" s="478"/>
    </row>
    <row r="818">
      <c r="C818" s="475"/>
      <c r="D818" s="476"/>
      <c r="E818" s="477"/>
      <c r="F818" s="478"/>
    </row>
    <row r="819">
      <c r="C819" s="475"/>
      <c r="D819" s="476"/>
      <c r="E819" s="477"/>
      <c r="F819" s="478"/>
    </row>
    <row r="820">
      <c r="C820" s="475"/>
      <c r="D820" s="476"/>
      <c r="E820" s="477"/>
      <c r="F820" s="478"/>
    </row>
    <row r="821">
      <c r="C821" s="475"/>
      <c r="D821" s="476"/>
      <c r="E821" s="477"/>
      <c r="F821" s="478"/>
    </row>
    <row r="822">
      <c r="C822" s="475"/>
      <c r="D822" s="476"/>
      <c r="E822" s="477"/>
      <c r="F822" s="478"/>
    </row>
    <row r="823">
      <c r="C823" s="475"/>
      <c r="D823" s="476"/>
      <c r="E823" s="477"/>
      <c r="F823" s="478"/>
    </row>
    <row r="824">
      <c r="C824" s="475"/>
      <c r="D824" s="476"/>
      <c r="E824" s="477"/>
      <c r="F824" s="478"/>
    </row>
    <row r="825">
      <c r="C825" s="475"/>
      <c r="D825" s="476"/>
      <c r="E825" s="477"/>
      <c r="F825" s="478"/>
    </row>
    <row r="826">
      <c r="C826" s="475"/>
      <c r="D826" s="476"/>
      <c r="E826" s="477"/>
      <c r="F826" s="478"/>
    </row>
    <row r="827">
      <c r="C827" s="475"/>
      <c r="D827" s="476"/>
      <c r="E827" s="477"/>
      <c r="F827" s="478"/>
    </row>
    <row r="828">
      <c r="C828" s="475"/>
      <c r="D828" s="476"/>
      <c r="E828" s="477"/>
      <c r="F828" s="478"/>
    </row>
    <row r="829">
      <c r="C829" s="475"/>
      <c r="D829" s="476"/>
      <c r="E829" s="477"/>
      <c r="F829" s="478"/>
    </row>
    <row r="830">
      <c r="C830" s="475"/>
      <c r="D830" s="476"/>
      <c r="E830" s="477"/>
      <c r="F830" s="478"/>
    </row>
    <row r="831">
      <c r="C831" s="475"/>
      <c r="D831" s="476"/>
      <c r="E831" s="477"/>
      <c r="F831" s="478"/>
    </row>
    <row r="832">
      <c r="C832" s="475"/>
      <c r="D832" s="476"/>
      <c r="E832" s="477"/>
      <c r="F832" s="478"/>
    </row>
    <row r="833">
      <c r="C833" s="475"/>
      <c r="D833" s="476"/>
      <c r="E833" s="477"/>
      <c r="F833" s="478"/>
    </row>
    <row r="834">
      <c r="C834" s="475"/>
      <c r="D834" s="476"/>
      <c r="E834" s="477"/>
      <c r="F834" s="478"/>
    </row>
    <row r="835">
      <c r="C835" s="475"/>
      <c r="D835" s="476"/>
      <c r="E835" s="477"/>
      <c r="F835" s="478"/>
    </row>
    <row r="836">
      <c r="C836" s="475"/>
      <c r="D836" s="476"/>
      <c r="E836" s="477"/>
      <c r="F836" s="478"/>
    </row>
    <row r="837">
      <c r="C837" s="475"/>
      <c r="D837" s="476"/>
      <c r="E837" s="477"/>
      <c r="F837" s="478"/>
    </row>
    <row r="838">
      <c r="C838" s="475"/>
      <c r="D838" s="476"/>
      <c r="E838" s="477"/>
      <c r="F838" s="478"/>
    </row>
    <row r="839">
      <c r="C839" s="475"/>
      <c r="D839" s="476"/>
      <c r="E839" s="477"/>
      <c r="F839" s="478"/>
    </row>
    <row r="840">
      <c r="C840" s="475"/>
      <c r="D840" s="476"/>
      <c r="E840" s="477"/>
      <c r="F840" s="478"/>
    </row>
    <row r="841">
      <c r="C841" s="475"/>
      <c r="D841" s="476"/>
      <c r="E841" s="477"/>
      <c r="F841" s="478"/>
    </row>
    <row r="842">
      <c r="C842" s="475"/>
      <c r="D842" s="476"/>
      <c r="E842" s="477"/>
      <c r="F842" s="478"/>
    </row>
    <row r="843">
      <c r="C843" s="475"/>
      <c r="D843" s="476"/>
      <c r="E843" s="477"/>
      <c r="F843" s="478"/>
    </row>
    <row r="844">
      <c r="C844" s="475"/>
      <c r="D844" s="476"/>
      <c r="E844" s="477"/>
      <c r="F844" s="478"/>
    </row>
    <row r="845">
      <c r="C845" s="475"/>
      <c r="D845" s="476"/>
      <c r="E845" s="477"/>
      <c r="F845" s="478"/>
    </row>
    <row r="846">
      <c r="C846" s="475"/>
      <c r="D846" s="476"/>
      <c r="E846" s="477"/>
      <c r="F846" s="478"/>
    </row>
    <row r="847">
      <c r="C847" s="475"/>
      <c r="D847" s="476"/>
      <c r="E847" s="477"/>
      <c r="F847" s="478"/>
    </row>
    <row r="848">
      <c r="C848" s="475"/>
      <c r="D848" s="476"/>
      <c r="E848" s="477"/>
      <c r="F848" s="478"/>
    </row>
    <row r="849">
      <c r="C849" s="475"/>
      <c r="D849" s="476"/>
      <c r="E849" s="477"/>
      <c r="F849" s="478"/>
    </row>
    <row r="850">
      <c r="C850" s="475"/>
      <c r="D850" s="476"/>
      <c r="E850" s="477"/>
      <c r="F850" s="478"/>
    </row>
    <row r="851">
      <c r="C851" s="475"/>
      <c r="D851" s="476"/>
      <c r="E851" s="477"/>
      <c r="F851" s="478"/>
    </row>
    <row r="852">
      <c r="C852" s="475"/>
      <c r="D852" s="476"/>
      <c r="E852" s="477"/>
      <c r="F852" s="478"/>
    </row>
    <row r="853">
      <c r="C853" s="475"/>
      <c r="D853" s="476"/>
      <c r="E853" s="477"/>
      <c r="F853" s="478"/>
    </row>
    <row r="854">
      <c r="C854" s="475"/>
      <c r="D854" s="476"/>
      <c r="E854" s="477"/>
      <c r="F854" s="478"/>
    </row>
    <row r="855">
      <c r="C855" s="475"/>
      <c r="D855" s="476"/>
      <c r="E855" s="477"/>
      <c r="F855" s="478"/>
    </row>
    <row r="856">
      <c r="C856" s="475"/>
      <c r="D856" s="476"/>
      <c r="E856" s="477"/>
      <c r="F856" s="478"/>
    </row>
    <row r="857">
      <c r="C857" s="475"/>
      <c r="D857" s="476"/>
      <c r="E857" s="477"/>
      <c r="F857" s="478"/>
    </row>
    <row r="858">
      <c r="C858" s="475"/>
      <c r="D858" s="476"/>
      <c r="E858" s="477"/>
      <c r="F858" s="478"/>
    </row>
    <row r="859">
      <c r="C859" s="475"/>
      <c r="D859" s="476"/>
      <c r="E859" s="477"/>
      <c r="F859" s="478"/>
    </row>
    <row r="860">
      <c r="C860" s="475"/>
      <c r="D860" s="476"/>
      <c r="E860" s="477"/>
      <c r="F860" s="478"/>
    </row>
    <row r="861">
      <c r="C861" s="475"/>
      <c r="D861" s="476"/>
      <c r="E861" s="477"/>
      <c r="F861" s="478"/>
    </row>
    <row r="862">
      <c r="C862" s="475"/>
      <c r="D862" s="476"/>
      <c r="E862" s="477"/>
      <c r="F862" s="478"/>
    </row>
    <row r="863">
      <c r="C863" s="475"/>
      <c r="D863" s="476"/>
      <c r="E863" s="477"/>
      <c r="F863" s="478"/>
    </row>
    <row r="864">
      <c r="C864" s="475"/>
      <c r="D864" s="476"/>
      <c r="E864" s="477"/>
      <c r="F864" s="478"/>
    </row>
    <row r="865">
      <c r="C865" s="475"/>
      <c r="D865" s="476"/>
      <c r="E865" s="477"/>
      <c r="F865" s="478"/>
    </row>
    <row r="866">
      <c r="C866" s="475"/>
      <c r="D866" s="476"/>
      <c r="E866" s="477"/>
      <c r="F866" s="478"/>
    </row>
    <row r="867">
      <c r="C867" s="475"/>
      <c r="D867" s="476"/>
      <c r="E867" s="477"/>
      <c r="F867" s="478"/>
    </row>
    <row r="868">
      <c r="C868" s="475"/>
      <c r="D868" s="476"/>
      <c r="E868" s="477"/>
      <c r="F868" s="478"/>
    </row>
    <row r="869">
      <c r="C869" s="475"/>
      <c r="D869" s="476"/>
      <c r="E869" s="477"/>
      <c r="F869" s="478"/>
    </row>
    <row r="870">
      <c r="C870" s="475"/>
      <c r="D870" s="476"/>
      <c r="E870" s="477"/>
      <c r="F870" s="478"/>
    </row>
    <row r="871">
      <c r="C871" s="475"/>
      <c r="D871" s="476"/>
      <c r="E871" s="477"/>
      <c r="F871" s="478"/>
    </row>
    <row r="872">
      <c r="C872" s="475"/>
      <c r="D872" s="476"/>
      <c r="E872" s="477"/>
      <c r="F872" s="478"/>
    </row>
    <row r="873">
      <c r="C873" s="475"/>
      <c r="D873" s="476"/>
      <c r="E873" s="477"/>
      <c r="F873" s="478"/>
    </row>
    <row r="874">
      <c r="C874" s="475"/>
      <c r="D874" s="476"/>
      <c r="E874" s="477"/>
      <c r="F874" s="478"/>
    </row>
    <row r="875">
      <c r="C875" s="475"/>
      <c r="D875" s="476"/>
      <c r="E875" s="477"/>
      <c r="F875" s="478"/>
    </row>
    <row r="876">
      <c r="C876" s="475"/>
      <c r="D876" s="476"/>
      <c r="E876" s="477"/>
      <c r="F876" s="478"/>
    </row>
    <row r="877">
      <c r="C877" s="475"/>
      <c r="D877" s="476"/>
      <c r="E877" s="477"/>
      <c r="F877" s="478"/>
    </row>
    <row r="878">
      <c r="C878" s="475"/>
      <c r="D878" s="476"/>
      <c r="E878" s="477"/>
      <c r="F878" s="478"/>
    </row>
    <row r="879">
      <c r="C879" s="475"/>
      <c r="D879" s="476"/>
      <c r="E879" s="477"/>
      <c r="F879" s="478"/>
    </row>
    <row r="880">
      <c r="C880" s="475"/>
      <c r="D880" s="476"/>
      <c r="E880" s="477"/>
      <c r="F880" s="478"/>
    </row>
    <row r="881">
      <c r="C881" s="475"/>
      <c r="D881" s="476"/>
      <c r="E881" s="477"/>
      <c r="F881" s="478"/>
    </row>
    <row r="882">
      <c r="C882" s="475"/>
      <c r="D882" s="476"/>
      <c r="E882" s="477"/>
      <c r="F882" s="478"/>
    </row>
    <row r="883">
      <c r="C883" s="475"/>
      <c r="D883" s="476"/>
      <c r="E883" s="477"/>
      <c r="F883" s="478"/>
    </row>
    <row r="884">
      <c r="C884" s="475"/>
      <c r="D884" s="476"/>
      <c r="E884" s="477"/>
      <c r="F884" s="478"/>
    </row>
    <row r="885">
      <c r="C885" s="475"/>
      <c r="D885" s="476"/>
      <c r="E885" s="477"/>
      <c r="F885" s="478"/>
    </row>
    <row r="886">
      <c r="C886" s="475"/>
      <c r="D886" s="476"/>
      <c r="E886" s="477"/>
      <c r="F886" s="478"/>
    </row>
    <row r="887">
      <c r="C887" s="475"/>
      <c r="D887" s="476"/>
      <c r="E887" s="477"/>
      <c r="F887" s="478"/>
    </row>
    <row r="888">
      <c r="C888" s="475"/>
      <c r="D888" s="476"/>
      <c r="E888" s="477"/>
      <c r="F888" s="478"/>
    </row>
    <row r="889">
      <c r="C889" s="475"/>
      <c r="D889" s="476"/>
      <c r="E889" s="477"/>
      <c r="F889" s="478"/>
    </row>
    <row r="890">
      <c r="C890" s="475"/>
      <c r="D890" s="476"/>
      <c r="E890" s="477"/>
      <c r="F890" s="478"/>
    </row>
    <row r="891">
      <c r="C891" s="475"/>
      <c r="D891" s="476"/>
      <c r="E891" s="477"/>
      <c r="F891" s="478"/>
    </row>
    <row r="892">
      <c r="C892" s="475"/>
      <c r="D892" s="476"/>
      <c r="E892" s="477"/>
      <c r="F892" s="478"/>
    </row>
    <row r="893">
      <c r="C893" s="475"/>
      <c r="D893" s="476"/>
      <c r="E893" s="477"/>
      <c r="F893" s="478"/>
    </row>
    <row r="894">
      <c r="C894" s="475"/>
      <c r="D894" s="476"/>
      <c r="E894" s="477"/>
      <c r="F894" s="478"/>
    </row>
    <row r="895">
      <c r="C895" s="475"/>
      <c r="D895" s="476"/>
      <c r="E895" s="477"/>
      <c r="F895" s="478"/>
    </row>
    <row r="896">
      <c r="C896" s="475"/>
      <c r="D896" s="476"/>
      <c r="E896" s="477"/>
      <c r="F896" s="478"/>
    </row>
    <row r="897">
      <c r="C897" s="475"/>
      <c r="D897" s="476"/>
      <c r="E897" s="477"/>
      <c r="F897" s="478"/>
    </row>
    <row r="898">
      <c r="C898" s="475"/>
      <c r="D898" s="476"/>
      <c r="E898" s="477"/>
      <c r="F898" s="478"/>
    </row>
    <row r="899">
      <c r="C899" s="475"/>
      <c r="D899" s="476"/>
      <c r="E899" s="477"/>
      <c r="F899" s="478"/>
    </row>
    <row r="900">
      <c r="C900" s="475"/>
      <c r="D900" s="476"/>
      <c r="E900" s="477"/>
      <c r="F900" s="478"/>
    </row>
    <row r="901">
      <c r="C901" s="475"/>
      <c r="D901" s="476"/>
      <c r="E901" s="477"/>
      <c r="F901" s="478"/>
    </row>
    <row r="902">
      <c r="C902" s="475"/>
      <c r="D902" s="476"/>
      <c r="E902" s="477"/>
      <c r="F902" s="478"/>
    </row>
    <row r="903">
      <c r="C903" s="475"/>
      <c r="D903" s="476"/>
      <c r="E903" s="477"/>
      <c r="F903" s="478"/>
    </row>
    <row r="904">
      <c r="C904" s="475"/>
      <c r="D904" s="476"/>
      <c r="E904" s="477"/>
      <c r="F904" s="478"/>
    </row>
    <row r="905">
      <c r="C905" s="475"/>
      <c r="D905" s="476"/>
      <c r="E905" s="477"/>
      <c r="F905" s="478"/>
    </row>
    <row r="906">
      <c r="C906" s="475"/>
      <c r="D906" s="476"/>
      <c r="E906" s="477"/>
      <c r="F906" s="478"/>
    </row>
    <row r="907">
      <c r="C907" s="475"/>
      <c r="D907" s="476"/>
      <c r="E907" s="477"/>
      <c r="F907" s="478"/>
    </row>
    <row r="908">
      <c r="C908" s="475"/>
      <c r="D908" s="476"/>
      <c r="E908" s="477"/>
      <c r="F908" s="478"/>
    </row>
    <row r="909">
      <c r="C909" s="475"/>
      <c r="D909" s="476"/>
      <c r="E909" s="477"/>
      <c r="F909" s="478"/>
    </row>
    <row r="910">
      <c r="C910" s="475"/>
      <c r="D910" s="476"/>
      <c r="E910" s="477"/>
      <c r="F910" s="478"/>
    </row>
    <row r="911">
      <c r="C911" s="475"/>
      <c r="D911" s="476"/>
      <c r="E911" s="477"/>
      <c r="F911" s="478"/>
    </row>
    <row r="912">
      <c r="C912" s="475"/>
      <c r="D912" s="476"/>
      <c r="E912" s="477"/>
      <c r="F912" s="478"/>
    </row>
    <row r="913">
      <c r="C913" s="475"/>
      <c r="D913" s="476"/>
      <c r="E913" s="477"/>
      <c r="F913" s="478"/>
    </row>
    <row r="914">
      <c r="C914" s="475"/>
      <c r="D914" s="476"/>
      <c r="E914" s="477"/>
      <c r="F914" s="478"/>
    </row>
    <row r="915">
      <c r="C915" s="475"/>
      <c r="D915" s="476"/>
      <c r="E915" s="477"/>
      <c r="F915" s="478"/>
    </row>
    <row r="916">
      <c r="C916" s="475"/>
      <c r="D916" s="476"/>
      <c r="E916" s="477"/>
      <c r="F916" s="478"/>
    </row>
    <row r="917">
      <c r="C917" s="475"/>
      <c r="D917" s="476"/>
      <c r="E917" s="477"/>
      <c r="F917" s="478"/>
    </row>
    <row r="918">
      <c r="C918" s="475"/>
      <c r="D918" s="476"/>
      <c r="E918" s="477"/>
      <c r="F918" s="478"/>
    </row>
    <row r="919">
      <c r="C919" s="475"/>
      <c r="D919" s="476"/>
      <c r="E919" s="477"/>
      <c r="F919" s="478"/>
    </row>
    <row r="920">
      <c r="C920" s="475"/>
      <c r="D920" s="476"/>
      <c r="E920" s="477"/>
      <c r="F920" s="478"/>
    </row>
    <row r="921">
      <c r="C921" s="475"/>
      <c r="D921" s="476"/>
      <c r="E921" s="477"/>
      <c r="F921" s="478"/>
    </row>
    <row r="922">
      <c r="C922" s="475"/>
      <c r="D922" s="476"/>
      <c r="E922" s="477"/>
      <c r="F922" s="478"/>
    </row>
    <row r="923">
      <c r="C923" s="475"/>
      <c r="D923" s="476"/>
      <c r="E923" s="477"/>
      <c r="F923" s="478"/>
    </row>
    <row r="924">
      <c r="C924" s="475"/>
      <c r="D924" s="476"/>
      <c r="E924" s="477"/>
      <c r="F924" s="478"/>
    </row>
    <row r="925">
      <c r="C925" s="475"/>
      <c r="D925" s="476"/>
      <c r="E925" s="477"/>
      <c r="F925" s="478"/>
    </row>
    <row r="926">
      <c r="C926" s="475"/>
      <c r="D926" s="476"/>
      <c r="E926" s="477"/>
      <c r="F926" s="478"/>
    </row>
    <row r="927">
      <c r="C927" s="475"/>
      <c r="D927" s="476"/>
      <c r="E927" s="477"/>
      <c r="F927" s="478"/>
    </row>
    <row r="928">
      <c r="C928" s="475"/>
      <c r="D928" s="476"/>
      <c r="E928" s="477"/>
      <c r="F928" s="478"/>
    </row>
    <row r="929">
      <c r="C929" s="475"/>
      <c r="D929" s="476"/>
      <c r="E929" s="477"/>
      <c r="F929" s="478"/>
    </row>
    <row r="930">
      <c r="C930" s="475"/>
      <c r="D930" s="476"/>
      <c r="E930" s="477"/>
      <c r="F930" s="478"/>
    </row>
    <row r="931">
      <c r="C931" s="475"/>
      <c r="D931" s="476"/>
      <c r="E931" s="477"/>
      <c r="F931" s="478"/>
    </row>
    <row r="932">
      <c r="C932" s="475"/>
      <c r="D932" s="476"/>
      <c r="E932" s="477"/>
      <c r="F932" s="478"/>
    </row>
    <row r="933">
      <c r="C933" s="475"/>
      <c r="D933" s="476"/>
      <c r="E933" s="477"/>
      <c r="F933" s="478"/>
    </row>
    <row r="934">
      <c r="C934" s="475"/>
      <c r="D934" s="476"/>
      <c r="E934" s="477"/>
      <c r="F934" s="478"/>
    </row>
    <row r="935">
      <c r="C935" s="475"/>
      <c r="D935" s="476"/>
      <c r="E935" s="477"/>
      <c r="F935" s="478"/>
    </row>
    <row r="936">
      <c r="C936" s="475"/>
      <c r="D936" s="476"/>
      <c r="E936" s="477"/>
      <c r="F936" s="478"/>
    </row>
    <row r="937">
      <c r="C937" s="475"/>
      <c r="D937" s="476"/>
      <c r="E937" s="477"/>
      <c r="F937" s="478"/>
    </row>
    <row r="938">
      <c r="C938" s="475"/>
      <c r="D938" s="476"/>
      <c r="E938" s="477"/>
      <c r="F938" s="478"/>
    </row>
    <row r="939">
      <c r="C939" s="475"/>
      <c r="D939" s="476"/>
      <c r="E939" s="477"/>
      <c r="F939" s="478"/>
    </row>
    <row r="940">
      <c r="C940" s="475"/>
      <c r="D940" s="476"/>
      <c r="E940" s="477"/>
      <c r="F940" s="478"/>
    </row>
    <row r="941">
      <c r="C941" s="475"/>
      <c r="D941" s="476"/>
      <c r="E941" s="477"/>
      <c r="F941" s="478"/>
    </row>
    <row r="942">
      <c r="C942" s="475"/>
      <c r="D942" s="476"/>
      <c r="E942" s="477"/>
      <c r="F942" s="478"/>
    </row>
    <row r="943">
      <c r="C943" s="475"/>
      <c r="D943" s="476"/>
      <c r="E943" s="477"/>
      <c r="F943" s="478"/>
    </row>
    <row r="944">
      <c r="C944" s="475"/>
      <c r="D944" s="476"/>
      <c r="E944" s="477"/>
      <c r="F944" s="478"/>
    </row>
    <row r="945">
      <c r="C945" s="475"/>
      <c r="D945" s="476"/>
      <c r="E945" s="477"/>
      <c r="F945" s="478"/>
    </row>
    <row r="946">
      <c r="C946" s="475"/>
      <c r="D946" s="476"/>
      <c r="E946" s="477"/>
      <c r="F946" s="478"/>
    </row>
    <row r="947">
      <c r="C947" s="475"/>
      <c r="D947" s="476"/>
      <c r="E947" s="477"/>
      <c r="F947" s="478"/>
    </row>
    <row r="948">
      <c r="C948" s="475"/>
      <c r="D948" s="476"/>
      <c r="E948" s="477"/>
      <c r="F948" s="478"/>
    </row>
    <row r="949">
      <c r="C949" s="475"/>
      <c r="D949" s="476"/>
      <c r="E949" s="477"/>
      <c r="F949" s="478"/>
    </row>
    <row r="950">
      <c r="C950" s="475"/>
      <c r="D950" s="476"/>
      <c r="E950" s="477"/>
      <c r="F950" s="478"/>
    </row>
    <row r="951">
      <c r="C951" s="475"/>
      <c r="D951" s="476"/>
      <c r="E951" s="477"/>
      <c r="F951" s="478"/>
    </row>
    <row r="952">
      <c r="C952" s="475"/>
      <c r="D952" s="476"/>
      <c r="E952" s="477"/>
      <c r="F952" s="478"/>
    </row>
    <row r="953">
      <c r="C953" s="475"/>
      <c r="D953" s="476"/>
      <c r="E953" s="477"/>
      <c r="F953" s="478"/>
    </row>
    <row r="954">
      <c r="C954" s="475"/>
      <c r="D954" s="476"/>
      <c r="E954" s="477"/>
      <c r="F954" s="478"/>
    </row>
    <row r="955">
      <c r="C955" s="475"/>
      <c r="D955" s="476"/>
      <c r="E955" s="477"/>
      <c r="F955" s="478"/>
    </row>
    <row r="956">
      <c r="C956" s="475"/>
      <c r="D956" s="476"/>
      <c r="E956" s="477"/>
      <c r="F956" s="478"/>
    </row>
    <row r="957">
      <c r="C957" s="475"/>
      <c r="D957" s="476"/>
      <c r="E957" s="477"/>
      <c r="F957" s="478"/>
    </row>
    <row r="958">
      <c r="C958" s="475"/>
      <c r="D958" s="476"/>
      <c r="E958" s="477"/>
      <c r="F958" s="478"/>
    </row>
    <row r="959">
      <c r="C959" s="475"/>
      <c r="D959" s="476"/>
      <c r="E959" s="477"/>
      <c r="F959" s="478"/>
    </row>
    <row r="960">
      <c r="C960" s="475"/>
      <c r="D960" s="476"/>
      <c r="E960" s="477"/>
      <c r="F960" s="478"/>
    </row>
    <row r="961">
      <c r="C961" s="475"/>
      <c r="D961" s="476"/>
      <c r="E961" s="477"/>
      <c r="F961" s="478"/>
    </row>
    <row r="962">
      <c r="C962" s="475"/>
      <c r="D962" s="476"/>
      <c r="E962" s="477"/>
      <c r="F962" s="478"/>
    </row>
    <row r="963">
      <c r="C963" s="475"/>
      <c r="D963" s="476"/>
      <c r="E963" s="477"/>
      <c r="F963" s="478"/>
    </row>
    <row r="964">
      <c r="C964" s="475"/>
      <c r="D964" s="476"/>
      <c r="E964" s="477"/>
      <c r="F964" s="478"/>
    </row>
    <row r="965">
      <c r="C965" s="475"/>
      <c r="D965" s="476"/>
      <c r="E965" s="477"/>
      <c r="F965" s="478"/>
    </row>
    <row r="966">
      <c r="C966" s="475"/>
      <c r="D966" s="476"/>
      <c r="E966" s="477"/>
      <c r="F966" s="478"/>
    </row>
    <row r="967">
      <c r="C967" s="475"/>
      <c r="D967" s="476"/>
      <c r="E967" s="477"/>
      <c r="F967" s="478"/>
    </row>
    <row r="968">
      <c r="C968" s="475"/>
      <c r="D968" s="476"/>
      <c r="E968" s="477"/>
      <c r="F968" s="478"/>
    </row>
    <row r="969">
      <c r="C969" s="475"/>
      <c r="D969" s="476"/>
      <c r="E969" s="477"/>
      <c r="F969" s="478"/>
    </row>
    <row r="970">
      <c r="C970" s="475"/>
      <c r="D970" s="476"/>
      <c r="E970" s="477"/>
      <c r="F970" s="478"/>
    </row>
    <row r="971">
      <c r="C971" s="475"/>
      <c r="D971" s="476"/>
      <c r="E971" s="477"/>
      <c r="F971" s="478"/>
    </row>
    <row r="972">
      <c r="C972" s="475"/>
      <c r="D972" s="476"/>
      <c r="E972" s="477"/>
      <c r="F972" s="478"/>
    </row>
    <row r="973">
      <c r="C973" s="475"/>
      <c r="D973" s="476"/>
      <c r="E973" s="477"/>
      <c r="F973" s="478"/>
    </row>
    <row r="974">
      <c r="C974" s="475"/>
      <c r="D974" s="476"/>
      <c r="E974" s="477"/>
      <c r="F974" s="478"/>
    </row>
    <row r="975">
      <c r="C975" s="475"/>
      <c r="D975" s="476"/>
      <c r="E975" s="477"/>
      <c r="F975" s="478"/>
    </row>
    <row r="976">
      <c r="C976" s="475"/>
      <c r="D976" s="476"/>
      <c r="E976" s="477"/>
      <c r="F976" s="478"/>
    </row>
    <row r="977">
      <c r="C977" s="475"/>
      <c r="D977" s="476"/>
      <c r="E977" s="477"/>
      <c r="F977" s="478"/>
    </row>
    <row r="978">
      <c r="C978" s="475"/>
      <c r="D978" s="476"/>
      <c r="E978" s="477"/>
      <c r="F978" s="478"/>
    </row>
    <row r="979">
      <c r="C979" s="475"/>
      <c r="D979" s="476"/>
      <c r="E979" s="477"/>
      <c r="F979" s="478"/>
    </row>
    <row r="980">
      <c r="C980" s="475"/>
      <c r="D980" s="476"/>
      <c r="E980" s="477"/>
      <c r="F980" s="478"/>
    </row>
    <row r="981">
      <c r="C981" s="475"/>
      <c r="D981" s="476"/>
      <c r="E981" s="477"/>
      <c r="F981" s="478"/>
    </row>
    <row r="982">
      <c r="C982" s="475"/>
      <c r="D982" s="476"/>
      <c r="E982" s="477"/>
      <c r="F982" s="478"/>
    </row>
    <row r="983">
      <c r="C983" s="475"/>
      <c r="D983" s="476"/>
      <c r="E983" s="477"/>
      <c r="F983" s="478"/>
    </row>
    <row r="984">
      <c r="C984" s="475"/>
      <c r="D984" s="476"/>
      <c r="E984" s="477"/>
      <c r="F984" s="478"/>
    </row>
    <row r="985">
      <c r="C985" s="475"/>
      <c r="D985" s="476"/>
      <c r="E985" s="477"/>
      <c r="F985" s="478"/>
    </row>
    <row r="986">
      <c r="C986" s="475"/>
      <c r="D986" s="476"/>
      <c r="E986" s="477"/>
      <c r="F986" s="478"/>
    </row>
    <row r="987">
      <c r="C987" s="475"/>
      <c r="D987" s="476"/>
      <c r="E987" s="477"/>
      <c r="F987" s="478"/>
    </row>
    <row r="988">
      <c r="C988" s="475"/>
      <c r="D988" s="476"/>
      <c r="E988" s="477"/>
      <c r="F988" s="478"/>
    </row>
    <row r="989">
      <c r="C989" s="475"/>
      <c r="D989" s="476"/>
      <c r="E989" s="477"/>
      <c r="F989" s="478"/>
    </row>
    <row r="990">
      <c r="C990" s="475"/>
      <c r="D990" s="476"/>
      <c r="E990" s="477"/>
      <c r="F990" s="478"/>
    </row>
    <row r="991">
      <c r="C991" s="475"/>
      <c r="D991" s="476"/>
      <c r="E991" s="477"/>
      <c r="F991" s="478"/>
    </row>
    <row r="992">
      <c r="C992" s="475"/>
      <c r="D992" s="476"/>
      <c r="E992" s="477"/>
      <c r="F992" s="478"/>
    </row>
    <row r="993">
      <c r="C993" s="475"/>
      <c r="D993" s="476"/>
      <c r="E993" s="477"/>
      <c r="F993" s="478"/>
    </row>
    <row r="994">
      <c r="C994" s="475"/>
      <c r="D994" s="476"/>
      <c r="E994" s="477"/>
      <c r="F994" s="478"/>
    </row>
    <row r="995">
      <c r="C995" s="475"/>
      <c r="D995" s="476"/>
      <c r="E995" s="477"/>
      <c r="F995" s="478"/>
    </row>
    <row r="996">
      <c r="C996" s="475"/>
      <c r="D996" s="476"/>
      <c r="E996" s="477"/>
      <c r="F996" s="478"/>
    </row>
    <row r="997">
      <c r="C997" s="475"/>
      <c r="D997" s="476"/>
      <c r="E997" s="477"/>
      <c r="F997" s="478"/>
    </row>
    <row r="998">
      <c r="C998" s="475"/>
      <c r="D998" s="476"/>
      <c r="E998" s="477"/>
      <c r="F998" s="478"/>
    </row>
    <row r="999">
      <c r="C999" s="475"/>
      <c r="D999" s="476"/>
      <c r="E999" s="477"/>
      <c r="F999" s="478"/>
    </row>
    <row r="1000">
      <c r="C1000" s="475"/>
      <c r="D1000" s="476"/>
      <c r="E1000" s="477"/>
      <c r="F1000" s="478"/>
    </row>
  </sheetData>
  <drawing r:id="rId1"/>
</worksheet>
</file>