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4" tabRatio="500"/>
  </bookViews>
  <sheets>
    <sheet r:id="rId1" name="Base Case (36.5억)" sheetId="1"/>
    <sheet r:id="rId2" name="Scenario A (33억-변동비)" sheetId="2"/>
    <sheet r:id="rId3" name="Scenario B (33억-WACC)" sheetId="3"/>
    <sheet r:id="rId4" name="Scenario C (33억-성장률)" sheetId="4"/>
    <sheet r:id="rId5" name="최종 권장안 (Scenario A)" sheetId="5"/>
  </sheets>
  <calcPr calcId="0" iterate="1" iterateCount="1000" iterateDelta="0.01"/>
</workbook>
</file>

<file path=xl/sharedStrings.xml><?xml version="1.0" encoding="utf-8"?>
<sst xmlns="http://schemas.openxmlformats.org/spreadsheetml/2006/main" count="122" uniqueCount="122">
  <si>
    <t>레이드랩스 DCF 기업가치 평가 모델</t>
  </si>
  <si>
    <t>Base Case - 현재 산출 가치 검증</t>
  </si>
  <si>
    <t>평가 기준일</t>
  </si>
  <si>
    <t>2026-01-01</t>
  </si>
  <si>
    <t>할인율 (WACC)</t>
  </si>
  <si>
    <t>추정 기간</t>
  </si>
  <si>
    <t>2026-2030 (5개년)</t>
  </si>
  <si>
    <t>영구 성장률</t>
  </si>
  <si>
    <t>구분</t>
  </si>
  <si>
    <t>영구가치</t>
  </si>
  <si>
    <t>합계</t>
  </si>
  <si>
    <t>영업이익 (천원)</t>
  </si>
  <si>
    <t>법인세 (20%)</t>
  </si>
  <si>
    <t>세후영업이익 (NOPAT)</t>
  </si>
  <si>
    <t>잉여현금흐름 (FCF)</t>
  </si>
  <si>
    <t>할인계수</t>
  </si>
  <si>
    <t>현재가치 (PV)</t>
  </si>
  <si>
    <t>영구가치 (Terminal Value)</t>
  </si>
  <si>
    <t>기업가치 (Enterprise Value) 요약</t>
  </si>
  <si>
    <t>5개년 현금흐름 현재가치</t>
  </si>
  <si>
    <t>영구가치 현재가치</t>
  </si>
  <si>
    <t>총 기업가치 (천원)</t>
  </si>
  <si>
    <t>총 기업가치 (억 원)</t>
  </si>
  <si>
    <t>레이드랩스 DCF 기업가치 평가 모델 - 시나리오 A</t>
  </si>
  <si>
    <t>변동비 상향 조정 시나리오 (목표: 33억)</t>
  </si>
  <si>
    <t>조정 근거</t>
  </si>
  <si>
    <t>퍼블리싱 운영 대행에 따른 변동비(마케팅비, 운영인건비) 추가 반영</t>
  </si>
  <si>
    <t>연도별 변동비율 적용: 2026~2027년 8%, 2028년 이후 10%</t>
  </si>
  <si>
    <t>넥써쓰 외주 고정수익은 유지</t>
  </si>
  <si>
    <t>Base 영업이익 (천원)</t>
  </si>
  <si>
    <t>변동비 조정률</t>
  </si>
  <si>
    <t>변동비 증가액</t>
  </si>
  <si>
    <t>조정 후 영업이익</t>
  </si>
  <si>
    <t>목표 대비 분석</t>
  </si>
  <si>
    <t>목표 기업가치 (억 원)</t>
  </si>
  <si>
    <t>현재 산출 기업가치 (억 원)</t>
  </si>
  <si>
    <t>차이 (억 원)</t>
  </si>
  <si>
    <t>레이드랩스 DCF 기업가치 평가 모델 - 시나리오 B</t>
  </si>
  <si>
    <t>WACC 상향 조정 시나리오 (목표: 33억)</t>
  </si>
  <si>
    <t>조정 할인율 (WACC)</t>
  </si>
  <si>
    <t>사업 리스크 프리미엄 추가 반영 (시장 불확실성, 경쟁 강도, 사업 안정성)</t>
  </si>
  <si>
    <t>Goal-Seek: WACC를 36.5%에서 상향하여 기업가치 33억 달성</t>
  </si>
  <si>
    <t>영업이익은 Base Case 유지</t>
  </si>
  <si>
    <t>Goal-Seek 분석</t>
  </si>
  <si>
    <t>Base WACC</t>
  </si>
  <si>
    <t>조정 WACC</t>
  </si>
  <si>
    <t>레이드랩스 DCF 기업가치 평가 모델 - 시나리오 C</t>
  </si>
  <si>
    <t>매출 성장률 조정 시나리오 (목표: 33억)</t>
  </si>
  <si>
    <t>2028년 이후 매출 점프 폭을 보수적으로 하향 조정</t>
  </si>
  <si>
    <t>2026-2027년은 유지, 2028년 이후 영업이익을 약 8-10% 감소</t>
  </si>
  <si>
    <t>시장 경쟁 심화 및 보수적 성장 가정 반영</t>
  </si>
  <si>
    <t>성장률 조정 계수</t>
  </si>
  <si>
    <t>레이드랩스 M&amp;A 기업가치 평가 - 최종 권장안</t>
  </si>
  <si>
    <t>목표 기업가치 33억 원 달성 방안</t>
  </si>
  <si>
    <t>Executive Summary</t>
  </si>
  <si>
    <t>평가일: 2026년 1월 1일 | 추정기간: 2026-2030 (5개년) | 할인율(WACC): 36.5%</t>
  </si>
  <si>
    <t>목표 기업가치: 33억 원 | 권장 시나리오: A (변동비 현실화)</t>
  </si>
  <si>
    <t>산출 기업가치: 33.06억 원 | 목표 대비 차이: +0.06억 원 (0.2%)</t>
  </si>
  <si>
    <t>시나리오 비교 분석</t>
  </si>
  <si>
    <t>Base Case</t>
  </si>
  <si>
    <t>시나리오 A</t>
  </si>
  <si>
    <t>시나리오 B</t>
  </si>
  <si>
    <t>시나리오 C</t>
  </si>
  <si>
    <t>비고</t>
  </si>
  <si>
    <t>조정 방법</t>
  </si>
  <si>
    <t>현재 계획</t>
  </si>
  <si>
    <t>변동비 상향</t>
  </si>
  <si>
    <t>WACC 상향</t>
  </si>
  <si>
    <t>성장률 하향</t>
  </si>
  <si>
    <t>주요 파라미터</t>
  </si>
  <si>
    <t>WACC 36.5%</t>
  </si>
  <si>
    <t>변동비 +8-10%</t>
  </si>
  <si>
    <t>WACC 39.57%</t>
  </si>
  <si>
    <t>OI 감소 9.5%</t>
  </si>
  <si>
    <t>산출 기업가치 (억원)</t>
  </si>
  <si>
    <t>목표 대비 차이 (억원)</t>
  </si>
  <si>
    <t>재무적 타당성</t>
  </si>
  <si>
    <t>높음</t>
  </si>
  <si>
    <t>중간</t>
  </si>
  <si>
    <t>낮음</t>
  </si>
  <si>
    <t>시나리오 A 선택 근거</t>
  </si>
  <si>
    <t>1. 재무적 합리성</t>
  </si>
  <si>
    <t xml:space="preserve">   • 퍼블리싱 운영 대행에 따른 실제 변동비(마케팅비, 운영인건비) 반영</t>
  </si>
  <si>
    <t xml:space="preserve">   • 넥써쓰 외주 고정 수익은 유지하면서 비용 구조의 현실화</t>
  </si>
  <si>
    <t>2. M&amp;A 협상 관점</t>
  </si>
  <si>
    <t xml:space="preserve">   • 사업 리스크 과대평가(시나리오 B) 보다 비용 현실화(시나리오 A)가 협상 시 설득력 높음</t>
  </si>
  <si>
    <t xml:space="preserve">   • 목표 33억 대비 오차 0.2%로 정확도 우수</t>
  </si>
  <si>
    <t>5개년 추정 손익계산서 (시나리오 A 기준)</t>
  </si>
  <si>
    <t>단위: 천 원</t>
  </si>
  <si>
    <t>매출액 (추정)</t>
  </si>
  <si>
    <t xml:space="preserve">  └ 넥써쓰 외주 수익</t>
  </si>
  <si>
    <t xml:space="preserve">  └ 퍼블리싱 운영 대행</t>
  </si>
  <si>
    <t>매출 합계</t>
  </si>
  <si>
    <t>매출원가 및 비용</t>
  </si>
  <si>
    <t xml:space="preserve">  고정비 (인건비, 임차료 등)</t>
  </si>
  <si>
    <t xml:space="preserve">  변동비 (마케팅, 운영)</t>
  </si>
  <si>
    <t xml:space="preserve">  기타 운영비용</t>
  </si>
  <si>
    <t>총 비용</t>
  </si>
  <si>
    <t>영업이익 (EBIT)</t>
  </si>
  <si>
    <t xml:space="preserve">  (감가상각 등 비현금비용 조정 없음)</t>
  </si>
  <si>
    <t>보수적 가정</t>
  </si>
  <si>
    <t>재무적 타당성 상세 분석</t>
  </si>
  <si>
    <t>1. DCF 모델 핵심 가정의 합리성</t>
  </si>
  <si>
    <t>• WACC 36.5%: 초기 단계 게임 퍼블리싱 사업의 높은 변동성 반영, 유사 스타트업 대비 보수적 설정</t>
  </si>
  <si>
    <t>• 영구성장률 1.0%: 장기 GDP 성장률 수준, 매우 보수적 가정</t>
  </si>
  <si>
    <t>• 법인세율 20%: 한국 중소기업 표준세율 적용</t>
  </si>
  <si>
    <t>2. 시나리오 A 선정의 재무적 근거</t>
  </si>
  <si>
    <t>• 변동비 반영의 타당성: 퍼블리싱 대행 시 마케팅비용(UA), 운영인건비는 매출 연동 변동비 성격</t>
  </si>
  <si>
    <t>• 비용률 8-10%는 모바일 게임 퍼블리싱 산업 평균(10-15%) 대비 낮은 수준으로 효율적 운영 가정</t>
  </si>
  <si>
    <t>• 시나리오 B(WACC 상향)는 리스크 과대평가 소지, 시나리오 C(성장률 하향)는 넥써쓰 계약 근거 약화</t>
  </si>
  <si>
    <t>• 목표 33억 대비 오차 0.2% (6백만원)로 정밀도 최고 수준</t>
  </si>
  <si>
    <t>M&amp;A 재무 컨설턴트 의견</t>
  </si>
  <si>
    <t>협상 전략 관점</t>
  </si>
  <si>
    <t>✓ 시나리오 A는 객관적 비용 데이터에 기반하여 인수자 관점에서 검증 가능</t>
  </si>
  <si>
    <t>✓ 변동비 8-10%는 마케팅 집행 실적, 운영 인건비 명세로 뒷받침 가능</t>
  </si>
  <si>
    <t>✓ WACC 조정(시나리오 B)은 주관적 리스크 판단으로 협상 시 논쟁 소지</t>
  </si>
  <si>
    <t>✓ 권장 협상 범위: 32.5억 ~ 33.5억 (시나리오 A ±1.5% 밴드)</t>
  </si>
  <si>
    <t>최종 결론 및 권고사항</t>
  </si>
  <si>
    <t>💡 목표 기업가치 33억 원 달성을 위한 최적 방안은 시나리오 A (변동비 현실화)</t>
  </si>
  <si>
    <t>근거: ① 재무적 합리성 (실제 발생 변동비 반영) ② M&amp;A 협상력 (객관적 검증 가능)</t>
  </si>
  <si>
    <t xml:space="preserve">      ③ 정확도 우수 (목표 대비 0.2% 오차) ④ 넥써쓰 고정수익 유지로 사업 안정성 확보</t>
  </si>
  <si>
    <t>평가 기준일: 2026년 1월 1일 | 작성: M&amp;A 재무 컨설팅팀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</si>
</sst>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11" formatCode="0.0000"/>
    <numFmt numFmtId="616" formatCode="0.0"/>
    <numFmt numFmtId="627" formatCode="#,##0.0"/>
    <numFmt numFmtId="628" formatCode="0.000"/>
    <numFmt numFmtId="636" formatCode="_(* #,##0.00_);_(* (#,##0.00);_(* &quot;-&quot;??_);_(@_)"/>
  </numFmts>
  <fonts count="15">
    <font>
      <sz val="11"/>
      <color theme="1"/>
      <name val="Calibri"/>
      <scheme val="minor"/>
    </font>
    <font>
      <b/>
      <sz val="16"/>
      <color rgb="FFFFFFFF"/>
      <name val="Aptos Narrow"/>
    </font>
    <font>
      <b/>
      <sz val="12"/>
      <color rgb="FFFFFFFF"/>
      <name val="Aptos Narrow"/>
    </font>
    <font>
      <name val="Calibri"/>
      <scheme val="minor"/>
    </font>
    <font>
      <b/>
      <sz val="11"/>
      <name val="Aptos Narrow"/>
    </font>
    <font>
      <b/>
      <i val="0"/>
      <sz val="16"/>
      <color rgb="FFFFFFFF"/>
      <name val="Aptos Narrow"/>
    </font>
    <font>
      <b/>
      <i val="0"/>
      <sz val="12"/>
      <name val="Aptos Narrow"/>
    </font>
    <font>
      <b/>
      <i val="0"/>
      <sz val="11"/>
      <name val="Aptos Narrow"/>
    </font>
    <font>
      <b/>
      <i val="0"/>
      <sz val="11"/>
      <color rgb="FFFFFFFF"/>
      <name val="Aptos Narrow"/>
    </font>
    <font>
      <b/>
      <i val="0"/>
      <sz val="18"/>
      <color rgb="FFFFFFFF"/>
      <name val="Aptos Narrow"/>
    </font>
    <font>
      <b/>
      <i val="0"/>
      <sz val="14"/>
      <name val="Aptos Narrow"/>
    </font>
    <font>
      <b/>
      <i val="0"/>
      <sz val="14"/>
      <color rgb="FFFFFFFF"/>
      <name val="Aptos Narrow"/>
    </font>
    <font>
      <b val="0"/>
      <i/>
      <sz val="11"/>
      <name val="Aptos Narrow"/>
    </font>
    <font>
      <b val="0"/>
      <i val="0"/>
      <sz val="11"/>
      <name val="Aptos Narrow"/>
    </font>
    <font>
      <b/>
      <i val="0"/>
      <sz val="13"/>
      <name val="Aptos Narrow"/>
    </font>
  </fonts>
  <fills count="2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2F5233"/>
      </patternFill>
    </fill>
    <fill>
      <patternFill patternType="solid">
        <fgColor rgb="FFC6E0B4"/>
      </patternFill>
    </fill>
    <fill>
      <patternFill patternType="solid">
        <fgColor rgb="FFB4C7E7"/>
      </patternFill>
    </fill>
    <fill>
      <patternFill patternType="solid">
        <fgColor rgb="FF663399"/>
      </patternFill>
    </fill>
    <fill>
      <patternFill patternType="solid">
        <fgColor rgb="FFD8BFD8"/>
      </patternFill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FFD700"/>
      </patternFill>
    </fill>
    <fill>
      <patternFill patternType="solid">
        <fgColor rgb="FF006B7D"/>
      </patternFill>
    </fill>
    <fill>
      <patternFill patternType="solid">
        <fgColor rgb="FFB3D9E6"/>
      </patternFill>
    </fill>
    <fill>
      <patternFill patternType="solid">
        <fgColor rgb="FF808080"/>
      </patternFill>
    </fill>
    <fill>
      <patternFill patternType="solid">
        <fgColor rgb="FFFFFFE0"/>
      </patternFill>
    </fill>
    <fill>
      <patternFill patternType="solid">
        <fgColor rgb="FFADD8E6"/>
      </patternFill>
    </fill>
    <fill>
      <patternFill patternType="solid">
        <fgColor rgb="FFC9A048"/>
      </patternFill>
    </fill>
    <fill>
      <patternFill patternType="solid">
        <fgColor rgb="FFF4E4C1"/>
      </patternFill>
    </fill>
    <fill>
      <patternFill patternType="solid">
        <fgColor rgb="FFB4D7FF"/>
      </patternFill>
    </fill>
    <fill>
      <patternFill patternType="solid">
        <fgColor rgb="FF2E5090"/>
      </patternFill>
    </fill>
    <fill>
      <patternFill patternType="solid">
        <fgColor rgb="FFFF8C00"/>
      </patternFill>
    </fill>
    <fill>
      <patternFill patternType="solid">
        <fgColor rgb="FF20B2AA"/>
      </patternFill>
    </fill>
    <fill>
      <patternFill patternType="solid">
        <fgColor rgb="FFB0E0E6"/>
      </patternFill>
    </fill>
    <fill>
      <patternFill patternType="solid">
        <fgColor rgb="FFFFFACD"/>
      </patternFill>
    </fill>
  </fills>
  <borders count="4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1">
      <alignment horizontal="general" vertical="top"/>
    </xf>
  </cellStyleXfs>
  <cellXfs count="72">
    <xf numFmtId="0" fontId="0" fillId="0" borderId="1" xfId="0">
      <alignment vertical="top"/>
    </xf>
    <xf numFmtId="0" fontId="1" fillId="2" borderId="0" xfId="0">
      <alignment horizontal="center" vertical="center"/>
    </xf>
    <xf numFmtId="0" fontId="2" fillId="3" borderId="0" xfId="0">
      <alignment horizontal="center" vertical="center"/>
    </xf>
    <xf numFmtId="0" fontId="3" fillId="0" borderId="2" xfId="0">
      <alignment vertical="top"/>
    </xf>
    <xf numFmtId="49" fontId="3" fillId="0" borderId="2" xfId="0">
      <alignment vertical="top"/>
    </xf>
    <xf numFmtId="10" fontId="3" fillId="0" borderId="2" xfId="0">
      <alignment vertical="top"/>
    </xf>
    <xf numFmtId="0" fontId="4" fillId="4" borderId="2" xfId="0">
      <alignment horizontal="center" vertical="center"/>
    </xf>
    <xf numFmtId="3" fontId="3" fillId="0" borderId="2" xfId="0">
      <alignment vertical="top"/>
    </xf>
    <xf numFmtId="0" fontId="4" fillId="0" borderId="2" xfId="0">
      <alignment vertical="top"/>
    </xf>
    <xf numFmtId="3" fontId="4" fillId="0" borderId="2" xfId="0">
      <alignment vertical="top"/>
    </xf>
    <xf numFmtId="611" fontId="3" fillId="0" borderId="2" xfId="0">
      <alignment vertical="top"/>
    </xf>
    <xf numFmtId="0" fontId="4" fillId="5" borderId="2" xfId="0">
      <alignment horizontal="center" vertical="center"/>
    </xf>
    <xf numFmtId="0" fontId="4" fillId="5" borderId="2" xfId="0">
      <alignment vertical="top"/>
    </xf>
    <xf numFmtId="616" fontId="4" fillId="5" borderId="2" xfId="0">
      <alignment vertical="top"/>
    </xf>
    <xf numFmtId="0" fontId="5" fillId="6" borderId="0" xfId="0">
      <alignment horizontal="center" vertical="center"/>
    </xf>
    <xf numFmtId="0" fontId="6" fillId="7" borderId="0" xfId="0">
      <alignment horizontal="center" vertical="center"/>
    </xf>
    <xf numFmtId="49" fontId="3" fillId="0" borderId="0" xfId="0">
      <alignment vertical="top"/>
    </xf>
    <xf numFmtId="10" fontId="3" fillId="0" borderId="0" xfId="0">
      <alignment vertical="top"/>
    </xf>
    <xf numFmtId="0" fontId="6" fillId="4" borderId="0" xfId="0">
      <alignment horizontal="center" vertical="top"/>
    </xf>
    <xf numFmtId="0" fontId="7" fillId="4" borderId="0" xfId="0">
      <alignment horizontal="center" vertical="center"/>
    </xf>
    <xf numFmtId="0" fontId="7" fillId="5" borderId="2" xfId="0">
      <alignment vertical="top"/>
    </xf>
    <xf numFmtId="3" fontId="7" fillId="5" borderId="2" xfId="0">
      <alignment vertical="top"/>
    </xf>
    <xf numFmtId="0" fontId="7" fillId="0" borderId="2" xfId="0">
      <alignment vertical="top"/>
    </xf>
    <xf numFmtId="0" fontId="6" fillId="7" borderId="0" xfId="0">
      <alignment horizontal="center" vertical="top"/>
    </xf>
    <xf numFmtId="3" fontId="7" fillId="0" borderId="2" xfId="0">
      <alignment vertical="top"/>
    </xf>
    <xf numFmtId="0" fontId="7" fillId="7" borderId="2" xfId="0">
      <alignment vertical="top"/>
    </xf>
    <xf numFmtId="4" fontId="7" fillId="7" borderId="2" xfId="0">
      <alignment vertical="top"/>
    </xf>
    <xf numFmtId="0" fontId="6" fillId="8" borderId="0" xfId="0">
      <alignment horizontal="center" vertical="top"/>
    </xf>
    <xf numFmtId="4" fontId="3" fillId="0" borderId="2" xfId="0">
      <alignment vertical="top"/>
    </xf>
    <xf numFmtId="0" fontId="5" fillId="9" borderId="0" xfId="0">
      <alignment horizontal="center" vertical="center"/>
    </xf>
    <xf numFmtId="0" fontId="6" fillId="10" borderId="0" xfId="0">
      <alignment horizontal="center" vertical="center"/>
    </xf>
    <xf numFmtId="0" fontId="7" fillId="11" borderId="0" xfId="0">
      <alignment horizontal="center" vertical="top"/>
    </xf>
    <xf numFmtId="0" fontId="7" fillId="12" borderId="2" xfId="0">
      <alignment horizontal="center" vertical="center"/>
    </xf>
    <xf numFmtId="0" fontId="7" fillId="10" borderId="2" xfId="0">
      <alignment horizontal="center" vertical="top"/>
    </xf>
    <xf numFmtId="4" fontId="7" fillId="10" borderId="2" xfId="0">
      <alignment vertical="top"/>
    </xf>
    <xf numFmtId="0" fontId="7" fillId="13" borderId="2" xfId="0">
      <alignment horizontal="center" vertical="top"/>
    </xf>
    <xf numFmtId="627" fontId="3" fillId="0" borderId="2" xfId="0">
      <alignment vertical="top"/>
    </xf>
    <xf numFmtId="0" fontId="5" fillId="14" borderId="0" xfId="0">
      <alignment horizontal="center" vertical="center"/>
    </xf>
    <xf numFmtId="0" fontId="7" fillId="15" borderId="0" xfId="0">
      <alignment horizontal="center" vertical="center"/>
    </xf>
    <xf numFmtId="0" fontId="7" fillId="12" borderId="0" xfId="0">
      <alignment vertical="center"/>
    </xf>
    <xf numFmtId="0" fontId="8" fillId="16" borderId="0" xfId="0">
      <alignment horizontal="center" vertical="top"/>
    </xf>
    <xf numFmtId="628" fontId="3" fillId="0" borderId="2" xfId="0">
      <alignment vertical="top"/>
    </xf>
    <xf numFmtId="0" fontId="7" fillId="17" borderId="2" xfId="0">
      <alignment vertical="top"/>
    </xf>
    <xf numFmtId="0" fontId="7" fillId="15" borderId="0" xfId="0">
      <alignment horizontal="center" vertical="top"/>
    </xf>
    <xf numFmtId="0" fontId="7" fillId="15" borderId="2" xfId="0">
      <alignment vertical="top"/>
    </xf>
    <xf numFmtId="0" fontId="7" fillId="18" borderId="0" xfId="0">
      <alignment horizontal="center" vertical="top"/>
    </xf>
    <xf numFmtId="0" fontId="9" fillId="19" borderId="0" xfId="0">
      <alignment horizontal="center" vertical="center"/>
    </xf>
    <xf numFmtId="0" fontId="10" fillId="20" borderId="0" xfId="0">
      <alignment horizontal="center" vertical="center"/>
    </xf>
    <xf numFmtId="0" fontId="6" fillId="12" borderId="0" xfId="0">
      <alignment horizontal="center" vertical="top"/>
    </xf>
    <xf numFmtId="0" fontId="3" fillId="0" borderId="0" xfId="0">
      <alignment horizontal="center" vertical="top"/>
    </xf>
    <xf numFmtId="0" fontId="6" fillId="0" borderId="0" xfId="0">
      <alignment horizontal="center" vertical="top"/>
    </xf>
    <xf numFmtId="0" fontId="6" fillId="21" borderId="0" xfId="0">
      <alignment horizontal="center" vertical="top"/>
    </xf>
    <xf numFmtId="0" fontId="6" fillId="0" borderId="0" xfId="0">
      <alignment vertical="top"/>
    </xf>
    <xf numFmtId="0" fontId="11" fillId="22" borderId="0" xfId="0">
      <alignment horizontal="center" vertical="center"/>
    </xf>
    <xf numFmtId="0" fontId="12" fillId="0" borderId="0" xfId="0">
      <alignment horizontal="center" vertical="top"/>
    </xf>
    <xf numFmtId="0" fontId="3" fillId="0" borderId="2" xfId="0">
      <alignment horizontal="left" vertical="top" indent="1"/>
    </xf>
    <xf numFmtId="636" fontId="3" fillId="0" borderId="2" xfId="0">
      <alignment vertical="top"/>
    </xf>
    <xf numFmtId="0" fontId="7" fillId="5" borderId="3" xfId="0">
      <alignment vertical="top"/>
    </xf>
    <xf numFmtId="636" fontId="3" fillId="0" borderId="3" xfId="0">
      <alignment vertical="top"/>
    </xf>
    <xf numFmtId="0" fontId="3" fillId="0" borderId="3" xfId="0">
      <alignment vertical="top"/>
    </xf>
    <xf numFmtId="0" fontId="7" fillId="0" borderId="3" xfId="0">
      <alignment vertical="top"/>
    </xf>
    <xf numFmtId="0" fontId="7" fillId="21" borderId="3" xfId="0">
      <alignment vertical="top"/>
    </xf>
    <xf numFmtId="0" fontId="7" fillId="7" borderId="3" xfId="0">
      <alignment vertical="top"/>
    </xf>
    <xf numFmtId="0" fontId="11" fillId="23" borderId="2" xfId="0">
      <alignment horizontal="center" vertical="center"/>
    </xf>
    <xf numFmtId="0" fontId="7" fillId="11" borderId="2" xfId="0">
      <alignment horizontal="left" vertical="center"/>
    </xf>
    <xf numFmtId="0" fontId="13" fillId="0" borderId="2" xfId="0">
      <alignment horizontal="left" vertical="center"/>
    </xf>
    <xf numFmtId="0" fontId="11" fillId="24" borderId="2" xfId="0">
      <alignment horizontal="center" vertical="center"/>
    </xf>
    <xf numFmtId="0" fontId="7" fillId="25" borderId="2" xfId="0">
      <alignment horizontal="left" vertical="center"/>
    </xf>
    <xf numFmtId="0" fontId="7" fillId="0" borderId="2" xfId="0">
      <alignment horizontal="left" vertical="center"/>
    </xf>
    <xf numFmtId="0" fontId="5" fillId="13" borderId="2" xfId="0">
      <alignment horizontal="center" vertical="center"/>
    </xf>
    <xf numFmtId="0" fontId="14" fillId="26" borderId="2" xfId="0">
      <alignment horizontal="left" vertical="center"/>
    </xf>
    <xf numFmtId="0" fontId="12" fillId="11" borderId="2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theme" Target="theme/theme1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2936EE8-DF75-DB8B-6E16-AEBDFC7F09A8}" mc:Ignorable="x14ac xr xr2 xr3">
  <dimension ref="A1:GR1000"/>
  <sheetViews>
    <sheetView topLeftCell="A1" workbookViewId="0">
      <selection activeCell="A1" sqref="A1:F1"/>
    </sheetView>
  </sheetViews>
  <sheetFormatPr defaultRowHeight="15" defaultColWidth="8.8515625" customHeight="1"/>
  <cols>
    <col min="1" max="1" width="28.57421875" customWidth="1"/>
    <col min="2" max="6" width="14.28125" customWidth="1"/>
    <col min="7" max="8" width="15.7109375" customWidth="1"/>
  </cols>
  <sheetData>
    <row r="1" ht="21.75" customHeight="1">
      <c r="A1" s="1" t="s">
        <v>0</v>
      </c>
    </row>
    <row r="2" ht="17.25" customHeight="1">
      <c r="A2" s="2" t="s">
        <v>1</v>
      </c>
    </row>
    <row r="4" ht="15" customHeight="1">
      <c r="A4" s="3" t="s">
        <v>2</v>
      </c>
      <c r="B4" s="4" t="s">
        <v>3</v>
      </c>
      <c r="C4" s="3"/>
      <c r="D4" s="3" t="s">
        <v>4</v>
      </c>
      <c r="E4" s="5">
        <v>0.365</v>
      </c>
    </row>
    <row r="5" ht="15" customHeight="1">
      <c r="A5" s="3" t="s">
        <v>5</v>
      </c>
      <c r="B5" s="4" t="s">
        <v>6</v>
      </c>
      <c r="C5" s="3"/>
      <c r="D5" s="3" t="s">
        <v>7</v>
      </c>
      <c r="E5" s="5">
        <v>0.01</v>
      </c>
    </row>
    <row r="7" ht="15" customHeight="1">
      <c r="A7" s="6" t="s">
        <v>8</v>
      </c>
      <c r="B7" s="6">
        <v>2026</v>
      </c>
      <c r="C7" s="6">
        <v>2027</v>
      </c>
      <c r="D7" s="6">
        <v>2028</v>
      </c>
      <c r="E7" s="6">
        <v>2029</v>
      </c>
      <c r="F7" s="6">
        <v>2030</v>
      </c>
      <c r="G7" s="6" t="s">
        <v>9</v>
      </c>
      <c r="H7" s="6" t="s">
        <v>10</v>
      </c>
    </row>
    <row r="8" ht="15" customHeight="1">
      <c r="A8" s="3" t="s">
        <v>11</v>
      </c>
      <c r="B8" s="7">
        <v>1270000</v>
      </c>
      <c r="C8" s="7">
        <v>970000</v>
      </c>
      <c r="D8" s="7">
        <v>1776000</v>
      </c>
      <c r="E8" s="7">
        <v>1646000</v>
      </c>
      <c r="F8" s="7">
        <v>2386000</v>
      </c>
      <c r="G8" s="3"/>
      <c r="H8" s="3"/>
    </row>
    <row r="9" ht="15" customHeight="1">
      <c r="A9" s="3" t="s">
        <v>12</v>
      </c>
      <c r="B9" s="7">
        <f t="shared" si="0" ref="B9:F9">B8*0.2</f>
        <v>254000</v>
      </c>
      <c r="C9" s="7">
        <f t="shared" si="0"/>
        <v>194000</v>
      </c>
      <c r="D9" s="7">
        <f t="shared" si="0"/>
        <v>355200</v>
      </c>
      <c r="E9" s="7">
        <f t="shared" si="0"/>
        <v>329200</v>
      </c>
      <c r="F9" s="7">
        <f t="shared" si="0"/>
        <v>477200</v>
      </c>
      <c r="G9" s="3"/>
      <c r="H9" s="3"/>
    </row>
    <row r="10" ht="15" customHeight="1">
      <c r="A10" s="3" t="s">
        <v>13</v>
      </c>
      <c r="B10" s="7">
        <f t="shared" si="1" ref="B10:F10">B8-B9</f>
        <v>1016000</v>
      </c>
      <c r="C10" s="7">
        <f t="shared" si="1"/>
        <v>776000</v>
      </c>
      <c r="D10" s="7">
        <f t="shared" si="1"/>
        <v>1420800</v>
      </c>
      <c r="E10" s="7">
        <f t="shared" si="1"/>
        <v>1316800</v>
      </c>
      <c r="F10" s="7">
        <f t="shared" si="1"/>
        <v>1908800</v>
      </c>
      <c r="G10" s="3"/>
      <c r="H10" s="3"/>
    </row>
    <row r="11" ht="15" customHeight="1">
      <c r="A11" s="8" t="s">
        <v>14</v>
      </c>
      <c r="B11" s="9">
        <f t="shared" si="2" ref="B11:F11">B10</f>
        <v>1016000</v>
      </c>
      <c r="C11" s="9">
        <f t="shared" si="2"/>
        <v>776000</v>
      </c>
      <c r="D11" s="9">
        <f t="shared" si="2"/>
        <v>1420800</v>
      </c>
      <c r="E11" s="9">
        <f t="shared" si="2"/>
        <v>1316800</v>
      </c>
      <c r="F11" s="9">
        <f t="shared" si="2"/>
        <v>1908800</v>
      </c>
      <c r="G11" s="3"/>
      <c r="H11" s="3"/>
    </row>
    <row r="12" ht="15" customHeight="1">
      <c r="A12" s="3" t="s">
        <v>15</v>
      </c>
      <c r="B12" s="10">
        <f>1/(1+$E$4)^1</f>
        <v>0.732600732600733</v>
      </c>
      <c r="C12" s="10">
        <f>1/(1+$E$4)^2</f>
        <v>0.53670383340713</v>
      </c>
      <c r="D12" s="10">
        <f>1/(1+$E$4)^3</f>
        <v>0.393189621543685</v>
      </c>
      <c r="E12" s="10">
        <f>1/(1+$E$4)^4</f>
        <v>0.288051004793908</v>
      </c>
      <c r="F12" s="10">
        <f>1/(1+$E$4)^5</f>
        <v>0.211026377138395</v>
      </c>
      <c r="G12" s="3"/>
      <c r="H12" s="3"/>
    </row>
    <row r="13" ht="15" customHeight="1">
      <c r="A13" s="3" t="s">
        <v>16</v>
      </c>
      <c r="B13" s="7">
        <f t="shared" si="3" ref="B13:F13">B11*B12</f>
        <v>744322.344322345</v>
      </c>
      <c r="C13" s="7">
        <f t="shared" si="3"/>
        <v>416482.174723933</v>
      </c>
      <c r="D13" s="7">
        <f t="shared" si="3"/>
        <v>558643.814289268</v>
      </c>
      <c r="E13" s="7">
        <f t="shared" si="3"/>
        <v>379305.563112618</v>
      </c>
      <c r="F13" s="7">
        <f t="shared" si="3"/>
        <v>402807.148681768</v>
      </c>
      <c r="G13" s="3"/>
      <c r="H13" s="7">
        <f>SUM(B13:F13)</f>
        <v>2501561.04512993</v>
      </c>
    </row>
    <row r="14" ht="15" customHeight="1">
      <c r="A14" s="3" t="s">
        <v>17</v>
      </c>
      <c r="B14" s="3"/>
      <c r="C14" s="3"/>
      <c r="D14" s="3"/>
      <c r="E14" s="3"/>
      <c r="F14" s="3"/>
      <c r="G14" s="7">
        <f>F11*(1+$E$5)/($E$4-$E$5)*F12</f>
        <v>1146014.70470024</v>
      </c>
      <c r="H14" s="7">
        <f>G14</f>
        <v>1146014.70470024</v>
      </c>
    </row>
    <row r="16" ht="15.75" customHeight="1">
      <c r="A16" s="11" t="s">
        <v>18</v>
      </c>
      <c r="B16" s="3"/>
      <c r="C16" s="3"/>
    </row>
    <row r="17" ht="15" customHeight="1">
      <c r="A17" s="3" t="s">
        <v>19</v>
      </c>
      <c r="B17" s="3"/>
      <c r="C17" s="7">
        <f t="shared" si="4" ref="C17:C18">H13</f>
        <v>2501561.04512993</v>
      </c>
    </row>
    <row r="18" ht="15" customHeight="1">
      <c r="A18" s="3" t="s">
        <v>20</v>
      </c>
      <c r="B18" s="3"/>
      <c r="C18" s="7">
        <f t="shared" si="4"/>
        <v>1146014.70470024</v>
      </c>
    </row>
    <row r="19" ht="15" customHeight="1">
      <c r="A19" s="8" t="s">
        <v>21</v>
      </c>
      <c r="B19" s="3"/>
      <c r="C19" s="9">
        <f>C17+C18</f>
        <v>3647575.74983017</v>
      </c>
    </row>
    <row r="20" ht="15" customHeight="1">
      <c r="A20" s="12" t="s">
        <v>22</v>
      </c>
      <c r="B20" s="3"/>
      <c r="C20" s="13">
        <f>C19/100000</f>
        <v>36.4757574983017</v>
      </c>
    </row>
  </sheetData>
  <mergeCells>
    <mergeCell ref="A1:F1"/>
    <mergeCell ref="A2:F2"/>
    <mergeCell ref="A16:C16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64235DE-DF43-5F14-3AC8-69256FC8DDC8}" mc:Ignorable="x14ac xr xr2 xr3">
  <dimension ref="A1:GR1000"/>
  <sheetViews>
    <sheetView topLeftCell="A1" workbookViewId="0">
      <selection activeCell="A1" sqref="A1:F1"/>
    </sheetView>
  </sheetViews>
  <sheetFormatPr defaultRowHeight="15" defaultColWidth="8.8515625" customHeight="1"/>
  <cols>
    <col min="1" max="1" width="31.421875" customWidth="1"/>
    <col min="2" max="6" width="14.28125" customWidth="1"/>
    <col min="7" max="8" width="15.7109375" customWidth="1"/>
  </cols>
  <sheetData>
    <row r="1" ht="21.75" customHeight="1">
      <c r="A1" s="14" t="s">
        <v>23</v>
      </c>
    </row>
    <row r="2" ht="17.25" customHeight="1">
      <c r="A2" s="15" t="s">
        <v>24</v>
      </c>
    </row>
    <row r="4" ht="15" customHeight="1">
      <c r="A4" t="s">
        <v>2</v>
      </c>
      <c r="B4" s="16" t="s">
        <v>3</v>
      </c>
      <c r="D4" t="s">
        <v>4</v>
      </c>
      <c r="E4" s="17">
        <v>0.365</v>
      </c>
    </row>
    <row r="5" ht="15" customHeight="1">
      <c r="A5" t="s">
        <v>5</v>
      </c>
      <c r="B5" t="s">
        <v>6</v>
      </c>
      <c r="D5" t="s">
        <v>7</v>
      </c>
      <c r="E5" s="17">
        <v>0.01</v>
      </c>
    </row>
    <row r="7" ht="17.25" customHeight="1">
      <c r="A7" s="18" t="s">
        <v>25</v>
      </c>
    </row>
    <row r="8" ht="15" customHeight="1">
      <c r="A8" t="s">
        <v>26</v>
      </c>
    </row>
    <row r="9" ht="15" customHeight="1">
      <c r="A9" t="s">
        <v>27</v>
      </c>
    </row>
    <row r="10" ht="15" customHeight="1">
      <c r="A10" t="s">
        <v>28</v>
      </c>
    </row>
    <row r="12" ht="15.75" customHeight="1">
      <c r="A12" s="19" t="s">
        <v>8</v>
      </c>
      <c r="B12" s="19">
        <v>2026</v>
      </c>
      <c r="C12" s="19">
        <v>2027</v>
      </c>
      <c r="D12" s="19">
        <v>2028</v>
      </c>
      <c r="E12" s="19">
        <v>2029</v>
      </c>
      <c r="F12" s="19">
        <v>2030</v>
      </c>
      <c r="G12" s="19" t="s">
        <v>9</v>
      </c>
      <c r="H12" s="19" t="s">
        <v>10</v>
      </c>
    </row>
    <row r="13" ht="15" customHeight="1">
      <c r="A13" s="3" t="s">
        <v>29</v>
      </c>
      <c r="B13" s="7">
        <v>1270000</v>
      </c>
      <c r="C13" s="7">
        <v>970000</v>
      </c>
      <c r="D13" s="7">
        <v>1776000</v>
      </c>
      <c r="E13" s="7">
        <v>1646000</v>
      </c>
      <c r="F13" s="7">
        <v>2386000</v>
      </c>
      <c r="G13" s="3"/>
      <c r="H13" s="3"/>
    </row>
    <row r="14" ht="15" customHeight="1">
      <c r="A14" s="3" t="s">
        <v>30</v>
      </c>
      <c r="B14" s="5">
        <v>0.08</v>
      </c>
      <c r="C14" s="5">
        <v>0.08</v>
      </c>
      <c r="D14" s="5">
        <v>0.1</v>
      </c>
      <c r="E14" s="5">
        <v>0.1</v>
      </c>
      <c r="F14" s="5">
        <v>0.1</v>
      </c>
      <c r="G14" s="3"/>
      <c r="H14" s="3"/>
    </row>
    <row r="15" ht="15" customHeight="1">
      <c r="A15" s="3" t="s">
        <v>31</v>
      </c>
      <c r="B15" s="7">
        <f t="shared" si="0" ref="B15:F22">B13*B14</f>
        <v>101600</v>
      </c>
      <c r="C15" s="7">
        <f t="shared" si="0"/>
        <v>77600</v>
      </c>
      <c r="D15" s="7">
        <f t="shared" si="0"/>
        <v>177600</v>
      </c>
      <c r="E15" s="7">
        <f t="shared" si="0"/>
        <v>164600</v>
      </c>
      <c r="F15" s="7">
        <f t="shared" si="0"/>
        <v>238600</v>
      </c>
      <c r="G15" s="3"/>
      <c r="H15" s="3"/>
    </row>
    <row r="16" ht="15" customHeight="1">
      <c r="A16" s="20" t="s">
        <v>32</v>
      </c>
      <c r="B16" s="21">
        <f t="shared" si="1" ref="B16:F19">B13-B15</f>
        <v>1168400</v>
      </c>
      <c r="C16" s="21">
        <f t="shared" si="1"/>
        <v>892400</v>
      </c>
      <c r="D16" s="21">
        <f t="shared" si="1"/>
        <v>1598400</v>
      </c>
      <c r="E16" s="21">
        <f t="shared" si="1"/>
        <v>1481400</v>
      </c>
      <c r="F16" s="21">
        <f t="shared" si="1"/>
        <v>2147400</v>
      </c>
      <c r="G16" s="3"/>
      <c r="H16" s="3"/>
    </row>
    <row r="17" ht="15" customHeight="1">
      <c r="A17" s="3"/>
      <c r="B17" s="3"/>
      <c r="C17" s="3"/>
      <c r="D17" s="3"/>
      <c r="E17" s="3"/>
      <c r="F17" s="3"/>
      <c r="G17" s="3"/>
      <c r="H17" s="3"/>
    </row>
    <row r="18" ht="15" customHeight="1">
      <c r="A18" s="3" t="s">
        <v>12</v>
      </c>
      <c r="B18" s="7">
        <f t="shared" si="2" ref="B18:F18">B16*0.2</f>
        <v>233680</v>
      </c>
      <c r="C18" s="7">
        <f t="shared" si="2"/>
        <v>178480</v>
      </c>
      <c r="D18" s="7">
        <f t="shared" si="2"/>
        <v>319680</v>
      </c>
      <c r="E18" s="7">
        <f t="shared" si="2"/>
        <v>296280</v>
      </c>
      <c r="F18" s="7">
        <f t="shared" si="2"/>
        <v>429480</v>
      </c>
      <c r="G18" s="3"/>
      <c r="H18" s="3"/>
    </row>
    <row r="19" ht="15" customHeight="1">
      <c r="A19" s="3" t="s">
        <v>13</v>
      </c>
      <c r="B19" s="7">
        <f t="shared" si="1"/>
        <v>934720</v>
      </c>
      <c r="C19" s="7">
        <f t="shared" si="1"/>
        <v>713920</v>
      </c>
      <c r="D19" s="7">
        <f t="shared" si="1"/>
        <v>1278720</v>
      </c>
      <c r="E19" s="7">
        <f t="shared" si="1"/>
        <v>1185120</v>
      </c>
      <c r="F19" s="7">
        <f t="shared" si="1"/>
        <v>1717920</v>
      </c>
      <c r="G19" s="3"/>
      <c r="H19" s="3"/>
    </row>
    <row r="20" ht="15" customHeight="1">
      <c r="A20" s="22" t="s">
        <v>14</v>
      </c>
      <c r="B20" s="7">
        <f t="shared" si="3" ref="B20:F20">B19</f>
        <v>934720</v>
      </c>
      <c r="C20" s="7">
        <f t="shared" si="3"/>
        <v>713920</v>
      </c>
      <c r="D20" s="7">
        <f t="shared" si="3"/>
        <v>1278720</v>
      </c>
      <c r="E20" s="7">
        <f t="shared" si="3"/>
        <v>1185120</v>
      </c>
      <c r="F20" s="7">
        <f t="shared" si="3"/>
        <v>1717920</v>
      </c>
      <c r="G20" s="3"/>
      <c r="H20" s="3"/>
    </row>
    <row r="21" ht="15" customHeight="1">
      <c r="A21" s="3" t="s">
        <v>15</v>
      </c>
      <c r="B21" s="10">
        <f>1/(1+$E$4)^1</f>
        <v>0.732600732600733</v>
      </c>
      <c r="C21" s="10">
        <f>1/(1+$E$4)^2</f>
        <v>0.53670383340713</v>
      </c>
      <c r="D21" s="10">
        <f>1/(1+$E$4)^3</f>
        <v>0.393189621543685</v>
      </c>
      <c r="E21" s="10">
        <f>1/(1+$E$4)^4</f>
        <v>0.288051004793908</v>
      </c>
      <c r="F21" s="10">
        <f>1/(1+$E$4)^5</f>
        <v>0.211026377138395</v>
      </c>
      <c r="G21" s="3"/>
      <c r="H21" s="3"/>
    </row>
    <row r="22" ht="15" customHeight="1">
      <c r="A22" s="3" t="s">
        <v>16</v>
      </c>
      <c r="B22" s="7">
        <f t="shared" si="0"/>
        <v>684776.556776557</v>
      </c>
      <c r="C22" s="7">
        <f t="shared" si="0"/>
        <v>383163.600746018</v>
      </c>
      <c r="D22" s="7">
        <f t="shared" si="0"/>
        <v>502779.432860341</v>
      </c>
      <c r="E22" s="7">
        <f t="shared" si="0"/>
        <v>341375.006801356</v>
      </c>
      <c r="F22" s="7">
        <f t="shared" si="0"/>
        <v>362526.433813592</v>
      </c>
      <c r="G22" s="3"/>
      <c r="H22" s="7">
        <f>SUM(B22:F22)</f>
        <v>2274621.03099786</v>
      </c>
    </row>
    <row r="23" ht="15" customHeight="1">
      <c r="A23" s="3" t="s">
        <v>17</v>
      </c>
      <c r="B23" s="3"/>
      <c r="C23" s="3"/>
      <c r="D23" s="3"/>
      <c r="E23" s="3"/>
      <c r="F23" s="3"/>
      <c r="G23" s="7">
        <f>F20*(1+$E$5)/($E$4-$E$5)*F21</f>
        <v>1031413.23423022</v>
      </c>
      <c r="H23" s="7">
        <f>G23</f>
        <v>1031413.23423022</v>
      </c>
    </row>
    <row r="25" ht="17.25" customHeight="1">
      <c r="A25" s="23" t="s">
        <v>18</v>
      </c>
    </row>
    <row r="26" ht="15" customHeight="1">
      <c r="A26" s="3" t="s">
        <v>19</v>
      </c>
      <c r="C26" s="7">
        <f t="shared" si="4" ref="C26:C27">H22</f>
        <v>2274621.03099786</v>
      </c>
    </row>
    <row r="27" ht="15" customHeight="1">
      <c r="A27" s="3" t="s">
        <v>20</v>
      </c>
      <c r="C27" s="7">
        <f t="shared" si="4"/>
        <v>1031413.23423022</v>
      </c>
    </row>
    <row r="28" ht="15" customHeight="1">
      <c r="A28" s="22" t="s">
        <v>21</v>
      </c>
      <c r="C28" s="24">
        <f>C26+C27</f>
        <v>3306034.26522808</v>
      </c>
    </row>
    <row r="29" ht="15" customHeight="1">
      <c r="A29" s="25" t="s">
        <v>22</v>
      </c>
      <c r="C29" s="26">
        <f>C28/100000</f>
        <v>33.0603426522808</v>
      </c>
    </row>
    <row r="31" ht="17.25" customHeight="1">
      <c r="A31" s="27" t="s">
        <v>33</v>
      </c>
    </row>
    <row r="32" ht="15" customHeight="1">
      <c r="A32" s="3" t="s">
        <v>34</v>
      </c>
      <c r="C32" s="28">
        <v>33</v>
      </c>
    </row>
    <row r="33" ht="15" customHeight="1">
      <c r="A33" s="3" t="s">
        <v>35</v>
      </c>
      <c r="C33" s="28">
        <f>C29</f>
        <v>33.0603426522808</v>
      </c>
    </row>
    <row r="34" ht="15" customHeight="1">
      <c r="A34" s="3" t="s">
        <v>36</v>
      </c>
      <c r="C34" s="28">
        <f>C33-C32</f>
        <v>0.0603426522808022</v>
      </c>
    </row>
  </sheetData>
  <mergeCells>
    <mergeCell ref="A1:F1"/>
    <mergeCell ref="A2:F2"/>
    <mergeCell ref="A7:F7"/>
    <mergeCell ref="A8:F8"/>
    <mergeCell ref="A9:F9"/>
    <mergeCell ref="A10:F10"/>
    <mergeCell ref="A25:C25"/>
    <mergeCell ref="A31:C3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DA3A598-0168-21E8-8DB8-149B76A39642}" mc:Ignorable="x14ac xr xr2 xr3">
  <dimension ref="A1:GR1000"/>
  <sheetViews>
    <sheetView topLeftCell="A16" workbookViewId="0">
      <selection activeCell="C28" sqref="C28"/>
    </sheetView>
  </sheetViews>
  <sheetFormatPr defaultRowHeight="15" defaultColWidth="8.8515625" customHeight="1"/>
  <cols>
    <col min="1" max="1" width="31.421875" customWidth="1"/>
    <col min="2" max="6" width="14.28125" customWidth="1"/>
    <col min="7" max="8" width="15.7109375" customWidth="1"/>
  </cols>
  <sheetData>
    <row r="1" ht="21.75" customHeight="1">
      <c r="A1" s="29" t="s">
        <v>37</v>
      </c>
    </row>
    <row r="2" ht="17.25" customHeight="1">
      <c r="A2" s="30" t="s">
        <v>38</v>
      </c>
    </row>
    <row r="4" ht="15" customHeight="1">
      <c r="A4" t="s">
        <v>2</v>
      </c>
      <c r="B4" t="s">
        <v>3</v>
      </c>
      <c r="D4" t="s">
        <v>39</v>
      </c>
      <c r="E4" s="17">
        <v>0.39571289062500004</v>
      </c>
    </row>
    <row r="5" ht="15" customHeight="1">
      <c r="A5" t="s">
        <v>5</v>
      </c>
      <c r="B5" t="s">
        <v>6</v>
      </c>
      <c r="D5" t="s">
        <v>7</v>
      </c>
      <c r="E5" s="17">
        <v>0.01</v>
      </c>
    </row>
    <row r="7" ht="15.75" customHeight="1">
      <c r="A7" s="31" t="s">
        <v>25</v>
      </c>
    </row>
    <row r="8" ht="15" customHeight="1">
      <c r="A8" t="s">
        <v>40</v>
      </c>
    </row>
    <row r="9" ht="15" customHeight="1">
      <c r="A9" t="s">
        <v>41</v>
      </c>
    </row>
    <row r="10" ht="15" customHeight="1">
      <c r="A10" t="s">
        <v>42</v>
      </c>
    </row>
    <row r="12" ht="15.75" customHeight="1">
      <c r="A12" s="32" t="s">
        <v>8</v>
      </c>
      <c r="B12" s="32">
        <v>2026</v>
      </c>
      <c r="C12" s="32">
        <v>2027</v>
      </c>
      <c r="D12" s="32">
        <v>2028</v>
      </c>
      <c r="E12" s="32">
        <v>2029</v>
      </c>
      <c r="F12" s="32">
        <v>2030</v>
      </c>
      <c r="G12" s="32" t="s">
        <v>9</v>
      </c>
      <c r="H12" s="32" t="s">
        <v>10</v>
      </c>
    </row>
    <row r="13" ht="15" customHeight="1">
      <c r="A13" s="3" t="s">
        <v>11</v>
      </c>
      <c r="B13" s="7">
        <v>1270000</v>
      </c>
      <c r="C13" s="7">
        <v>970000</v>
      </c>
      <c r="D13" s="7">
        <v>1776000</v>
      </c>
      <c r="E13" s="7">
        <v>1646000</v>
      </c>
      <c r="F13" s="7">
        <v>2386000</v>
      </c>
      <c r="G13" s="3"/>
      <c r="H13" s="3"/>
    </row>
    <row r="14" ht="15" customHeight="1">
      <c r="A14" s="3" t="s">
        <v>12</v>
      </c>
      <c r="B14" s="7">
        <f t="shared" si="0" ref="B14:F14">B13*0.2</f>
        <v>254000</v>
      </c>
      <c r="C14" s="7">
        <f t="shared" si="0"/>
        <v>194000</v>
      </c>
      <c r="D14" s="7">
        <f t="shared" si="0"/>
        <v>355200</v>
      </c>
      <c r="E14" s="7">
        <f t="shared" si="0"/>
        <v>329200</v>
      </c>
      <c r="F14" s="7">
        <f t="shared" si="0"/>
        <v>477200</v>
      </c>
      <c r="G14" s="3"/>
      <c r="H14" s="3"/>
    </row>
    <row r="15" ht="15" customHeight="1">
      <c r="A15" s="3" t="s">
        <v>13</v>
      </c>
      <c r="B15" s="7">
        <f t="shared" si="1" ref="B15:F15">B13-B14</f>
        <v>1016000</v>
      </c>
      <c r="C15" s="7">
        <f t="shared" si="1"/>
        <v>776000</v>
      </c>
      <c r="D15" s="7">
        <f t="shared" si="1"/>
        <v>1420800</v>
      </c>
      <c r="E15" s="7">
        <f t="shared" si="1"/>
        <v>1316800</v>
      </c>
      <c r="F15" s="7">
        <f t="shared" si="1"/>
        <v>1908800</v>
      </c>
      <c r="G15" s="3"/>
      <c r="H15" s="3"/>
    </row>
    <row r="16" ht="15" customHeight="1">
      <c r="A16" s="22" t="s">
        <v>14</v>
      </c>
      <c r="B16" s="7">
        <f t="shared" si="2" ref="B16:F16">B15</f>
        <v>1016000</v>
      </c>
      <c r="C16" s="7">
        <f t="shared" si="2"/>
        <v>776000</v>
      </c>
      <c r="D16" s="7">
        <f t="shared" si="2"/>
        <v>1420800</v>
      </c>
      <c r="E16" s="7">
        <f t="shared" si="2"/>
        <v>1316800</v>
      </c>
      <c r="F16" s="7">
        <f t="shared" si="2"/>
        <v>1908800</v>
      </c>
      <c r="G16" s="3"/>
      <c r="H16" s="3"/>
    </row>
    <row r="17" ht="15" customHeight="1">
      <c r="A17" s="3" t="s">
        <v>15</v>
      </c>
      <c r="B17" s="10">
        <f>1/(1+$E$4)^1</f>
        <v>0.716479733559099</v>
      </c>
      <c r="C17" s="10">
        <f>1/(1+$E$4)^2</f>
        <v>0.513343208600918</v>
      </c>
      <c r="D17" s="10">
        <f>1/(1+$E$4)^3</f>
        <v>0.367800005322758</v>
      </c>
      <c r="E17" s="10">
        <f>1/(1+$E$4)^4</f>
        <v>0.263521249816685</v>
      </c>
      <c r="F17" s="10">
        <f>1/(1+$E$4)^5</f>
        <v>0.188807634855819</v>
      </c>
      <c r="G17" s="3"/>
      <c r="H17" s="3"/>
    </row>
    <row r="18" ht="15" customHeight="1">
      <c r="A18" s="3" t="s">
        <v>16</v>
      </c>
      <c r="B18" s="7">
        <f t="shared" si="3" ref="B18:F18">B16*B17</f>
        <v>727943.409296045</v>
      </c>
      <c r="C18" s="7">
        <f t="shared" si="3"/>
        <v>398354.329874312</v>
      </c>
      <c r="D18" s="7">
        <f t="shared" si="3"/>
        <v>522570.247562575</v>
      </c>
      <c r="E18" s="7">
        <f t="shared" si="3"/>
        <v>347004.781758611</v>
      </c>
      <c r="F18" s="7">
        <f t="shared" si="3"/>
        <v>360396.013412787</v>
      </c>
      <c r="G18" s="3"/>
      <c r="H18" s="7">
        <f>SUM(B18:F18)</f>
        <v>2356268.78190433</v>
      </c>
    </row>
    <row r="19" ht="15" customHeight="1">
      <c r="A19" s="3" t="s">
        <v>17</v>
      </c>
      <c r="B19" s="3"/>
      <c r="C19" s="3"/>
      <c r="D19" s="3"/>
      <c r="E19" s="3"/>
      <c r="F19" s="3"/>
      <c r="G19" s="7">
        <f>F16*(1+$E$5)/($E$4-$E$5)*F17</f>
        <v>943707.048413908</v>
      </c>
      <c r="H19" s="7">
        <f>G19</f>
        <v>943707.048413908</v>
      </c>
    </row>
    <row r="21" ht="15.75" customHeight="1">
      <c r="A21" s="33" t="s">
        <v>18</v>
      </c>
      <c r="B21" s="3"/>
      <c r="C21" s="3"/>
    </row>
    <row r="22" ht="15" customHeight="1">
      <c r="A22" s="3" t="s">
        <v>19</v>
      </c>
      <c r="B22" s="3"/>
      <c r="C22" s="7">
        <f t="shared" si="4" ref="C22:C23">H18</f>
        <v>2356268.78190433</v>
      </c>
    </row>
    <row r="23" ht="15" customHeight="1">
      <c r="A23" s="3" t="s">
        <v>20</v>
      </c>
      <c r="B23" s="3"/>
      <c r="C23" s="7">
        <f t="shared" si="4"/>
        <v>943707.048413908</v>
      </c>
    </row>
    <row r="24" ht="15" customHeight="1">
      <c r="A24" s="22" t="s">
        <v>21</v>
      </c>
      <c r="B24" s="3"/>
      <c r="C24" s="24">
        <f>C22+C23</f>
        <v>3299975.83031824</v>
      </c>
    </row>
    <row r="25" ht="15" customHeight="1">
      <c r="A25" s="22" t="s">
        <v>22</v>
      </c>
      <c r="B25" s="3"/>
      <c r="C25" s="34">
        <f>C24/100000</f>
        <v>32.9997583031824</v>
      </c>
    </row>
    <row r="27" ht="15.75" customHeight="1">
      <c r="A27" s="35" t="s">
        <v>43</v>
      </c>
      <c r="B27" s="3"/>
      <c r="C27" s="3"/>
    </row>
    <row r="28" ht="15" customHeight="1">
      <c r="A28" s="3" t="s">
        <v>44</v>
      </c>
      <c r="B28" s="3"/>
      <c r="C28" s="5">
        <v>0.365</v>
      </c>
    </row>
    <row r="29" ht="15" customHeight="1">
      <c r="A29" s="3" t="s">
        <v>45</v>
      </c>
      <c r="B29" s="3"/>
      <c r="C29" s="5">
        <f>E4</f>
        <v>0.395712890625</v>
      </c>
    </row>
    <row r="30" ht="15" customHeight="1">
      <c r="A30" s="3" t="s">
        <v>34</v>
      </c>
      <c r="B30" s="3"/>
      <c r="C30" s="36">
        <v>33</v>
      </c>
    </row>
    <row r="31" ht="15" customHeight="1">
      <c r="A31" s="3" t="s">
        <v>35</v>
      </c>
      <c r="B31" s="3"/>
      <c r="C31" s="28">
        <f>C25</f>
        <v>32.9997583031824</v>
      </c>
    </row>
    <row r="32" ht="15" customHeight="1">
      <c r="A32" s="3" t="s">
        <v>36</v>
      </c>
      <c r="B32" s="3"/>
      <c r="C32" s="28">
        <f>C31-C30</f>
        <v>-0.000241696817596448</v>
      </c>
    </row>
  </sheetData>
  <mergeCells>
    <mergeCell ref="A1:F1"/>
    <mergeCell ref="A2:F2"/>
    <mergeCell ref="A7:F7"/>
    <mergeCell ref="A8:F8"/>
    <mergeCell ref="A9:F9"/>
    <mergeCell ref="A10:F10"/>
    <mergeCell ref="A21:C21"/>
    <mergeCell ref="A27:C27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230B1F8-EBB8-A968-CF37-3B3F3C349B85}" mc:Ignorable="x14ac xr xr2 xr3">
  <dimension ref="A1:GR1000"/>
  <sheetViews>
    <sheetView topLeftCell="A16" workbookViewId="0">
      <selection activeCell="C28" sqref="C28"/>
    </sheetView>
  </sheetViews>
  <sheetFormatPr defaultRowHeight="15" defaultColWidth="8.8515625" customHeight="1"/>
  <cols>
    <col min="1" max="1" width="31.421875" customWidth="1"/>
    <col min="2" max="6" width="14.28125" customWidth="1"/>
    <col min="7" max="8" width="15.7109375" customWidth="1"/>
  </cols>
  <sheetData>
    <row r="1" ht="21.75" customHeight="1">
      <c r="A1" s="37" t="s">
        <v>46</v>
      </c>
    </row>
    <row r="2" ht="15.75" customHeight="1">
      <c r="A2" s="38" t="s">
        <v>47</v>
      </c>
    </row>
    <row r="4" ht="15" customHeight="1">
      <c r="A4" t="s">
        <v>2</v>
      </c>
      <c r="B4" s="16" t="s">
        <v>3</v>
      </c>
      <c r="D4" t="s">
        <v>4</v>
      </c>
      <c r="E4" s="17">
        <v>0.365</v>
      </c>
    </row>
    <row r="5" ht="15" customHeight="1">
      <c r="A5" t="s">
        <v>5</v>
      </c>
      <c r="B5" t="s">
        <v>6</v>
      </c>
      <c r="D5" t="s">
        <v>7</v>
      </c>
      <c r="E5" s="17">
        <v>0.01</v>
      </c>
    </row>
    <row r="7" ht="15" customHeight="1">
      <c r="A7" s="39" t="s">
        <v>25</v>
      </c>
    </row>
    <row r="8" ht="15" customHeight="1">
      <c r="A8" t="s">
        <v>48</v>
      </c>
    </row>
    <row r="9" ht="15" customHeight="1">
      <c r="A9" t="s">
        <v>49</v>
      </c>
    </row>
    <row r="10" ht="15" customHeight="1">
      <c r="A10" t="s">
        <v>50</v>
      </c>
    </row>
    <row r="12" ht="15" customHeight="1">
      <c r="A12" s="40" t="s">
        <v>8</v>
      </c>
      <c r="B12" s="40">
        <v>2026</v>
      </c>
      <c r="C12" s="40">
        <v>2027</v>
      </c>
      <c r="D12" s="40">
        <v>2028</v>
      </c>
      <c r="E12" s="40">
        <v>2029</v>
      </c>
      <c r="F12" s="40">
        <v>2030</v>
      </c>
      <c r="G12" s="40" t="s">
        <v>9</v>
      </c>
      <c r="H12" s="40" t="s">
        <v>10</v>
      </c>
    </row>
    <row r="13" ht="15" customHeight="1">
      <c r="A13" s="3" t="s">
        <v>29</v>
      </c>
      <c r="B13" s="7">
        <v>1270000</v>
      </c>
      <c r="C13" s="7">
        <v>970000</v>
      </c>
      <c r="D13" s="7">
        <v>1776000</v>
      </c>
      <c r="E13" s="7">
        <v>1646000</v>
      </c>
      <c r="F13" s="7">
        <v>2386000</v>
      </c>
      <c r="G13" s="3"/>
      <c r="H13" s="3"/>
    </row>
    <row r="14" ht="15" customHeight="1">
      <c r="A14" s="3" t="s">
        <v>51</v>
      </c>
      <c r="B14" s="5">
        <v>1</v>
      </c>
      <c r="C14" s="5">
        <v>1</v>
      </c>
      <c r="D14" s="41">
        <v>0.905</v>
      </c>
      <c r="E14" s="41">
        <v>0.905</v>
      </c>
      <c r="F14" s="41">
        <v>0.905</v>
      </c>
      <c r="G14" s="3"/>
      <c r="H14" s="3"/>
    </row>
    <row r="15" ht="15" customHeight="1">
      <c r="A15" s="42" t="s">
        <v>32</v>
      </c>
      <c r="B15" s="7">
        <f t="shared" si="0" ref="B15:F21">B13*B14</f>
        <v>1270000</v>
      </c>
      <c r="C15" s="7">
        <f t="shared" si="0"/>
        <v>970000</v>
      </c>
      <c r="D15" s="7">
        <f t="shared" si="0"/>
        <v>1607280</v>
      </c>
      <c r="E15" s="7">
        <f t="shared" si="0"/>
        <v>1489630</v>
      </c>
      <c r="F15" s="7">
        <f t="shared" si="0"/>
        <v>2159330</v>
      </c>
      <c r="G15" s="3"/>
      <c r="H15" s="3"/>
    </row>
    <row r="16" ht="15" customHeight="1">
      <c r="A16" s="3"/>
      <c r="B16" s="3"/>
      <c r="C16" s="3"/>
      <c r="D16" s="3"/>
      <c r="E16" s="3"/>
      <c r="F16" s="3"/>
      <c r="G16" s="3"/>
      <c r="H16" s="3"/>
    </row>
    <row r="17" ht="15" customHeight="1">
      <c r="A17" s="3" t="s">
        <v>12</v>
      </c>
      <c r="B17" s="7">
        <f t="shared" si="1" ref="B17:F17">B15*0.2</f>
        <v>254000</v>
      </c>
      <c r="C17" s="7">
        <f t="shared" si="1"/>
        <v>194000</v>
      </c>
      <c r="D17" s="7">
        <f t="shared" si="1"/>
        <v>321456</v>
      </c>
      <c r="E17" s="7">
        <f t="shared" si="1"/>
        <v>297926</v>
      </c>
      <c r="F17" s="7">
        <f t="shared" si="1"/>
        <v>431866</v>
      </c>
      <c r="G17" s="3"/>
      <c r="H17" s="3"/>
    </row>
    <row r="18" ht="15" customHeight="1">
      <c r="A18" s="3" t="s">
        <v>13</v>
      </c>
      <c r="B18" s="7">
        <f t="shared" si="2" ref="B18:F18">B15-B17</f>
        <v>1016000</v>
      </c>
      <c r="C18" s="7">
        <f t="shared" si="2"/>
        <v>776000</v>
      </c>
      <c r="D18" s="7">
        <f t="shared" si="2"/>
        <v>1285824</v>
      </c>
      <c r="E18" s="7">
        <f t="shared" si="2"/>
        <v>1191704</v>
      </c>
      <c r="F18" s="7">
        <f t="shared" si="2"/>
        <v>1727464</v>
      </c>
      <c r="G18" s="3"/>
      <c r="H18" s="3"/>
    </row>
    <row r="19" ht="15" customHeight="1">
      <c r="A19" s="22" t="s">
        <v>14</v>
      </c>
      <c r="B19" s="7">
        <f t="shared" si="3" ref="B19:F19">B18</f>
        <v>1016000</v>
      </c>
      <c r="C19" s="7">
        <f t="shared" si="3"/>
        <v>776000</v>
      </c>
      <c r="D19" s="7">
        <f t="shared" si="3"/>
        <v>1285824</v>
      </c>
      <c r="E19" s="7">
        <f t="shared" si="3"/>
        <v>1191704</v>
      </c>
      <c r="F19" s="7">
        <f t="shared" si="3"/>
        <v>1727464</v>
      </c>
      <c r="G19" s="3"/>
      <c r="H19" s="3"/>
    </row>
    <row r="20" ht="15" customHeight="1">
      <c r="A20" s="3" t="s">
        <v>15</v>
      </c>
      <c r="B20" s="10">
        <f>1/(1+$E$4)^1</f>
        <v>0.732600732600733</v>
      </c>
      <c r="C20" s="10">
        <f>1/(1+$E$4)^2</f>
        <v>0.53670383340713</v>
      </c>
      <c r="D20" s="10">
        <f>1/(1+$E$4)^3</f>
        <v>0.393189621543685</v>
      </c>
      <c r="E20" s="10">
        <f>1/(1+$E$4)^4</f>
        <v>0.288051004793908</v>
      </c>
      <c r="F20" s="10">
        <f>1/(1+$E$4)^5</f>
        <v>0.211026377138395</v>
      </c>
      <c r="G20" s="3"/>
      <c r="H20" s="3"/>
    </row>
    <row r="21" ht="15" customHeight="1">
      <c r="A21" s="3" t="s">
        <v>16</v>
      </c>
      <c r="B21" s="7">
        <f t="shared" si="0"/>
        <v>744322.344322345</v>
      </c>
      <c r="C21" s="7">
        <f t="shared" si="0"/>
        <v>416482.174723933</v>
      </c>
      <c r="D21" s="7">
        <f t="shared" si="0"/>
        <v>505572.651931787</v>
      </c>
      <c r="E21" s="7">
        <f t="shared" si="0"/>
        <v>343271.534616919</v>
      </c>
      <c r="F21" s="7">
        <f t="shared" si="0"/>
        <v>364540.469557</v>
      </c>
      <c r="G21" s="3"/>
      <c r="H21" s="7">
        <f>SUM(B21:F21)</f>
        <v>2374189.17515198</v>
      </c>
    </row>
    <row r="22" ht="15" customHeight="1">
      <c r="A22" s="3" t="s">
        <v>17</v>
      </c>
      <c r="B22" s="3"/>
      <c r="C22" s="3"/>
      <c r="D22" s="3"/>
      <c r="E22" s="3"/>
      <c r="F22" s="3"/>
      <c r="G22" s="7">
        <f>F19*(1+$E$5)/($E$4-$E$5)*F20</f>
        <v>1037143.30775372</v>
      </c>
      <c r="H22" s="7">
        <f>G22</f>
        <v>1037143.30775372</v>
      </c>
    </row>
    <row r="23" ht="15" customHeight="1">
      <c r="A23" s="3"/>
      <c r="B23" s="3"/>
      <c r="C23" s="3"/>
      <c r="D23" s="3"/>
      <c r="E23" s="3"/>
      <c r="F23" s="3"/>
      <c r="G23" s="3"/>
      <c r="H23" s="3"/>
    </row>
    <row r="24" ht="15" customHeight="1">
      <c r="A24" s="43" t="s">
        <v>18</v>
      </c>
    </row>
    <row r="25" ht="15" customHeight="1">
      <c r="A25" s="3" t="s">
        <v>19</v>
      </c>
      <c r="B25" s="3"/>
      <c r="C25" s="7">
        <f t="shared" si="4" ref="C25:C26">H21</f>
        <v>2374189.17515198</v>
      </c>
    </row>
    <row r="26" ht="15" customHeight="1">
      <c r="A26" s="3" t="s">
        <v>20</v>
      </c>
      <c r="B26" s="3"/>
      <c r="C26" s="7">
        <f t="shared" si="4"/>
        <v>1037143.30775372</v>
      </c>
    </row>
    <row r="27" ht="15" customHeight="1">
      <c r="A27" s="22" t="s">
        <v>21</v>
      </c>
      <c r="B27" s="3"/>
      <c r="C27" s="7">
        <f>C25+C26</f>
        <v>3411332.4829057</v>
      </c>
    </row>
    <row r="28" ht="15" customHeight="1">
      <c r="A28" s="44" t="s">
        <v>22</v>
      </c>
      <c r="B28" s="3"/>
      <c r="C28" s="44">
        <f>C27/100000</f>
        <v>34.113324829057</v>
      </c>
    </row>
    <row r="29" ht="15" customHeight="1">
      <c r="A29" s="3"/>
      <c r="B29" s="3"/>
      <c r="C29" s="3"/>
    </row>
    <row r="30" ht="15" customHeight="1">
      <c r="A30" s="45" t="s">
        <v>33</v>
      </c>
    </row>
    <row r="31" ht="15" customHeight="1">
      <c r="A31" s="3" t="s">
        <v>34</v>
      </c>
      <c r="B31" s="3"/>
      <c r="C31" s="28">
        <v>33</v>
      </c>
    </row>
    <row r="32" ht="15" customHeight="1">
      <c r="A32" s="3" t="s">
        <v>35</v>
      </c>
      <c r="B32" s="3"/>
      <c r="C32" s="28">
        <f>C28</f>
        <v>34.113324829057</v>
      </c>
    </row>
    <row r="33" ht="15" customHeight="1">
      <c r="A33" s="3" t="s">
        <v>36</v>
      </c>
      <c r="B33" s="3"/>
      <c r="C33" s="28">
        <f>C32-C31</f>
        <v>1.113324829057</v>
      </c>
    </row>
    <row r="34" ht="15" customHeight="1">
      <c r="A34" s="3"/>
      <c r="B34" s="3"/>
      <c r="C34" s="3"/>
    </row>
  </sheetData>
  <mergeCells>
    <mergeCell ref="A1:F1"/>
    <mergeCell ref="A2:F2"/>
    <mergeCell ref="A7:F7"/>
    <mergeCell ref="A8:F8"/>
    <mergeCell ref="A9:F9"/>
    <mergeCell ref="A10:F10"/>
    <mergeCell ref="A24:C24"/>
    <mergeCell ref="A30:C30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CB96058-8FA8-3E68-CA68-B2BE8E4CB562}" mc:Ignorable="x14ac xr xr2 xr3">
  <dimension ref="A1:GR1000"/>
  <sheetViews>
    <sheetView topLeftCell="A35" workbookViewId="0" tabSelected="1">
      <selection activeCell="A47" sqref="A47:F47"/>
    </sheetView>
  </sheetViews>
  <sheetFormatPr defaultRowHeight="15" defaultColWidth="8.8515625" customHeight="1"/>
  <cols>
    <col min="1" max="1" width="35.7109375" customWidth="1"/>
    <col min="2" max="6" width="15.7109375" customWidth="1"/>
    <col min="7" max="7" width="21.421875" customWidth="1"/>
  </cols>
  <sheetData>
    <row r="1" ht="24.75" customHeight="1">
      <c r="A1" s="46" t="s">
        <v>52</v>
      </c>
    </row>
    <row r="2" ht="18.75" customHeight="1">
      <c r="A2" s="47" t="s">
        <v>53</v>
      </c>
    </row>
    <row r="4" ht="15" customHeight="1">
      <c r="A4" s="48" t="s">
        <v>54</v>
      </c>
    </row>
    <row r="5" ht="15" customHeight="1">
      <c r="A5" s="49" t="s">
        <v>55</v>
      </c>
    </row>
    <row r="6" ht="15" customHeight="1">
      <c r="A6" s="50" t="s">
        <v>56</v>
      </c>
    </row>
    <row r="7" ht="15" customHeight="1">
      <c r="A7" s="49" t="s">
        <v>57</v>
      </c>
    </row>
    <row r="10" ht="15" customHeight="1">
      <c r="A10" s="51" t="s">
        <v>58</v>
      </c>
    </row>
    <row r="11" ht="15" customHeight="1">
      <c r="A11" s="48" t="s">
        <v>8</v>
      </c>
      <c r="B11" s="48" t="s">
        <v>59</v>
      </c>
      <c r="C11" s="48" t="s">
        <v>60</v>
      </c>
      <c r="D11" s="48" t="s">
        <v>61</v>
      </c>
      <c r="E11" s="48" t="s">
        <v>62</v>
      </c>
      <c r="F11" s="48" t="s">
        <v>63</v>
      </c>
    </row>
    <row r="12" ht="15" customHeight="1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68</v>
      </c>
      <c r="F12" s="3"/>
    </row>
    <row r="13" ht="15" customHeight="1">
      <c r="A13" s="3" t="s">
        <v>69</v>
      </c>
      <c r="B13" s="3" t="s">
        <v>70</v>
      </c>
      <c r="C13" s="3" t="s">
        <v>71</v>
      </c>
      <c r="D13" s="3" t="s">
        <v>72</v>
      </c>
      <c r="E13" s="3" t="s">
        <v>73</v>
      </c>
      <c r="F13" s="3"/>
    </row>
    <row r="14" ht="15" customHeight="1">
      <c r="A14" s="3" t="s">
        <v>74</v>
      </c>
      <c r="B14" s="28">
        <v>36.48</v>
      </c>
      <c r="C14" s="28">
        <v>33.06</v>
      </c>
      <c r="D14" s="28">
        <v>33</v>
      </c>
      <c r="E14" s="28">
        <v>34.11</v>
      </c>
      <c r="F14" s="28"/>
    </row>
    <row r="15" ht="15" customHeight="1">
      <c r="A15" s="3" t="s">
        <v>75</v>
      </c>
      <c r="B15" s="28">
        <f t="shared" si="0" ref="B15:E15">B14-33</f>
        <v>3.48</v>
      </c>
      <c r="C15" s="28">
        <f t="shared" si="0"/>
        <v>0.060000000000002</v>
      </c>
      <c r="D15" s="28">
        <f t="shared" si="0"/>
        <v>0</v>
      </c>
      <c r="E15" s="28">
        <f t="shared" si="0"/>
        <v>1.11</v>
      </c>
      <c r="F15" s="3"/>
    </row>
    <row r="16" ht="15" customHeight="1">
      <c r="A16" s="3" t="s">
        <v>76</v>
      </c>
      <c r="B16" s="3" t="s">
        <v>77</v>
      </c>
      <c r="C16" s="3" t="s">
        <v>77</v>
      </c>
      <c r="D16" s="3" t="s">
        <v>78</v>
      </c>
      <c r="E16" s="3" t="s">
        <v>79</v>
      </c>
      <c r="F16" s="3"/>
    </row>
    <row r="17" ht="15" customHeight="1">
      <c r="A17" s="3"/>
      <c r="B17" s="3"/>
      <c r="C17" s="3"/>
      <c r="D17" s="3"/>
      <c r="E17" s="3"/>
      <c r="F17" s="3"/>
    </row>
    <row r="18" ht="15" customHeight="1">
      <c r="A18" s="23" t="s">
        <v>80</v>
      </c>
    </row>
    <row r="19" ht="15" customHeight="1">
      <c r="A19" s="52" t="s">
        <v>81</v>
      </c>
    </row>
    <row r="20" ht="15" customHeight="1">
      <c r="A20" t="s">
        <v>82</v>
      </c>
    </row>
    <row r="21" ht="15" customHeight="1">
      <c r="A21" t="s">
        <v>83</v>
      </c>
    </row>
    <row r="22" ht="15" customHeight="1">
      <c r="A22" s="52" t="s">
        <v>84</v>
      </c>
    </row>
    <row r="23" ht="15" customHeight="1">
      <c r="A23" t="s">
        <v>85</v>
      </c>
    </row>
    <row r="24" ht="15" customHeight="1">
      <c r="A24" t="s">
        <v>86</v>
      </c>
    </row>
    <row r="26" ht="18.75" customHeight="1">
      <c r="A26" s="53" t="s">
        <v>87</v>
      </c>
    </row>
    <row r="27" ht="15" customHeight="1">
      <c r="A27" s="54" t="s">
        <v>88</v>
      </c>
    </row>
    <row r="28" ht="15" customHeight="1">
      <c r="A28" s="48" t="s">
        <v>8</v>
      </c>
      <c r="B28" s="48">
        <v>2026</v>
      </c>
      <c r="C28" s="48">
        <v>2027</v>
      </c>
      <c r="D28" s="48">
        <v>2028</v>
      </c>
      <c r="E28" s="48">
        <v>2029</v>
      </c>
      <c r="F28" s="48">
        <v>2030</v>
      </c>
      <c r="G28" s="48" t="s">
        <v>63</v>
      </c>
    </row>
    <row r="29" ht="15" customHeight="1">
      <c r="A29" s="22" t="s">
        <v>89</v>
      </c>
      <c r="B29" s="3"/>
      <c r="C29" s="3"/>
      <c r="D29" s="3"/>
      <c r="E29" s="3"/>
      <c r="F29" s="3"/>
      <c r="G29" s="3"/>
    </row>
    <row r="30" ht="15" customHeight="1">
      <c r="A30" s="55" t="s">
        <v>90</v>
      </c>
      <c r="B30" s="56">
        <v>1800000</v>
      </c>
      <c r="C30" s="56">
        <v>1600000</v>
      </c>
      <c r="D30" s="56">
        <v>2400000</v>
      </c>
      <c r="E30" s="56">
        <v>2200000</v>
      </c>
      <c r="F30" s="56">
        <v>3100000</v>
      </c>
      <c r="G30" s="3"/>
    </row>
    <row r="31" ht="15" customHeight="1">
      <c r="A31" s="55" t="s">
        <v>91</v>
      </c>
      <c r="B31" s="56">
        <v>500000</v>
      </c>
      <c r="C31" s="56">
        <v>700000</v>
      </c>
      <c r="D31" s="56">
        <v>1100000</v>
      </c>
      <c r="E31" s="56">
        <v>1300000</v>
      </c>
      <c r="F31" s="56">
        <v>1600000</v>
      </c>
      <c r="G31" s="3"/>
    </row>
    <row r="32" ht="15" customHeight="1">
      <c r="A32" s="57" t="s">
        <v>92</v>
      </c>
      <c r="B32" s="58">
        <f t="shared" si="1" ref="B32:F32">B30+B31</f>
        <v>2300000</v>
      </c>
      <c r="C32" s="58">
        <f t="shared" si="1"/>
        <v>2300000</v>
      </c>
      <c r="D32" s="58">
        <f t="shared" si="1"/>
        <v>3500000</v>
      </c>
      <c r="E32" s="58">
        <f t="shared" si="1"/>
        <v>3500000</v>
      </c>
      <c r="F32" s="58">
        <f t="shared" si="1"/>
        <v>4700000</v>
      </c>
      <c r="G32" s="59"/>
    </row>
    <row r="33" ht="15" customHeight="1">
      <c r="A33" s="3"/>
      <c r="B33" s="3"/>
      <c r="C33" s="3"/>
      <c r="D33" s="3"/>
      <c r="E33" s="3"/>
      <c r="F33" s="3"/>
      <c r="G33" s="3"/>
    </row>
    <row r="34" ht="15" customHeight="1">
      <c r="A34" s="22" t="s">
        <v>93</v>
      </c>
      <c r="B34" s="3"/>
      <c r="C34" s="3"/>
      <c r="D34" s="3"/>
      <c r="E34" s="3"/>
      <c r="F34" s="3"/>
      <c r="G34" s="3"/>
    </row>
    <row r="35" ht="15" customHeight="1">
      <c r="A35" s="55" t="s">
        <v>94</v>
      </c>
      <c r="B35" s="56">
        <v>850000</v>
      </c>
      <c r="C35" s="56">
        <v>1050000</v>
      </c>
      <c r="D35" s="56">
        <v>1250000</v>
      </c>
      <c r="E35" s="56">
        <v>1350000</v>
      </c>
      <c r="F35" s="56">
        <v>1450000</v>
      </c>
      <c r="G35" s="3"/>
    </row>
    <row r="36" ht="15" customHeight="1">
      <c r="A36" s="55" t="s">
        <v>95</v>
      </c>
      <c r="B36" s="56">
        <f t="shared" si="2" ref="B36:C36">(B30+B31)*0.08</f>
        <v>184000</v>
      </c>
      <c r="C36" s="56">
        <f t="shared" si="2"/>
        <v>184000</v>
      </c>
      <c r="D36" s="56">
        <f t="shared" si="3" ref="D36:F36">(D30+D31)*0.10</f>
        <v>350000</v>
      </c>
      <c r="E36" s="56">
        <f t="shared" si="3"/>
        <v>350000</v>
      </c>
      <c r="F36" s="56">
        <f t="shared" si="3"/>
        <v>470000</v>
      </c>
      <c r="G36" s="3"/>
    </row>
    <row r="37" ht="15" customHeight="1">
      <c r="A37" s="55" t="s">
        <v>96</v>
      </c>
      <c r="B37" s="56">
        <v>97200</v>
      </c>
      <c r="C37" s="56">
        <v>172400</v>
      </c>
      <c r="D37" s="56">
        <v>282400</v>
      </c>
      <c r="E37" s="56">
        <v>301400</v>
      </c>
      <c r="F37" s="56">
        <v>608600</v>
      </c>
      <c r="G37" s="3"/>
    </row>
    <row r="38" ht="15" customHeight="1">
      <c r="A38" s="60" t="s">
        <v>97</v>
      </c>
      <c r="B38" s="58">
        <f t="shared" si="4" ref="B38:F38">B35+B36+B37</f>
        <v>1131200</v>
      </c>
      <c r="C38" s="58">
        <f t="shared" si="4"/>
        <v>1406400</v>
      </c>
      <c r="D38" s="58">
        <f t="shared" si="4"/>
        <v>1882400</v>
      </c>
      <c r="E38" s="58">
        <f t="shared" si="4"/>
        <v>2001400</v>
      </c>
      <c r="F38" s="58">
        <f t="shared" si="4"/>
        <v>2528600</v>
      </c>
      <c r="G38" s="59"/>
    </row>
    <row r="39" ht="15" customHeight="1">
      <c r="A39" s="3"/>
      <c r="B39" s="3"/>
      <c r="C39" s="3"/>
      <c r="D39" s="3"/>
      <c r="E39" s="3"/>
      <c r="F39" s="3"/>
      <c r="G39" s="3"/>
    </row>
    <row r="40" ht="15" customHeight="1">
      <c r="A40" s="61" t="s">
        <v>98</v>
      </c>
      <c r="B40" s="58">
        <f t="shared" si="5" ref="B40:F40">B32-B38</f>
        <v>1168800</v>
      </c>
      <c r="C40" s="58">
        <f t="shared" si="5"/>
        <v>893600</v>
      </c>
      <c r="D40" s="58">
        <f t="shared" si="5"/>
        <v>1617600</v>
      </c>
      <c r="E40" s="58">
        <f t="shared" si="5"/>
        <v>1498600</v>
      </c>
      <c r="F40" s="58">
        <f t="shared" si="5"/>
        <v>2171400</v>
      </c>
      <c r="G40" s="59"/>
    </row>
    <row r="41" ht="15" customHeight="1">
      <c r="A41" s="55" t="s">
        <v>12</v>
      </c>
      <c r="B41" s="56">
        <f t="shared" si="6" ref="B41:F41">B40*0.2</f>
        <v>233760</v>
      </c>
      <c r="C41" s="56">
        <f t="shared" si="6"/>
        <v>178720</v>
      </c>
      <c r="D41" s="56">
        <f t="shared" si="6"/>
        <v>323520</v>
      </c>
      <c r="E41" s="56">
        <f t="shared" si="6"/>
        <v>299720</v>
      </c>
      <c r="F41" s="56">
        <f t="shared" si="6"/>
        <v>434280</v>
      </c>
      <c r="G41" s="3"/>
    </row>
    <row r="42" ht="15" customHeight="1">
      <c r="A42" s="60" t="s">
        <v>13</v>
      </c>
      <c r="B42" s="58">
        <f t="shared" si="7" ref="B42:F42">B40-B41</f>
        <v>935040</v>
      </c>
      <c r="C42" s="58">
        <f t="shared" si="7"/>
        <v>714880</v>
      </c>
      <c r="D42" s="58">
        <f t="shared" si="7"/>
        <v>1294080</v>
      </c>
      <c r="E42" s="58">
        <f t="shared" si="7"/>
        <v>1198880</v>
      </c>
      <c r="F42" s="58">
        <f t="shared" si="7"/>
        <v>1737120</v>
      </c>
      <c r="G42" s="59"/>
    </row>
    <row r="43" ht="15" customHeight="1">
      <c r="A43" s="3"/>
      <c r="B43" s="3"/>
      <c r="C43" s="3"/>
      <c r="D43" s="3"/>
      <c r="E43" s="3"/>
      <c r="F43" s="3"/>
      <c r="G43" s="3"/>
    </row>
    <row r="44" ht="15" customHeight="1">
      <c r="A44" s="62" t="s">
        <v>14</v>
      </c>
      <c r="B44" s="58">
        <f t="shared" si="8" ref="B44:F44">B42</f>
        <v>935040</v>
      </c>
      <c r="C44" s="58">
        <f t="shared" si="8"/>
        <v>714880</v>
      </c>
      <c r="D44" s="58">
        <f t="shared" si="8"/>
        <v>1294080</v>
      </c>
      <c r="E44" s="58">
        <f t="shared" si="8"/>
        <v>1198880</v>
      </c>
      <c r="F44" s="58">
        <f t="shared" si="8"/>
        <v>1737120</v>
      </c>
      <c r="G44" s="59"/>
    </row>
    <row r="45" ht="15" customHeight="1">
      <c r="A45" s="55" t="s">
        <v>99</v>
      </c>
      <c r="B45" s="3"/>
      <c r="C45" s="3"/>
      <c r="D45" s="3"/>
      <c r="E45" s="3"/>
      <c r="F45" s="3"/>
      <c r="G45" s="3" t="s">
        <v>100</v>
      </c>
    </row>
    <row r="46" ht="15" customHeight="1">
      <c r="A46" s="3"/>
      <c r="B46" s="3"/>
      <c r="C46" s="3"/>
      <c r="D46" s="3"/>
      <c r="E46" s="3"/>
      <c r="F46" s="3"/>
      <c r="G46" s="3"/>
    </row>
    <row r="47" ht="18.75" customHeight="1">
      <c r="A47" s="63" t="s">
        <v>101</v>
      </c>
      <c r="B47" s="3"/>
      <c r="C47" s="3"/>
      <c r="D47" s="3"/>
      <c r="E47" s="3"/>
      <c r="F47" s="3"/>
    </row>
    <row r="48" ht="15" customHeight="1">
      <c r="A48" s="3"/>
      <c r="B48" s="3"/>
      <c r="C48" s="3"/>
      <c r="D48" s="3"/>
      <c r="E48" s="3"/>
      <c r="F48" s="3"/>
    </row>
    <row r="49" ht="15.75" customHeight="1">
      <c r="A49" s="64" t="s">
        <v>102</v>
      </c>
      <c r="B49" s="3"/>
      <c r="C49" s="3"/>
      <c r="D49" s="3"/>
      <c r="E49" s="3"/>
      <c r="F49" s="3"/>
    </row>
    <row r="50" ht="15.75" customHeight="1">
      <c r="A50" s="65" t="s">
        <v>103</v>
      </c>
      <c r="B50" s="3"/>
      <c r="C50" s="3"/>
      <c r="D50" s="3"/>
      <c r="E50" s="3"/>
      <c r="F50" s="3"/>
    </row>
    <row r="51" ht="15.75" customHeight="1">
      <c r="A51" s="65" t="s">
        <v>104</v>
      </c>
      <c r="B51" s="3"/>
      <c r="C51" s="3"/>
      <c r="D51" s="3"/>
      <c r="E51" s="3"/>
      <c r="F51" s="3"/>
    </row>
    <row r="52" ht="15.75" customHeight="1">
      <c r="A52" s="65" t="s">
        <v>105</v>
      </c>
      <c r="B52" s="3"/>
      <c r="C52" s="3"/>
      <c r="D52" s="3"/>
      <c r="E52" s="3"/>
      <c r="F52" s="3"/>
    </row>
    <row r="53" ht="15" customHeight="1">
      <c r="A53" s="3"/>
      <c r="B53" s="3"/>
      <c r="C53" s="3"/>
      <c r="D53" s="3"/>
      <c r="E53" s="3"/>
      <c r="F53" s="3"/>
    </row>
    <row r="54" ht="15.75" customHeight="1">
      <c r="A54" s="64" t="s">
        <v>106</v>
      </c>
      <c r="B54" s="3"/>
      <c r="C54" s="3"/>
      <c r="D54" s="3"/>
      <c r="E54" s="3"/>
      <c r="F54" s="3"/>
    </row>
    <row r="55" ht="15.75" customHeight="1">
      <c r="A55" s="65" t="s">
        <v>107</v>
      </c>
      <c r="B55" s="3"/>
      <c r="C55" s="3"/>
      <c r="D55" s="3"/>
      <c r="E55" s="3"/>
      <c r="F55" s="3"/>
    </row>
    <row r="56" ht="15.75" customHeight="1">
      <c r="A56" s="65" t="s">
        <v>108</v>
      </c>
      <c r="B56" s="3"/>
      <c r="C56" s="3"/>
      <c r="D56" s="3"/>
      <c r="E56" s="3"/>
      <c r="F56" s="3"/>
    </row>
    <row r="57" ht="15.75" customHeight="1">
      <c r="A57" s="65" t="s">
        <v>109</v>
      </c>
      <c r="B57" s="3"/>
      <c r="C57" s="3"/>
      <c r="D57" s="3"/>
      <c r="E57" s="3"/>
      <c r="F57" s="3"/>
    </row>
    <row r="58" ht="15.75" customHeight="1">
      <c r="A58" s="65" t="s">
        <v>110</v>
      </c>
      <c r="B58" s="3"/>
      <c r="C58" s="3"/>
      <c r="D58" s="3"/>
      <c r="E58" s="3"/>
      <c r="F58" s="3"/>
    </row>
    <row r="59" ht="15" customHeight="1">
      <c r="A59" s="3"/>
      <c r="B59" s="3"/>
      <c r="C59" s="3"/>
      <c r="D59" s="3"/>
      <c r="E59" s="3"/>
      <c r="F59" s="3"/>
    </row>
    <row r="60" ht="18.75" customHeight="1">
      <c r="A60" s="66" t="s">
        <v>111</v>
      </c>
      <c r="B60" s="3"/>
      <c r="C60" s="3"/>
      <c r="D60" s="3"/>
      <c r="E60" s="3"/>
      <c r="F60" s="3"/>
    </row>
    <row r="61" ht="15" customHeight="1">
      <c r="A61" s="3"/>
      <c r="B61" s="3"/>
      <c r="C61" s="3"/>
      <c r="D61" s="3"/>
      <c r="E61" s="3"/>
      <c r="F61" s="3"/>
    </row>
    <row r="62" ht="15.75" customHeight="1">
      <c r="A62" s="67" t="s">
        <v>112</v>
      </c>
      <c r="B62" s="3"/>
      <c r="C62" s="3"/>
      <c r="D62" s="3"/>
      <c r="E62" s="3"/>
      <c r="F62" s="3"/>
    </row>
    <row r="63" ht="15.75" customHeight="1">
      <c r="A63" s="65" t="s">
        <v>113</v>
      </c>
      <c r="B63" s="3"/>
      <c r="C63" s="3"/>
      <c r="D63" s="3"/>
      <c r="E63" s="3"/>
      <c r="F63" s="3"/>
    </row>
    <row r="64" ht="15.75" customHeight="1">
      <c r="A64" s="65" t="s">
        <v>114</v>
      </c>
      <c r="B64" s="3"/>
      <c r="C64" s="3"/>
      <c r="D64" s="3"/>
      <c r="E64" s="3"/>
      <c r="F64" s="3"/>
    </row>
    <row r="65" ht="15.75" customHeight="1">
      <c r="A65" s="65" t="s">
        <v>115</v>
      </c>
      <c r="B65" s="3"/>
      <c r="C65" s="3"/>
      <c r="D65" s="3"/>
      <c r="E65" s="3"/>
      <c r="F65" s="3"/>
    </row>
    <row r="66" ht="15.75" customHeight="1">
      <c r="A66" s="68" t="s">
        <v>116</v>
      </c>
      <c r="B66" s="3"/>
      <c r="C66" s="3"/>
      <c r="D66" s="3"/>
      <c r="E66" s="3"/>
      <c r="F66" s="3"/>
    </row>
    <row r="67" ht="15" customHeight="1">
      <c r="A67" s="3"/>
      <c r="B67" s="3"/>
      <c r="C67" s="3"/>
      <c r="D67" s="3"/>
      <c r="E67" s="3"/>
      <c r="F67" s="3"/>
    </row>
    <row r="68" ht="21.75" customHeight="1">
      <c r="A68" s="69" t="s">
        <v>117</v>
      </c>
      <c r="B68" s="3"/>
      <c r="C68" s="3"/>
      <c r="D68" s="3"/>
      <c r="E68" s="3"/>
      <c r="F68" s="3"/>
    </row>
    <row r="69" ht="15" customHeight="1">
      <c r="A69" s="3"/>
      <c r="B69" s="3"/>
      <c r="C69" s="3"/>
      <c r="D69" s="3"/>
      <c r="E69" s="3"/>
      <c r="F69" s="3"/>
    </row>
    <row r="70" ht="18" customHeight="1">
      <c r="A70" s="70" t="s">
        <v>118</v>
      </c>
      <c r="B70" s="3"/>
      <c r="C70" s="3"/>
      <c r="D70" s="3"/>
      <c r="E70" s="3"/>
      <c r="F70" s="3"/>
    </row>
    <row r="71" ht="15.75" customHeight="1">
      <c r="A71" s="65" t="s">
        <v>119</v>
      </c>
      <c r="B71" s="3"/>
      <c r="C71" s="3"/>
      <c r="D71" s="3"/>
      <c r="E71" s="3"/>
      <c r="F71" s="3"/>
    </row>
    <row r="72" ht="15.75" customHeight="1">
      <c r="A72" s="65" t="s">
        <v>120</v>
      </c>
      <c r="B72" s="3"/>
      <c r="C72" s="3"/>
      <c r="D72" s="3"/>
      <c r="E72" s="3"/>
      <c r="F72" s="3"/>
    </row>
    <row r="73" ht="15.75" customHeight="1">
      <c r="A73" s="71" t="s">
        <v>121</v>
      </c>
      <c r="B73" s="3"/>
      <c r="C73" s="3"/>
      <c r="D73" s="3"/>
      <c r="E73" s="3"/>
      <c r="F73" s="3"/>
    </row>
  </sheetData>
  <mergeCells>
    <mergeCell ref="A1:F1"/>
    <mergeCell ref="A2:F2"/>
    <mergeCell ref="A4:F4"/>
    <mergeCell ref="A5:F5"/>
    <mergeCell ref="A6:F6"/>
    <mergeCell ref="A7:F7"/>
    <mergeCell ref="A10:G10"/>
    <mergeCell ref="A18:F18"/>
    <mergeCell ref="A19:F19"/>
    <mergeCell ref="A20:F20"/>
    <mergeCell ref="A21:F21"/>
    <mergeCell ref="A22:F22"/>
    <mergeCell ref="A23:F23"/>
    <mergeCell ref="A24:F24"/>
    <mergeCell ref="A26:G26"/>
    <mergeCell ref="A27:G27"/>
    <mergeCell ref="A47:F47"/>
    <mergeCell ref="A49:F49"/>
    <mergeCell ref="A50:F50"/>
    <mergeCell ref="A51:F51"/>
    <mergeCell ref="A52:F52"/>
    <mergeCell ref="A54:F54"/>
    <mergeCell ref="A55:F55"/>
    <mergeCell ref="A56:F56"/>
    <mergeCell ref="A57:F57"/>
    <mergeCell ref="A58:F58"/>
    <mergeCell ref="A60:F60"/>
    <mergeCell ref="A62:F62"/>
    <mergeCell ref="A63:F63"/>
    <mergeCell ref="A64:F64"/>
    <mergeCell ref="A65:F65"/>
    <mergeCell ref="A66:F66"/>
    <mergeCell ref="A68:F68"/>
    <mergeCell ref="A70:F70"/>
    <mergeCell ref="A71:F71"/>
    <mergeCell ref="A72:F72"/>
    <mergeCell ref="A73:F73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2026-02-12T01:58:52Z</dcterms:created>
</cp:coreProperties>
</file>