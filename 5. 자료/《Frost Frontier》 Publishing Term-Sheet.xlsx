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Key term" sheetId="1" r:id="rId5"/>
    <sheet state="visible" name="2. R&amp;R" sheetId="2" r:id="rId6"/>
    <sheet state="visible" name="3. Todo" sheetId="3" r:id="rId7"/>
  </sheets>
  <definedNames>
    <definedName hidden="1" localSheetId="2" name="_xlnm._FilterDatabase">'3. Todo'!$B$2:$H$13</definedName>
  </definedNames>
  <calcPr/>
</workbook>
</file>

<file path=xl/sharedStrings.xml><?xml version="1.0" encoding="utf-8"?>
<sst xmlns="http://schemas.openxmlformats.org/spreadsheetml/2006/main" count="181" uniqueCount="146">
  <si>
    <t xml:space="preserve">《Frost Frontier》 Publishing Term Sheet </t>
  </si>
  <si>
    <t>구분</t>
  </si>
  <si>
    <t>주요 조건 (KR)</t>
  </si>
  <si>
    <t>Key Term (EN)</t>
  </si>
  <si>
    <t>关键术语 (ZN)</t>
  </si>
  <si>
    <t>프로젝트 개요
(Project Overview)</t>
  </si>
  <si>
    <t xml:space="preserve"> 1) Frost Frontier (寒霜前线) developed by 大黄蜂互娱（厦门）科技有限公司
 2) 풀랫폼 : 멀티플랫폼 지원 (iOS /Android/ H5)
 3) 개발 단계: Alpha</t>
  </si>
  <si>
    <t>1) Frost Frontier (寒霜前线) developed by 大黄蜂互娱（厦门）科技有限公司
2) Platform: Multiplatform (iOS/Android/H5)
3) Development Stage: Alpha</t>
  </si>
  <si>
    <t>1) Frost Frontier (寒霜前线)（由大黄蜂互娱（厦门）科技有限公司开发）
2) 平台: 多平台上线 (iOS/Android/H5)
3) 开发阶段: Alpha</t>
  </si>
  <si>
    <t>당사자
(Party)</t>
  </si>
  <si>
    <t xml:space="preserve"> 1) Publisher: Nexus Co., Ltd.
 2) Developer A: HONGKONG MINIGAME TECHNOLOGY CO., LIMITED  
 3) Developer B: 大黄蜂互娱（厦门）科技有限公司 (Bumblebee Interactive Entertainment (Xiamen) Technology Co., Ltd)</t>
  </si>
  <si>
    <t>1) Publisher: Nexus Co., Ltd.
2) Developer A: HONGKONG MINIGAME TECHNOLOGY CO., LIMITED  
3) Developer B: 大黄蜂互娱（厦门）科技有限公司 (Bumblebee Interactive Entertainment (Xiamen) Technology Co., Ltd)</t>
  </si>
  <si>
    <t>퍼블리싱 범위
(Publishing scope)</t>
  </si>
  <si>
    <t xml:space="preserve"> 1) 글로벌 독점 퍼블리싱
 2) 중국 본토 제외</t>
  </si>
  <si>
    <t>계약 기간
(Contract period)</t>
  </si>
  <si>
    <t xml:space="preserve"> 1) 최초 5년
 2) 월 매출 USD 100,000 이상 달성 시 2년 자동 갱신</t>
  </si>
  <si>
    <t>권리 범위
(Scope of Rights)</t>
  </si>
  <si>
    <t>Publisher 책임 및 비용 부담 
 1) 퍼블리싱·운영·마케팅·CS 전반 포함
 2) IP 파생권 제외 (IP는 개발사 소유)</t>
  </si>
  <si>
    <t>계약금
(License Fee)</t>
  </si>
  <si>
    <t xml:space="preserve"> 1) 총 USD 500,000 
 2) 계약 40% / CBT 완료 30% / 정식 런칭 30%</t>
  </si>
  <si>
    <t>Revenue Share</t>
  </si>
  <si>
    <t>Gross Revenue 기준
 1) Publisher(NEXUS) 83%
 2) Developer(MINIGAME) 17%
 3) CROSS Wave의 참여 비용 5%는 Nexus 부담</t>
  </si>
  <si>
    <t>운영 및 비용</t>
  </si>
  <si>
    <t>Publisher 책임 및 비용 부담 
 1) 서버/DB 등 인프라 업무
 2) 등록/법무/재무/고객센터 등</t>
  </si>
  <si>
    <t>로컬라이징
(Localizing)</t>
  </si>
  <si>
    <t xml:space="preserve"> 1) 기본 언어 제공 (EN/KR/CN)
 2)  추가 텍스트 번역: Publisher
 3) 지역 월매출 US$ 100K 초과 시 그래픽 로컬라이징: Developer 지원</t>
  </si>
  <si>
    <t>크로스샵
(CROSS Websop)</t>
  </si>
  <si>
    <t xml:space="preserve"> 1) 인게임 및 웹게임의 샵은 Nexus에서 제공하는 CROSS Shop 필수 연동  
 2) 기본 수수료율 + PG를 적용하며, Developer에게 어드민 제공 및 상세데이터 제공</t>
  </si>
  <si>
    <t>독점 협상
(Exclusive)</t>
  </si>
  <si>
    <t>Term Sheet 체결 후 180일</t>
  </si>
  <si>
    <t>This Term Sheet is intended solely to summarize the principal commercial terms discussed between the parties and does not constitute a legally binding agreement, except as otherwise expressly agreed.</t>
  </si>
  <si>
    <t>Agreed and Acknowledged:</t>
  </si>
  <si>
    <t>The parties acknowledge and confirm their intent to proceed with good-faith negotiations toward a definitive agreement.</t>
  </si>
  <si>
    <t>For Publisher (Nexus Co., Ltd.)</t>
  </si>
  <si>
    <t>For Developer (Bumblebee Interactive Entertainment (Xiamen) Technology Co., Ltd)</t>
  </si>
  <si>
    <t>Name: Juneyoung Jeon</t>
  </si>
  <si>
    <t>Name: RUAN, YISHAN</t>
  </si>
  <si>
    <t>Title: Head of Business</t>
  </si>
  <si>
    <t>Title: CEO</t>
  </si>
  <si>
    <t>Date: 30 Dec, 2025</t>
  </si>
  <si>
    <t>Signature: ______________________</t>
  </si>
  <si>
    <t>업무 리스트</t>
  </si>
  <si>
    <t>담당</t>
  </si>
  <si>
    <t>비고</t>
  </si>
  <si>
    <t>퍼블리싱 총괄 (Publishing Director)</t>
  </si>
  <si>
    <t>NEXUS</t>
  </si>
  <si>
    <t>사업부</t>
  </si>
  <si>
    <t>사업관리/PMO (프로젝트 관리)</t>
  </si>
  <si>
    <t>사업개발 (Business Development)</t>
  </si>
  <si>
    <t>사업개발팀</t>
  </si>
  <si>
    <t>전략기획 (Strategy &amp; Planning)</t>
  </si>
  <si>
    <t>브랜드/PR (Brand &amp; PR)</t>
  </si>
  <si>
    <t>결제/과금 운영(Billing &amp; Monetization Ops)</t>
  </si>
  <si>
    <t xml:space="preserve">크로쓰샵 </t>
  </si>
  <si>
    <t>라이브 서비스 운영 (Live Operations)</t>
  </si>
  <si>
    <t>Z5</t>
  </si>
  <si>
    <t>PHA Team</t>
  </si>
  <si>
    <t>콘텐츠 운영 (Content Operations)</t>
  </si>
  <si>
    <t>사업부 + PHA</t>
  </si>
  <si>
    <t>GM/CS/QA/CM (Customer Support)</t>
  </si>
  <si>
    <t>PHA + 모더레이터</t>
  </si>
  <si>
    <t>데이터 분석 (Data Analytics / BI)</t>
  </si>
  <si>
    <t>Nexus+Z5</t>
  </si>
  <si>
    <t>UA (User Acquisition)</t>
  </si>
  <si>
    <t>Internal + Web3</t>
  </si>
  <si>
    <t>로컬라이제이션(Localization)</t>
  </si>
  <si>
    <t>기술 지원/플랫폼 연동(Tech Operations)</t>
  </si>
  <si>
    <t>개발사</t>
  </si>
  <si>
    <t>-</t>
  </si>
  <si>
    <t>서버/인프라(Server, DB, SE 등 DevOps)</t>
  </si>
  <si>
    <t>개발 정기 미팅 및 관리</t>
  </si>
  <si>
    <t>중국법인</t>
  </si>
  <si>
    <t>개발 마일스톤 관리</t>
  </si>
  <si>
    <t>계약금 관리 및 지급</t>
  </si>
  <si>
    <t>한국도 포함시켜라</t>
  </si>
  <si>
    <t>한국 PHA, ROMW IP구분해서 웹3 요소 빼고
글로벌 가면 Ramp 오픈한다</t>
  </si>
  <si>
    <t>(중국법인) 명일(12/18) 오전 개발사와 Conf.call 예정. 미팅 후 결과 공유 드리겠습니다.</t>
  </si>
  <si>
    <t>계약금 10번에 나눠서 지급</t>
  </si>
  <si>
    <t>1번에 중국법인으로 보낸다. 
본사에서 오케이하면 중국법인에서 10% 나눠서 준다</t>
  </si>
  <si>
    <t>(중국법인) 
1. 일반적인 퍼블리싱 계약에 근거, 계약(40%), CBT(30%), 정식(30%) 으로 나눠야 합니다.
2. 중국법인에서 계약금 및 로열티 지급 불가. 계약의 주체가 아님
3. 만약 중국 법인이 지급해야 하면, 중국 법인도 계약자에 포함이 되어야 하며, 이 경우 정부리스크(웹3) 매우 큼
    또한, 중국 법인도 매출 인식이 되어 법인세도 발생됨</t>
  </si>
  <si>
    <t>계약조건:</t>
  </si>
  <si>
    <t>-계약금: USD 500K (계약 40%, CBT 30%, 론칭 30%)</t>
  </si>
  <si>
    <t>: 기 체결된 동남아 판권 계약(LF $200K + MG $200K) 해지 + 기 수령한 USD 200K(LF+MG) 반환 필요</t>
  </si>
  <si>
    <t>: 초기 개발비용 투입 원가 높음. 따라서 계약시 40% 요구</t>
  </si>
  <si>
    <t>-로열티 15%(Gross)</t>
  </si>
  <si>
    <t>-로열티 지급일: N+2의 25일 혹은 N+3의 5일</t>
  </si>
  <si>
    <t>계약지역: 한국 포함 글로벌 (중국 제외)</t>
  </si>
  <si>
    <t>계약기간: 5년+2년 자동연장, 자동 연장 2년은 매출 기준을 설정, 설정한 매출 기준을 초과하면 자동 2년 연장</t>
  </si>
  <si>
    <t>-기존 3년 계약기간을 5+2으로 변경</t>
  </si>
  <si>
    <t>서비스 언어: 영어, 중국어 간체/번체 (추가 협상 필요)</t>
  </si>
  <si>
    <t>-사유: 각 언어별 UI그래픽 언어 번역 부하 큼</t>
  </si>
  <si>
    <t>각 언어별 UI그래픽 작업량 1,000개, 2~3개월 기간 소요</t>
  </si>
  <si>
    <t>각 언어별 UI그래픽 1,000개 개발원가 평균 USD 50K</t>
  </si>
  <si>
    <t>DHF의 계약 주체: DHF가 '지정한' 해외 법인</t>
  </si>
  <si>
    <t>-중국 회사 주체의 계약은 정부리스크 높음 (중국 내 모든 가상화폐 관련 사업 불가)</t>
  </si>
  <si>
    <t>-우리 생태계 사업은 회색지대에 속하지만, 정치 특성상 변화 가능성이 있음</t>
  </si>
  <si>
    <t>: 사례) 2025년11월28일, 스테이블코인 &gt; 투기항목 및 활동으로 지정. 단속대상</t>
  </si>
  <si>
    <t>Step</t>
  </si>
  <si>
    <t xml:space="preserve"> - 게임평가한 것들 + R&amp;R 정리한 + 췐거 아저씨 피드백 =&gt; 해볼만한 것 같다</t>
  </si>
  <si>
    <t xml:space="preserve"> 이번주</t>
  </si>
  <si>
    <t>바트 보고</t>
  </si>
  <si>
    <t xml:space="preserve"> - 몇가지 계약적으로 풀어야 할 것들 =&gt; 지사장님 케어</t>
  </si>
  <si>
    <t xml:space="preserve"> 다음주</t>
  </si>
  <si>
    <t>협상 완료</t>
  </si>
  <si>
    <t xml:space="preserve"> - 본 계약 위해서 DD 같은 개념으로 중국 개발사 방문</t>
  </si>
  <si>
    <t xml:space="preserve"> 1월 초</t>
  </si>
  <si>
    <t xml:space="preserve"> - 그리고나서 끝냄</t>
  </si>
  <si>
    <t xml:space="preserve"> 1월 말에 (춘절, 15일 휴식)</t>
  </si>
  <si>
    <t>가급적 1월 중순에 끝낸다</t>
  </si>
  <si>
    <t>우선순위</t>
  </si>
  <si>
    <t>Todo</t>
  </si>
  <si>
    <t>Todo (EN)</t>
  </si>
  <si>
    <t>Todo (ZN)</t>
  </si>
  <si>
    <t>담당자</t>
  </si>
  <si>
    <t>확인</t>
  </si>
  <si>
    <t>P0</t>
  </si>
  <si>
    <t>텀시트 계약</t>
  </si>
  <si>
    <t>전준영</t>
  </si>
  <si>
    <t>퍼블리싱 계약서 준비</t>
  </si>
  <si>
    <t xml:space="preserve">Jason Choo </t>
  </si>
  <si>
    <t>P1</t>
  </si>
  <si>
    <t>빌드 시연 준비</t>
  </si>
  <si>
    <t>Xia YuanWei Robert</t>
  </si>
  <si>
    <t>Frost Frontier 게임플레이 가이드라인 및 플로우</t>
  </si>
  <si>
    <t>인프라 세팅</t>
  </si>
  <si>
    <t>에릭 / GFS (Google For Start up Program) / AWS / 텐센트 / 네이버클라우드</t>
  </si>
  <si>
    <t>개발 마일스톤</t>
  </si>
  <si>
    <t>황정원</t>
  </si>
  <si>
    <t xml:space="preserve"> - CBT 일정
 - 론칭 일정</t>
  </si>
  <si>
    <t>1. 인프라 보안실 -&gt; 게임 초기 서버 요청 + 어디 인프라</t>
  </si>
  <si>
    <t>토크노믹스 준비</t>
  </si>
  <si>
    <r>
      <rPr>
        <rFont val="Arial"/>
        <b/>
        <color theme="1"/>
      </rPr>
      <t xml:space="preserve">- 기본기 충실하자 (게임사업부)
</t>
    </r>
    <r>
      <rPr>
        <rFont val="Arial"/>
        <color theme="1"/>
      </rPr>
      <t>- 어드밴스드 토크노믹스 적용 (다니엘, 이삭)</t>
    </r>
  </si>
  <si>
    <t>2. 출장자 픽스</t>
  </si>
  <si>
    <r>
      <rPr>
        <rFont val="Arial"/>
        <color theme="1"/>
      </rPr>
      <t xml:space="preserve">원안 : 주원석, 자드리, 황정원 + 임종훈, 로버트, 플로라 (중국)
변경 : </t>
    </r>
    <r>
      <rPr>
        <rFont val="Arial"/>
        <b/>
        <color theme="1"/>
      </rPr>
      <t xml:space="preserve">주원석, 황정원 (국내), LEO </t>
    </r>
    <r>
      <rPr>
        <rFont val="Arial"/>
        <color theme="1"/>
      </rPr>
      <t>+ 로버트, 플로라 (논의 필요, 통역 섭외) + 인프라/보안(한스) 논의 w/에릭</t>
    </r>
  </si>
  <si>
    <t>P2</t>
  </si>
  <si>
    <t>기존게임 서비스 지표 요청</t>
  </si>
  <si>
    <t xml:space="preserve"> - D+1, D+7 Retention
 - In-Game Key metric request
Robert: Should be ready together with the Exhibit A</t>
  </si>
  <si>
    <t>3. 출장에서 논의 할 부분 : 마일스톤, 실사</t>
  </si>
  <si>
    <t>게임 소개서</t>
  </si>
  <si>
    <t>4. 자금 일정 ; 일정 픽스 (25일)</t>
  </si>
  <si>
    <t>개발가이드 문서 준비</t>
  </si>
  <si>
    <t>김창영</t>
  </si>
  <si>
    <t xml:space="preserve"> - 개발사 자체 토크노믹스 의견 수렴</t>
  </si>
  <si>
    <t>출장 일정 확정</t>
  </si>
  <si>
    <t>임종훈</t>
  </si>
  <si>
    <t>출장자 확정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</si>
</sst>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rgb="FF0E0E0E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trike/>
      <color theme="1"/>
      <name val="Arial"/>
    </font>
    <font>
      <sz val="11.0"/>
      <color theme="1"/>
      <name val="NotoSansKR"/>
    </font>
    <font>
      <sz val="11.0"/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3" fillId="4" fontId="5" numFmtId="0" xfId="0" applyAlignment="1" applyBorder="1" applyFill="1" applyFont="1">
      <alignment vertical="center"/>
    </xf>
    <xf borderId="4" fillId="4" fontId="5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6" fillId="4" fontId="5" numFmtId="0" xfId="0" applyAlignment="1" applyBorder="1" applyFont="1">
      <alignment vertical="center"/>
    </xf>
    <xf borderId="1" fillId="4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 vertical="center"/>
    </xf>
    <xf borderId="8" fillId="4" fontId="5" numFmtId="0" xfId="0" applyAlignment="1" applyBorder="1" applyFont="1">
      <alignment vertical="center"/>
    </xf>
    <xf borderId="9" fillId="4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vertical="center"/>
    </xf>
    <xf borderId="11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0" fillId="0" fontId="5" numFmtId="0" xfId="0" applyFont="1"/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3" fontId="1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1. Key te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15" displayName="Project_Terms_Summary" name="Project_Terms_Summary" id="1">
  <tableColumns count="4">
    <tableColumn name="구분" id="1"/>
    <tableColumn name="주요 조건 (KR)" id="2"/>
    <tableColumn name="Key Term (EN)" id="3"/>
    <tableColumn name="关键术语 (ZN)" id="4"/>
  </tableColumns>
  <tableStyleInfo name="1. Key te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baht@to.nexus" TargetMode="External"/><Relationship Id="rId2" Type="http://schemas.openxmlformats.org/officeDocument/2006/relationships/hyperlink" Target="mailto:wschoo@to.nexus" TargetMode="External"/><Relationship Id="rId3" Type="http://schemas.openxmlformats.org/officeDocument/2006/relationships/hyperlink" Target="mailto:robert@to.nexus" TargetMode="External"/><Relationship Id="rId4" Type="http://schemas.openxmlformats.org/officeDocument/2006/relationships/hyperlink" Target="mailto:baht@to.nexus" TargetMode="External"/><Relationship Id="rId11" Type="http://schemas.openxmlformats.org/officeDocument/2006/relationships/hyperlink" Target="mailto:baht@to.nexus" TargetMode="External"/><Relationship Id="rId10" Type="http://schemas.openxmlformats.org/officeDocument/2006/relationships/hyperlink" Target="mailto:ajlim@to.nexus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mailto:zardry@to.nexus" TargetMode="External"/><Relationship Id="rId5" Type="http://schemas.openxmlformats.org/officeDocument/2006/relationships/hyperlink" Target="mailto:neohite@to.nexus" TargetMode="External"/><Relationship Id="rId6" Type="http://schemas.openxmlformats.org/officeDocument/2006/relationships/hyperlink" Target="mailto:neohite@to.nexus" TargetMode="External"/><Relationship Id="rId7" Type="http://schemas.openxmlformats.org/officeDocument/2006/relationships/hyperlink" Target="mailto:robert@to.nexus" TargetMode="External"/><Relationship Id="rId8" Type="http://schemas.openxmlformats.org/officeDocument/2006/relationships/hyperlink" Target="mailto:baht@to.nex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17.5"/>
    <col customWidth="1" min="3" max="5" width="62.63"/>
  </cols>
  <sheetData>
    <row r="1">
      <c r="B1" s="1"/>
      <c r="C1" s="2"/>
      <c r="D1" s="2"/>
      <c r="E1" s="2"/>
    </row>
    <row r="2">
      <c r="B2" s="3" t="s">
        <v>0</v>
      </c>
      <c r="C2" s="2"/>
      <c r="D2" s="2"/>
      <c r="E2" s="2"/>
    </row>
    <row r="3">
      <c r="B3" s="1"/>
      <c r="C3" s="2"/>
      <c r="D3" s="2"/>
      <c r="E3" s="2"/>
    </row>
    <row r="4" ht="23.25" customHeight="1">
      <c r="B4" s="4" t="s">
        <v>1</v>
      </c>
      <c r="C4" s="4" t="s">
        <v>2</v>
      </c>
      <c r="D4" s="4" t="s">
        <v>3</v>
      </c>
      <c r="E4" s="4" t="s">
        <v>4</v>
      </c>
    </row>
    <row r="5" ht="22.5" customHeight="1">
      <c r="B5" s="5" t="s">
        <v>5</v>
      </c>
      <c r="C5" s="6" t="s">
        <v>6</v>
      </c>
      <c r="D5" s="6" t="s">
        <v>7</v>
      </c>
      <c r="E5" s="6" t="s">
        <v>8</v>
      </c>
    </row>
    <row r="6" ht="22.5" customHeight="1">
      <c r="B6" s="5" t="s">
        <v>9</v>
      </c>
      <c r="C6" s="7" t="s">
        <v>10</v>
      </c>
      <c r="D6" s="7" t="s">
        <v>11</v>
      </c>
      <c r="E6" s="7" t="s">
        <v>11</v>
      </c>
    </row>
    <row r="7" ht="45.0" customHeight="1">
      <c r="B7" s="5" t="s">
        <v>12</v>
      </c>
      <c r="C7" s="6" t="s">
        <v>13</v>
      </c>
      <c r="D7" s="6" t="str">
        <f>IFERROR(__xludf.DUMMYFUNCTION("GOOGLETRANSLATE(C7,""auto"",""en"")"),"1) Global exclusive publishing
2) Excluding mainland China")</f>
        <v>1) Global exclusive publishing
2) Excluding mainland China</v>
      </c>
      <c r="E7" s="6" t="str">
        <f>IFERROR(__xludf.DUMMYFUNCTION("GOOGLETRANSLATE(D7,""auto"",""zh"")"),"1）全球独家出版
2）不包括中国大陆")</f>
        <v>1）全球独家出版
2）不包括中国大陆</v>
      </c>
    </row>
    <row r="8" ht="45.0" customHeight="1">
      <c r="B8" s="5" t="s">
        <v>14</v>
      </c>
      <c r="C8" s="6" t="s">
        <v>15</v>
      </c>
      <c r="D8" s="6" t="str">
        <f>IFERROR(__xludf.DUMMYFUNCTION("GOOGLETRANSLATE(C8,""auto"",""en"")"),"1) Initial 5-year term
2) Automatically renewed for 2 years upon reaching USD 100,000 in monthly sales")</f>
        <v>1) Initial 5-year term
2) Automatically renewed for 2 years upon reaching USD 100,000 in monthly sales</v>
      </c>
      <c r="E8" s="6" t="str">
        <f>IFERROR(__xludf.DUMMYFUNCTION("GOOGLETRANSLATE(D8,""auto"",""zh"")"),"1) 初始期限为5年
2) 月销售额达到10万美元后，自动续签2年")</f>
        <v>1) 初始期限为5年
2) 月销售额达到10万美元后，自动续签2年</v>
      </c>
    </row>
    <row r="9" ht="22.5" customHeight="1">
      <c r="B9" s="5" t="s">
        <v>16</v>
      </c>
      <c r="C9" s="6" t="s">
        <v>17</v>
      </c>
      <c r="D9" s="6" t="str">
        <f>IFERROR(__xludf.DUMMYFUNCTION("GOOGLETRANSLATE(C9,""auto"",""en"")"),"Publisher Responsibilities and Costs
1) Includes all aspects of publishing, operations, marketing, and customer support
2) Excludes IP derivative rights (IP is owned by the developer)")</f>
        <v>Publisher Responsibilities and Costs
1) Includes all aspects of publishing, operations, marketing, and customer support
2) Excludes IP derivative rights (IP is owned by the developer)</v>
      </c>
      <c r="E9" s="6" t="str">
        <f>IFERROR(__xludf.DUMMYFUNCTION("GOOGLETRANSLATE(D9,""auto"",""zh"")"),"出版商的责任和成本
1) 包括出版、运营、营销和客户支持的各个方面
2) 不包括知识产权衍生权利（知识产权归开发者所有）")</f>
        <v>出版商的责任和成本
1) 包括出版、运营、营销和客户支持的各个方面
2) 不包括知识产权衍生权利（知识产权归开发者所有）</v>
      </c>
    </row>
    <row r="10" ht="22.5" customHeight="1">
      <c r="B10" s="5" t="s">
        <v>18</v>
      </c>
      <c r="C10" s="6" t="s">
        <v>19</v>
      </c>
      <c r="D10" s="6" t="str">
        <f>IFERROR(__xludf.DUMMYFUNCTION("GOOGLETRANSLATE(C10,""auto"",""en"")"),"1) Total USD 500,000
2) 40% contract / 30% CBT completion / 30% official launch")</f>
        <v>1) Total USD 500,000
2) 40% contract / 30% CBT completion / 30% official launch</v>
      </c>
      <c r="E10" s="6" t="str">
        <f>IFERROR(__xludf.DUMMYFUNCTION("GOOGLETRANSLATE(D10,""auto"",""zh"")"),"1) 总金额 50 万美元
2) 40% 用于合同结算 / 30% 用于封闭测试完成 / 30% 用于正式上线")</f>
        <v>1) 总金额 50 万美元
2) 40% 用于合同结算 / 30% 用于封闭测试完成 / 30% 用于正式上线</v>
      </c>
    </row>
    <row r="11" ht="22.5" customHeight="1">
      <c r="B11" s="5" t="s">
        <v>20</v>
      </c>
      <c r="C11" s="6" t="s">
        <v>21</v>
      </c>
      <c r="D11" s="6" t="str">
        <f>IFERROR(__xludf.DUMMYFUNCTION("GOOGLETRANSLATE(C11,""auto"",""en"")"),"Based on Gross Revenue
1) Publisher (NEXUS) 83%
2) Developer (MINIGAME) 17%
3) Nexus covers 5% of the CROSS Wave participation fee")</f>
        <v>Based on Gross Revenue
1) Publisher (NEXUS) 83%
2) Developer (MINIGAME) 17%
3) Nexus covers 5% of the CROSS Wave participation fee</v>
      </c>
      <c r="E11" s="6" t="str">
        <f>IFERROR(__xludf.DUMMYFUNCTION("GOOGLETRANSLATE(D11,""auto"",""zh"")"),"基于总收入
1) 发行商 (NEXUS) 83%
2) 开发商 (MINIGAME) 17%
3) Nexus 承担 5% 的 CROSS Wave 参与费")</f>
        <v>基于总收入
1) 发行商 (NEXUS) 83%
2) 开发商 (MINIGAME) 17%
3) Nexus 承担 5% 的 CROSS Wave 参与费</v>
      </c>
    </row>
    <row r="12" ht="22.5" customHeight="1">
      <c r="B12" s="5" t="s">
        <v>22</v>
      </c>
      <c r="C12" s="6" t="s">
        <v>23</v>
      </c>
      <c r="D12" s="6" t="str">
        <f>IFERROR(__xludf.DUMMYFUNCTION("GOOGLETRANSLATE(C12,""auto"",""en"")"),"Publisher Responsibilities and Costs
1) Infrastructure tasks such as servers and databases
2) Registration/legal/finance/customer support, etc.")</f>
        <v>Publisher Responsibilities and Costs
1) Infrastructure tasks such as servers and databases
2) Registration/legal/finance/customer support, etc.</v>
      </c>
      <c r="E12" s="6" t="str">
        <f>IFERROR(__xludf.DUMMYFUNCTION("GOOGLETRANSLATE(D12,""auto"",""zh"")"),"出版商的责任和成本
1) 基础设施相关工作，例如服务器和数据库
2) 注册/法律/财务/客户支持等")</f>
        <v>出版商的责任和成本
1) 基础设施相关工作，例如服务器和数据库
2) 注册/法律/财务/客户支持等</v>
      </c>
    </row>
    <row r="13" ht="22.5" customHeight="1">
      <c r="B13" s="5" t="s">
        <v>24</v>
      </c>
      <c r="C13" s="6" t="s">
        <v>25</v>
      </c>
      <c r="D13" s="6" t="str">
        <f>IFERROR(__xludf.DUMMYFUNCTION("GOOGLETRANSLATE(C13,""auto"",""en"")"),"1) Basic language support (EN/KR/CN)
2) Additional text translation: Publisher
3) Graphic localization for monthly sales exceeding US$100K: Developer support")</f>
        <v>1) Basic language support (EN/KR/CN)
2) Additional text translation: Publisher
3) Graphic localization for monthly sales exceeding US$100K: Developer support</v>
      </c>
      <c r="E13" s="6" t="str">
        <f>IFERROR(__xludf.DUMMYFUNCTION("GOOGLETRANSLATE(D13,""auto"",""zh"")"),"1) 基本语言支持（英语/韩语/中文）
2) 额外文本翻译：由发行商提供
3) 月销售额超过 10 万美元的图形本地化：由开发人员提供")</f>
        <v>1) 基本语言支持（英语/韩语/中文）
2) 额外文本翻译：由发行商提供
3) 月销售额超过 10 万美元的图形本地化：由开发人员提供</v>
      </c>
    </row>
    <row r="14" ht="22.5" customHeight="1">
      <c r="B14" s="5" t="s">
        <v>26</v>
      </c>
      <c r="C14" s="6" t="s">
        <v>27</v>
      </c>
      <c r="D14" s="7" t="str">
        <f>IFERROR(__xludf.DUMMYFUNCTION("GOOGLETRANSLATE(C14,""auto"",""en"")"),"1) In-game and web game shops must be integrated with the Nexus CROSS Shop.
2) The basic commission rate + PG is applied, and developers are provided with admin access and detailed data.")</f>
        <v>1) In-game and web game shops must be integrated with the Nexus CROSS Shop.
2) The basic commission rate + PG is applied, and developers are provided with admin access and detailed data.</v>
      </c>
      <c r="E14" s="6" t="str">
        <f>IFERROR(__xludf.DUMMYFUNCTION("GOOGLETRANSLATE(D14,""auto"",""zh"")"),"1) 游戏内商店和网页游戏商店必须与 Nexus CROSS 商店集成。
2) 采用基本佣金率 + PG（平台附加费），开发者将获得管理员权限和详细数据。")</f>
        <v>1) 游戏内商店和网页游戏商店必须与 Nexus CROSS 商店集成。
2) 采用基本佣金率 + PG（平台附加费），开发者将获得管理员权限和详细数据。</v>
      </c>
    </row>
    <row r="15" ht="36.0" customHeight="1">
      <c r="B15" s="5" t="s">
        <v>28</v>
      </c>
      <c r="C15" s="6" t="s">
        <v>29</v>
      </c>
      <c r="D15" s="6" t="str">
        <f>IFERROR(__xludf.DUMMYFUNCTION("GOOGLETRANSLATE(C15,""auto"",""en"")"),"180 days after signing the Term Sheet")</f>
        <v>180 days after signing the Term Sheet</v>
      </c>
      <c r="E15" s="6" t="str">
        <f>IFERROR(__xludf.DUMMYFUNCTION("GOOGLETRANSLATE(D15,""auto"",""zh"")"),"签署条款清单后180天")</f>
        <v>签署条款清单后180天</v>
      </c>
    </row>
    <row r="16">
      <c r="B16" s="1"/>
      <c r="C16" s="2"/>
      <c r="D16" s="2"/>
      <c r="E16" s="2"/>
    </row>
    <row r="17">
      <c r="B17" s="8" t="s">
        <v>30</v>
      </c>
      <c r="E17" s="9" t="s">
        <v>31</v>
      </c>
    </row>
    <row r="18">
      <c r="B18" s="8" t="s">
        <v>32</v>
      </c>
    </row>
    <row r="20">
      <c r="C20" s="9" t="s">
        <v>33</v>
      </c>
      <c r="D20" s="9" t="s">
        <v>34</v>
      </c>
    </row>
    <row r="22" ht="22.5" customHeight="1">
      <c r="C22" s="9" t="s">
        <v>35</v>
      </c>
      <c r="D22" s="9" t="s">
        <v>36</v>
      </c>
    </row>
    <row r="23" ht="22.5" customHeight="1">
      <c r="C23" s="9" t="s">
        <v>37</v>
      </c>
      <c r="D23" s="9" t="s">
        <v>38</v>
      </c>
    </row>
    <row r="24" ht="22.5" customHeight="1">
      <c r="C24" s="9" t="s">
        <v>39</v>
      </c>
      <c r="D24" s="9" t="s">
        <v>39</v>
      </c>
    </row>
    <row r="25" ht="60.0" customHeight="1">
      <c r="C25" s="10" t="s">
        <v>40</v>
      </c>
      <c r="D25" s="10" t="s">
        <v>40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35.88"/>
    <col customWidth="1" min="3" max="3" width="17.0"/>
    <col customWidth="1" min="4" max="4" width="25.2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8.75" customHeight="1">
      <c r="A2" s="11"/>
      <c r="B2" s="12" t="s">
        <v>41</v>
      </c>
      <c r="C2" s="12" t="s">
        <v>42</v>
      </c>
      <c r="D2" s="12" t="s">
        <v>43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8.75" customHeight="1">
      <c r="A3" s="11"/>
      <c r="B3" s="13" t="s">
        <v>44</v>
      </c>
      <c r="C3" s="14" t="s">
        <v>45</v>
      </c>
      <c r="D3" s="14" t="s">
        <v>46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8.75" customHeight="1">
      <c r="A4" s="11"/>
      <c r="B4" s="13" t="s">
        <v>47</v>
      </c>
      <c r="C4" s="14" t="s">
        <v>45</v>
      </c>
      <c r="D4" s="14" t="s">
        <v>46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75" customHeight="1">
      <c r="A5" s="11"/>
      <c r="B5" s="13" t="s">
        <v>48</v>
      </c>
      <c r="C5" s="14" t="s">
        <v>45</v>
      </c>
      <c r="D5" s="14" t="s">
        <v>49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1"/>
      <c r="B6" s="13" t="s">
        <v>50</v>
      </c>
      <c r="C6" s="14" t="s">
        <v>45</v>
      </c>
      <c r="D6" s="14" t="s">
        <v>46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1"/>
      <c r="B7" s="13" t="s">
        <v>51</v>
      </c>
      <c r="C7" s="14" t="s">
        <v>45</v>
      </c>
      <c r="D7" s="14" t="s">
        <v>51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1"/>
      <c r="B8" s="15" t="s">
        <v>52</v>
      </c>
      <c r="C8" s="16" t="s">
        <v>45</v>
      </c>
      <c r="D8" s="16" t="s">
        <v>53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1"/>
      <c r="B9" s="17" t="s">
        <v>54</v>
      </c>
      <c r="C9" s="18" t="s">
        <v>55</v>
      </c>
      <c r="D9" s="19" t="s">
        <v>56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1"/>
      <c r="B10" s="20" t="s">
        <v>57</v>
      </c>
      <c r="C10" s="21" t="s">
        <v>55</v>
      </c>
      <c r="D10" s="22" t="s">
        <v>58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1"/>
      <c r="B11" s="23" t="s">
        <v>59</v>
      </c>
      <c r="C11" s="24" t="s">
        <v>55</v>
      </c>
      <c r="D11" s="25" t="s">
        <v>60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1"/>
      <c r="B12" s="26" t="s">
        <v>61</v>
      </c>
      <c r="C12" s="27" t="s">
        <v>62</v>
      </c>
      <c r="D12" s="27" t="s">
        <v>58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1"/>
      <c r="B13" s="13" t="s">
        <v>63</v>
      </c>
      <c r="C13" s="14" t="s">
        <v>62</v>
      </c>
      <c r="D13" s="14" t="s">
        <v>64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1"/>
      <c r="B14" s="13" t="s">
        <v>65</v>
      </c>
      <c r="C14" s="14" t="s">
        <v>62</v>
      </c>
      <c r="D14" s="14" t="s">
        <v>58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1"/>
      <c r="B15" s="13" t="s">
        <v>66</v>
      </c>
      <c r="C15" s="14" t="s">
        <v>67</v>
      </c>
      <c r="D15" s="14" t="s">
        <v>68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11"/>
      <c r="B16" s="13" t="s">
        <v>69</v>
      </c>
      <c r="C16" s="14" t="s">
        <v>67</v>
      </c>
      <c r="D16" s="14" t="s">
        <v>68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11"/>
      <c r="B17" s="13" t="s">
        <v>70</v>
      </c>
      <c r="C17" s="14" t="s">
        <v>71</v>
      </c>
      <c r="D17" s="14" t="s">
        <v>72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11"/>
      <c r="B18" s="28" t="s">
        <v>73</v>
      </c>
      <c r="C18" s="29" t="s">
        <v>71</v>
      </c>
      <c r="D18" s="29" t="s">
        <v>72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idden="1">
      <c r="A20" s="11"/>
      <c r="B20" s="30" t="s">
        <v>74</v>
      </c>
      <c r="C20" s="30" t="s">
        <v>75</v>
      </c>
      <c r="E20" s="30" t="s">
        <v>76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idden="1">
      <c r="A21" s="11"/>
      <c r="B21" s="30" t="s">
        <v>77</v>
      </c>
      <c r="C21" s="30" t="s">
        <v>78</v>
      </c>
      <c r="E21" s="30" t="s">
        <v>79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idden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idden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idden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idden="1">
      <c r="A25" s="11"/>
      <c r="B25" s="31" t="s">
        <v>80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idden="1">
      <c r="A26" s="11"/>
      <c r="B26" s="31" t="s">
        <v>81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idden="1">
      <c r="A27" s="11"/>
      <c r="B27" s="31" t="s">
        <v>82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idden="1">
      <c r="A28" s="11"/>
      <c r="B28" s="31" t="s">
        <v>83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idden="1">
      <c r="A29" s="11"/>
      <c r="B29" s="31" t="s">
        <v>84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idden="1">
      <c r="A30" s="11"/>
      <c r="B30" s="31" t="s">
        <v>85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idden="1">
      <c r="A31" s="11"/>
      <c r="B31" s="31" t="s">
        <v>86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idden="1">
      <c r="A32" s="11"/>
      <c r="B32" s="31" t="s">
        <v>87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idden="1">
      <c r="A33" s="11"/>
      <c r="B33" s="31" t="s">
        <v>88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idden="1">
      <c r="A34" s="11"/>
      <c r="B34" s="32" t="s">
        <v>89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idden="1">
      <c r="A35" s="11"/>
      <c r="B35" s="31" t="s">
        <v>90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idden="1">
      <c r="A36" s="11"/>
      <c r="B36" s="31" t="s">
        <v>91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idden="1">
      <c r="A37" s="11"/>
      <c r="B37" s="31" t="s">
        <v>92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idden="1">
      <c r="A38" s="11"/>
      <c r="B38" s="33" t="s">
        <v>93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idden="1">
      <c r="A39" s="11"/>
      <c r="B39" s="31" t="s">
        <v>94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idden="1">
      <c r="A40" s="11"/>
      <c r="B40" s="31" t="s">
        <v>95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idden="1">
      <c r="A41" s="11"/>
      <c r="B41" s="31" t="s">
        <v>96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idden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idden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idden="1">
      <c r="A44" s="11"/>
      <c r="B44" s="11" t="s">
        <v>97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idden="1">
      <c r="A45" s="11"/>
      <c r="B45" s="11" t="s">
        <v>98</v>
      </c>
      <c r="C45" s="11"/>
      <c r="D45" s="11" t="s">
        <v>99</v>
      </c>
      <c r="E45" s="11" t="s">
        <v>100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idden="1">
      <c r="A46" s="11"/>
      <c r="B46" s="11" t="s">
        <v>101</v>
      </c>
      <c r="C46" s="11"/>
      <c r="D46" s="11" t="s">
        <v>102</v>
      </c>
      <c r="E46" s="11" t="s">
        <v>103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idden="1">
      <c r="A47" s="11"/>
      <c r="B47" s="11" t="s">
        <v>104</v>
      </c>
      <c r="C47" s="11"/>
      <c r="D47" s="11" t="s">
        <v>105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idden="1">
      <c r="A48" s="11"/>
      <c r="B48" s="11" t="s">
        <v>106</v>
      </c>
      <c r="C48" s="11"/>
      <c r="D48" s="11" t="s">
        <v>107</v>
      </c>
      <c r="E48" s="11" t="s">
        <v>108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</sheetData>
  <mergeCells count="2">
    <mergeCell ref="C20:D20"/>
    <mergeCell ref="C21:D21"/>
  </mergeCells>
  <dataValidations>
    <dataValidation type="list" allowBlank="1" showErrorMessage="1" sqref="C3:C18">
      <formula1>"NEXUS,Z5,중국법인,개발사,Nexus+Z5"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10.13"/>
    <col customWidth="1" min="3" max="3" width="20.38"/>
    <col customWidth="1" min="4" max="4" width="34.5"/>
    <col customWidth="1" hidden="1" min="5" max="5" width="27.88"/>
    <col customWidth="1" min="6" max="6" width="20.13"/>
    <col customWidth="1" min="7" max="7" width="11.75"/>
    <col customWidth="1" min="8" max="8" width="58.5"/>
  </cols>
  <sheetData>
    <row r="2" ht="23.25" customHeight="1">
      <c r="B2" s="34" t="s">
        <v>109</v>
      </c>
      <c r="C2" s="34" t="s">
        <v>110</v>
      </c>
      <c r="D2" s="34" t="s">
        <v>111</v>
      </c>
      <c r="E2" s="34" t="s">
        <v>112</v>
      </c>
      <c r="F2" s="34" t="s">
        <v>113</v>
      </c>
      <c r="G2" s="34" t="s">
        <v>114</v>
      </c>
      <c r="H2" s="34" t="s">
        <v>43</v>
      </c>
    </row>
    <row r="3" ht="30.0" customHeight="1">
      <c r="B3" s="35" t="s">
        <v>115</v>
      </c>
      <c r="C3" s="35" t="s">
        <v>116</v>
      </c>
      <c r="D3" s="35" t="str">
        <f>IFERROR(__xludf.DUMMYFUNCTION("GOOGLETRANSLATE(C3,""auto"",""en"")"),"Term sheet agreement")</f>
        <v>Term sheet agreement</v>
      </c>
      <c r="E3" s="35" t="str">
        <f>IFERROR(__xludf.DUMMYFUNCTION("GOOGLETRANSLATE(C3,""auto"",""zh"")"),"条款清单协议")</f>
        <v>条款清单协议</v>
      </c>
      <c r="F3" s="36" t="s">
        <v>117</v>
      </c>
      <c r="G3" s="35" t="b">
        <v>1</v>
      </c>
      <c r="H3" s="37"/>
    </row>
    <row r="4" ht="30.0" customHeight="1">
      <c r="B4" s="35" t="s">
        <v>115</v>
      </c>
      <c r="C4" s="35" t="s">
        <v>118</v>
      </c>
      <c r="D4" s="35" t="str">
        <f>IFERROR(__xludf.DUMMYFUNCTION("GOOGLETRANSLATE(C4,""auto"",""en"")"),"Preparing a publishing contract")</f>
        <v>Preparing a publishing contract</v>
      </c>
      <c r="E4" s="35" t="str">
        <f>IFERROR(__xludf.DUMMYFUNCTION("GOOGLETRANSLATE(C4,""auto"",""zh"")"),"准备出版合同")</f>
        <v>准备出版合同</v>
      </c>
      <c r="F4" s="36" t="s">
        <v>119</v>
      </c>
      <c r="G4" s="35" t="b">
        <v>1</v>
      </c>
      <c r="H4" s="37"/>
    </row>
    <row r="5" ht="30.0" customHeight="1">
      <c r="B5" s="35" t="s">
        <v>120</v>
      </c>
      <c r="C5" s="35" t="s">
        <v>121</v>
      </c>
      <c r="D5" s="35" t="str">
        <f>IFERROR(__xludf.DUMMYFUNCTION("GOOGLETRANSLATE(C5,""auto"",""en"")"),"Preparing for a build demonstration")</f>
        <v>Preparing for a build demonstration</v>
      </c>
      <c r="E5" s="35" t="str">
        <f>IFERROR(__xludf.DUMMYFUNCTION("GOOGLETRANSLATE(C5,""auto"",""zh"")"),"准备进行构建演示")</f>
        <v>准备进行构建演示</v>
      </c>
      <c r="F5" s="36" t="s">
        <v>122</v>
      </c>
      <c r="G5" s="35" t="b">
        <v>1</v>
      </c>
      <c r="H5" s="38" t="s">
        <v>123</v>
      </c>
    </row>
    <row r="6" ht="30.0" customHeight="1">
      <c r="B6" s="35" t="s">
        <v>120</v>
      </c>
      <c r="C6" s="35" t="s">
        <v>124</v>
      </c>
      <c r="D6" s="35" t="str">
        <f>IFERROR(__xludf.DUMMYFUNCTION("GOOGLETRANSLATE(C6,""auto"",""en"")"),"Infrastructure settings")</f>
        <v>Infrastructure settings</v>
      </c>
      <c r="E6" s="35" t="str">
        <f>IFERROR(__xludf.DUMMYFUNCTION("GOOGLETRANSLATE(C6,""auto"",""zh"")"),"基础设施设置")</f>
        <v>基础设施设置</v>
      </c>
      <c r="F6" s="36" t="s">
        <v>117</v>
      </c>
      <c r="G6" s="35" t="b">
        <v>0</v>
      </c>
      <c r="H6" s="38" t="s">
        <v>125</v>
      </c>
    </row>
    <row r="7">
      <c r="B7" s="35" t="s">
        <v>120</v>
      </c>
      <c r="C7" s="35" t="s">
        <v>126</v>
      </c>
      <c r="D7" s="35" t="str">
        <f>IFERROR(__xludf.DUMMYFUNCTION("GOOGLETRANSLATE(C7,""auto"",""en"")"),"Development Milestones")</f>
        <v>Development Milestones</v>
      </c>
      <c r="E7" s="35" t="str">
        <f>IFERROR(__xludf.DUMMYFUNCTION("GOOGLETRANSLATE(C7,""auto"",""zh"")"),"发展里程碑")</f>
        <v>发展里程碑</v>
      </c>
      <c r="F7" s="36" t="s">
        <v>127</v>
      </c>
      <c r="G7" s="35" t="b">
        <v>0</v>
      </c>
      <c r="H7" s="38" t="s">
        <v>128</v>
      </c>
      <c r="J7" s="39" t="s">
        <v>129</v>
      </c>
    </row>
    <row r="8" ht="30.0" customHeight="1">
      <c r="B8" s="35" t="s">
        <v>120</v>
      </c>
      <c r="C8" s="35" t="s">
        <v>130</v>
      </c>
      <c r="D8" s="35" t="str">
        <f>IFERROR(__xludf.DUMMYFUNCTION("GOOGLETRANSLATE(C8,""auto"",""en"")"),"Tokenomics Preparation")</f>
        <v>Tokenomics Preparation</v>
      </c>
      <c r="E8" s="35" t="str">
        <f>IFERROR(__xludf.DUMMYFUNCTION("GOOGLETRANSLATE(C8,""auto"",""zh"")"),"代币经济学准备")</f>
        <v>代币经济学准备</v>
      </c>
      <c r="F8" s="36" t="s">
        <v>127</v>
      </c>
      <c r="G8" s="37" t="b">
        <v>0</v>
      </c>
      <c r="H8" s="38" t="s">
        <v>131</v>
      </c>
      <c r="J8" s="39" t="s">
        <v>132</v>
      </c>
      <c r="K8" s="9" t="s">
        <v>133</v>
      </c>
    </row>
    <row r="9">
      <c r="B9" s="35" t="s">
        <v>134</v>
      </c>
      <c r="C9" s="35" t="s">
        <v>135</v>
      </c>
      <c r="D9" s="35" t="str">
        <f>IFERROR(__xludf.DUMMYFUNCTION("GOOGLETRANSLATE(C9,""auto"",""en"")"),"Request for existing game service indicators")</f>
        <v>Request for existing game service indicators</v>
      </c>
      <c r="E9" s="35" t="str">
        <f>IFERROR(__xludf.DUMMYFUNCTION("GOOGLETRANSLATE(C9,""auto"",""zh"")"),"请求提供现有游戏服务指标")</f>
        <v>请求提供现有游戏服务指标</v>
      </c>
      <c r="F9" s="36" t="s">
        <v>122</v>
      </c>
      <c r="G9" s="37" t="b">
        <v>0</v>
      </c>
      <c r="H9" s="38" t="s">
        <v>136</v>
      </c>
      <c r="J9" s="39" t="s">
        <v>137</v>
      </c>
    </row>
    <row r="10" ht="30.0" customHeight="1">
      <c r="B10" s="35" t="s">
        <v>134</v>
      </c>
      <c r="C10" s="35" t="s">
        <v>138</v>
      </c>
      <c r="D10" s="35" t="str">
        <f>IFERROR(__xludf.DUMMYFUNCTION("GOOGLETRANSLATE(C10,""auto"",""en"")"),"Game Introduction")</f>
        <v>Game Introduction</v>
      </c>
      <c r="E10" s="35" t="str">
        <f>IFERROR(__xludf.DUMMYFUNCTION("GOOGLETRANSLATE(C10,""auto"",""zh"")"),"游戏介绍")</f>
        <v>游戏介绍</v>
      </c>
      <c r="F10" s="36" t="s">
        <v>117</v>
      </c>
      <c r="G10" s="37" t="b">
        <v>0</v>
      </c>
      <c r="H10" s="37"/>
      <c r="J10" s="39" t="s">
        <v>139</v>
      </c>
    </row>
    <row r="11" ht="30.0" customHeight="1">
      <c r="B11" s="35" t="s">
        <v>134</v>
      </c>
      <c r="C11" s="35" t="s">
        <v>140</v>
      </c>
      <c r="D11" s="35" t="str">
        <f>IFERROR(__xludf.DUMMYFUNCTION("GOOGLETRANSLATE(C11,""auto"",""en"")"),"Preparing development guide documents")</f>
        <v>Preparing development guide documents</v>
      </c>
      <c r="E11" s="35" t="str">
        <f>IFERROR(__xludf.DUMMYFUNCTION("GOOGLETRANSLATE(C11,""auto"",""zh"")"),"编写开发指南文件")</f>
        <v>编写开发指南文件</v>
      </c>
      <c r="F11" s="36" t="s">
        <v>141</v>
      </c>
      <c r="G11" s="37" t="b">
        <v>0</v>
      </c>
      <c r="H11" s="38" t="s">
        <v>142</v>
      </c>
    </row>
    <row r="12" ht="30.0" customHeight="1">
      <c r="B12" s="35" t="s">
        <v>134</v>
      </c>
      <c r="C12" s="35" t="s">
        <v>143</v>
      </c>
      <c r="D12" s="35" t="str">
        <f>IFERROR(__xludf.DUMMYFUNCTION("GOOGLETRANSLATE(C12,""auto"",""en"")"),"Confirm business trip schedule")</f>
        <v>Confirm business trip schedule</v>
      </c>
      <c r="E12" s="35" t="str">
        <f>IFERROR(__xludf.DUMMYFUNCTION("GOOGLETRANSLATE(C12,""auto"",""zh"")"),"确认商务旅行行程")</f>
        <v>确认商务旅行行程</v>
      </c>
      <c r="F12" s="36" t="s">
        <v>144</v>
      </c>
      <c r="G12" s="37" t="b">
        <v>0</v>
      </c>
      <c r="H12" s="37"/>
    </row>
    <row r="13" ht="30.0" customHeight="1">
      <c r="B13" s="35" t="s">
        <v>134</v>
      </c>
      <c r="C13" s="35" t="s">
        <v>145</v>
      </c>
      <c r="D13" s="35" t="str">
        <f>IFERROR(__xludf.DUMMYFUNCTION("GOOGLETRANSLATE(C13,""auto"",""en"")"),"Confirmed business trip participants")</f>
        <v>Confirmed business trip participants</v>
      </c>
      <c r="E13" s="35" t="str">
        <f>IFERROR(__xludf.DUMMYFUNCTION("GOOGLETRANSLATE(C13,""auto"",""zh"")"),"已确认的商务旅行参与者")</f>
        <v>已确认的商务旅行参与者</v>
      </c>
      <c r="F13" s="36" t="s">
        <v>117</v>
      </c>
      <c r="G13" s="37" t="b">
        <v>0</v>
      </c>
      <c r="H13" s="37"/>
    </row>
    <row r="14">
      <c r="B14" s="40"/>
      <c r="C14" s="40"/>
      <c r="D14" s="40"/>
      <c r="E14" s="40"/>
      <c r="F14" s="40"/>
    </row>
    <row r="15">
      <c r="B15" s="40"/>
      <c r="C15" s="40"/>
      <c r="D15" s="40"/>
      <c r="E15" s="40"/>
      <c r="F15" s="40"/>
    </row>
  </sheetData>
  <autoFilter ref="$B$2:$H$13">
    <sortState ref="B2:H13">
      <sortCondition ref="B2:B13"/>
    </sortState>
  </autoFilter>
  <dataValidations>
    <dataValidation type="list" allowBlank="1" showErrorMessage="1" sqref="B3:B13">
      <formula1>"P0,P1,P2"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</hyperlinks>
  <drawing r:id="rId12"/>
</worksheet>
</file>